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brgerenciamento.sharepoint.com/sites/LYO004SIMOESFILHOG200/Documentos Compartilhados/03. CUSTOS/3.0 MEDIÇÕES APROVADAS E NF'S/1. ROMANEIOS/0.APROVADOS NO ZEPP/"/>
    </mc:Choice>
  </mc:AlternateContent>
  <xr:revisionPtr revIDLastSave="1200" documentId="6_{5C3A3378-A657-4599-BAFB-8DC642D7CCD4}" xr6:coauthVersionLast="47" xr6:coauthVersionMax="47" xr10:uidLastSave="{5DFBE533-50D9-4B62-BC3D-6100EE91ED1A}"/>
  <bookViews>
    <workbookView xWindow="-21720" yWindow="1020" windowWidth="21840" windowHeight="13020" tabRatio="863" activeTab="3" xr2:uid="{66A7680C-09A5-4DEA-98AC-2E0B38AAFE8E}"/>
  </bookViews>
  <sheets>
    <sheet name="Detalhamento - G200" sheetId="34" r:id="rId1"/>
    <sheet name="Pedidos - G200" sheetId="47" r:id="rId2"/>
    <sheet name="Gestão de Contratos" sheetId="49" state="hidden" r:id="rId3"/>
    <sheet name="Contratos - G200" sheetId="26" r:id="rId4"/>
    <sheet name="Projeções - G200" sheetId="50" r:id="rId5"/>
    <sheet name="Notas fiscais - G200" sheetId="38" r:id="rId6"/>
    <sheet name="Detalhamento - Sub69" sheetId="40" r:id="rId7"/>
    <sheet name="Pedidos - Sub69" sheetId="48" r:id="rId8"/>
    <sheet name="Contratos - Sub69" sheetId="41" r:id="rId9"/>
    <sheet name="Projeções - Sub69" sheetId="51" r:id="rId10"/>
    <sheet name="Notas fiscais - Sub69" sheetId="42" r:id="rId11"/>
    <sheet name="Detalhamento" sheetId="14" state="hidden" r:id="rId12"/>
    <sheet name="Base Slide" sheetId="11" state="hidden" r:id="rId13"/>
    <sheet name="Comprometido" sheetId="16" state="hidden" r:id="rId14"/>
    <sheet name="PEDIDOS DE ESCOPOS A SEREM INCO" sheetId="29" state="hidden" r:id="rId15"/>
    <sheet name="ESCOPOS NOVOS" sheetId="33" state="hidden" r:id="rId16"/>
    <sheet name="Planilha1" sheetId="27" state="hidden" r:id="rId17"/>
  </sheets>
  <externalReferences>
    <externalReference r:id="rId18"/>
  </externalReferences>
  <definedNames>
    <definedName name="\0">#REF!</definedName>
    <definedName name="\1">#REF!</definedName>
    <definedName name="\a">#REF!</definedName>
    <definedName name="\m">#REF!</definedName>
    <definedName name="___sm2">#REF!</definedName>
    <definedName name="__SM1">#REF!</definedName>
    <definedName name="__SM10">#REF!</definedName>
    <definedName name="__SM11">#REF!</definedName>
    <definedName name="__SM12">#REF!</definedName>
    <definedName name="__sm13">#REF!</definedName>
    <definedName name="__SM2">#REF!</definedName>
    <definedName name="__SM3">#REF!</definedName>
    <definedName name="__SM4">#REF!</definedName>
    <definedName name="__SM5">#REF!</definedName>
    <definedName name="__SM6">#REF!</definedName>
    <definedName name="__SM7">#REF!</definedName>
    <definedName name="__SM8">#REF!</definedName>
    <definedName name="__SM9">#REF!</definedName>
    <definedName name="_Fill" hidden="1">#REF!</definedName>
    <definedName name="_fill1" hidden="1">#REF!</definedName>
    <definedName name="_xlnm._FilterDatabase" localSheetId="13" hidden="1">Comprometido!$A$9:$M$48</definedName>
    <definedName name="_xlnm._FilterDatabase" localSheetId="3" hidden="1">'Contratos - G200'!$C$13:$J$128</definedName>
    <definedName name="_xlnm._FilterDatabase" localSheetId="8" hidden="1">'Contratos - Sub69'!$B$9:$H$9</definedName>
    <definedName name="_xlnm._FilterDatabase" localSheetId="11" hidden="1">Detalhamento!$A$2:$K$50</definedName>
    <definedName name="_xlnm._FilterDatabase" localSheetId="0" hidden="1">'Detalhamento - G200'!$A$5:$K$253</definedName>
    <definedName name="_xlnm._FilterDatabase" localSheetId="6" hidden="1">'Detalhamento - Sub69'!$A$2:$I$152</definedName>
    <definedName name="_xlnm._FilterDatabase" localSheetId="2" hidden="1">'Gestão de Contratos'!$A$13:$I$60</definedName>
    <definedName name="_xlnm._FilterDatabase" localSheetId="5" hidden="1">'Notas fiscais - G200'!$B$8:$W$236</definedName>
    <definedName name="_xlnm._FilterDatabase" localSheetId="10" hidden="1">'Notas fiscais - Sub69'!$B$5:$Q$13</definedName>
    <definedName name="_xlnm._FilterDatabase" localSheetId="1" hidden="1">'Pedidos - G200'!$A$13:$H$219</definedName>
    <definedName name="_xlnm._FilterDatabase" localSheetId="7" hidden="1">'Pedidos - Sub69'!$B$13:$E$74</definedName>
    <definedName name="_xlnm._FilterDatabase" localSheetId="4" hidden="1">'Projeções - G200'!$B$9:$G$201</definedName>
    <definedName name="_xlnm._FilterDatabase" hidden="1">#REF!</definedName>
    <definedName name="_Key1" hidden="1">#REF!</definedName>
    <definedName name="_Key2" hidden="1">#REF!</definedName>
    <definedName name="_l">#REF!</definedName>
    <definedName name="_MatMult_A" hidden="1">#REF!</definedName>
    <definedName name="_Order1" hidden="1">255</definedName>
    <definedName name="_Order2" hidden="1">255</definedName>
    <definedName name="_Regression_Int" hidden="1">1</definedName>
    <definedName name="_SM1">#REF!</definedName>
    <definedName name="_SM10">#REF!</definedName>
    <definedName name="_SM11">#REF!</definedName>
    <definedName name="_SM12">#REF!</definedName>
    <definedName name="_sm13">#REF!</definedName>
    <definedName name="_SM2">#REF!</definedName>
    <definedName name="_SM3">#REF!</definedName>
    <definedName name="_SM4">#REF!</definedName>
    <definedName name="_SM5">#REF!</definedName>
    <definedName name="_SM6">#REF!</definedName>
    <definedName name="_SM7">#REF!</definedName>
    <definedName name="_SM8">#REF!</definedName>
    <definedName name="_SM9">#REF!</definedName>
    <definedName name="_Sort" hidden="1">#REF!</definedName>
    <definedName name="_sss">#REF!</definedName>
    <definedName name="a">#REF!</definedName>
    <definedName name="aaaa">#REF!</definedName>
    <definedName name="aaaaaaaaaaa">#REF!</definedName>
    <definedName name="AB">#REF!</definedName>
    <definedName name="ABC" hidden="1">#REF!</definedName>
    <definedName name="ABREV_E">#REF!</definedName>
    <definedName name="AccessDatabase" hidden="1">"C:\Documents and Settings\JPMELLO\Meus documentos\ARQUIVOS 2004\MONITORAMENTO OAC\Monitoramento de OAC.mdb"</definedName>
    <definedName name="ACwvu.Características." hidden="1">#REF!</definedName>
    <definedName name="ACwvu.Ciclos." hidden="1">#REF!</definedName>
    <definedName name="ACwvu.Custos." hidden="1">#REF!</definedName>
    <definedName name="ACwvu.Recursos." hidden="1">#REF!</definedName>
    <definedName name="Administração">#REF!</definedName>
    <definedName name="ALUMÍNIO_2">#REF!</definedName>
    <definedName name="anscount" hidden="1">1</definedName>
    <definedName name="ArComprimido" localSheetId="11" hidden="1">{"'Estimativa de Lançamento-JAN'!$A$1:$AI$85"}</definedName>
    <definedName name="ArComprimido" localSheetId="0" hidden="1">{"'Estimativa de Lançamento-JAN'!$A$1:$AI$85"}</definedName>
    <definedName name="ArComprimido" localSheetId="6" hidden="1">{"'Estimativa de Lançamento-JAN'!$A$1:$AI$85"}</definedName>
    <definedName name="ArComprimido" localSheetId="15" hidden="1">{"'Estimativa de Lançamento-JAN'!$A$1:$AI$85"}</definedName>
    <definedName name="ArComprimido" hidden="1">{"'Estimativa de Lançamento-JAN'!$A$1:$AI$85"}</definedName>
    <definedName name="_xlnm.Print_Area" localSheetId="12">'Base Slide'!$A$1:$N$8</definedName>
    <definedName name="_xlnm.Print_Area" localSheetId="11">Detalhamento!$A$1:$J$50</definedName>
    <definedName name="_xlnm.Print_Area" localSheetId="0">'Detalhamento - G200'!$A$1:$K$257</definedName>
    <definedName name="_xlnm.Print_Area" localSheetId="6">'Detalhamento - Sub69'!$A$1:$I$156</definedName>
    <definedName name="asaasasas" localSheetId="11" hidden="1">{TRUE,FALSE,-2.75,-17,579.75,300.75,FALSE,TRUE,TRUE,FALSE,0,1,#N/A,50,#N/A,9.6125,21,1,FALSE,FALSE,3,TRUE,1,FALSE,100,"Swvu.Ciclos.","ACwvu.Ciclos.",#N/A,FALSE,FALSE,0.78740157480315,0.78740157480315,0.748031496062992,0.866141732283465,1,"","&amp;R&amp;P",TRUE,FALSE,FALSE,FALSE,1,80,#N/A,#N/A,"=R65C1:R127C8","=R1:R4",FALSE,FALSE,FALSE,FALSE,TRUE,9,300,300,FALSE,FALSE,TRUE,TRUE,TRUE}</definedName>
    <definedName name="asaasasas" localSheetId="0" hidden="1">{TRUE,FALSE,-2.75,-17,579.75,300.75,FALSE,TRUE,TRUE,FALSE,0,1,#N/A,50,#N/A,9.6125,21,1,FALSE,FALSE,3,TRUE,1,FALSE,100,"Swvu.Ciclos.","ACwvu.Ciclos.",#N/A,FALSE,FALSE,0.78740157480315,0.78740157480315,0.748031496062992,0.866141732283465,1,"","&amp;R&amp;P",TRUE,FALSE,FALSE,FALSE,1,80,#N/A,#N/A,"=R65C1:R127C8","=R1:R4",FALSE,FALSE,FALSE,FALSE,TRUE,9,300,300,FALSE,FALSE,TRUE,TRUE,TRUE}</definedName>
    <definedName name="asaasasas" localSheetId="6" hidden="1">{TRUE,FALSE,-2.75,-17,579.75,300.75,FALSE,TRUE,TRUE,FALSE,0,1,#N/A,50,#N/A,9.6125,21,1,FALSE,FALSE,3,TRUE,1,FALSE,100,"Swvu.Ciclos.","ACwvu.Ciclos.",#N/A,FALSE,FALSE,0.78740157480315,0.78740157480315,0.748031496062992,0.866141732283465,1,"","&amp;R&amp;P",TRUE,FALSE,FALSE,FALSE,1,80,#N/A,#N/A,"=R65C1:R127C8","=R1:R4",FALSE,FALSE,FALSE,FALSE,TRUE,9,300,300,FALSE,FALSE,TRUE,TRUE,TRUE}</definedName>
    <definedName name="asaasasas" localSheetId="15" hidden="1">{TRUE,FALSE,-2.75,-17,579.75,300.75,FALSE,TRUE,TRUE,FALSE,0,1,#N/A,50,#N/A,9.6125,21,1,FALSE,FALSE,3,TRUE,1,FALSE,100,"Swvu.Ciclos.","ACwvu.Ciclos.",#N/A,FALSE,FALSE,0.78740157480315,0.78740157480315,0.748031496062992,0.866141732283465,1,"","&amp;R&amp;P",TRUE,FALSE,FALSE,FALSE,1,80,#N/A,#N/A,"=R65C1:R127C8","=R1:R4",FALSE,FALSE,FALSE,FALSE,TRUE,9,300,300,FALSE,FALSE,TRUE,TRUE,TRUE}</definedName>
    <definedName name="asaasasas" hidden="1">{TRUE,FALSE,-2.75,-17,579.75,300.75,FALSE,TRUE,TRUE,FALSE,0,1,#N/A,50,#N/A,9.6125,21,1,FALSE,FALSE,3,TRUE,1,FALSE,100,"Swvu.Ciclos.","ACwvu.Ciclos.",#N/A,FALSE,FALSE,0.78740157480315,0.78740157480315,0.748031496062992,0.866141732283465,1,"","&amp;R&amp;P",TRUE,FALSE,FALSE,FALSE,1,80,#N/A,#N/A,"=R65C1:R127C8","=R1:R4",FALSE,FALSE,FALSE,FALSE,TRUE,9,300,300,FALSE,FALSE,TRUE,TRUE,TRUE}</definedName>
    <definedName name="ASASASAS">#REF!</definedName>
    <definedName name="b">#REF!</definedName>
    <definedName name="_xlnm.Database">#REF!</definedName>
    <definedName name="BDI">1.43344312465585</definedName>
    <definedName name="Betune">#REF!</definedName>
    <definedName name="BOLETIM174">#REF!</definedName>
    <definedName name="COD_ELE">#REF!</definedName>
    <definedName name="comp2">#REF!</definedName>
    <definedName name="compinst.">#REF!</definedName>
    <definedName name="_xlnm.Criteria">#REF!</definedName>
    <definedName name="CRITÉRIOS_IM">#REF!</definedName>
    <definedName name="crogr">#REF!</definedName>
    <definedName name="d">#REF!</definedName>
    <definedName name="dasdfhik">#REF!</definedName>
    <definedName name="dcsdsd" localSheetId="11" hidden="1">{TRUE,FALSE,-2.75,-17,579.75,300.75,FALSE,TRUE,TRUE,FALSE,0,1,#N/A,50,#N/A,9.6125,21,1,FALSE,FALSE,3,TRUE,1,FALSE,100,"Swvu.Ciclos.","ACwvu.Ciclos.",#N/A,FALSE,FALSE,0.78740157480315,0.78740157480315,0.748031496062992,0.866141732283465,1,"","&amp;R&amp;P",TRUE,FALSE,FALSE,FALSE,1,80,#N/A,#N/A,"=R65C1:R127C8","=R1:R4",FALSE,FALSE,FALSE,FALSE,TRUE,9,300,300,FALSE,FALSE,TRUE,TRUE,TRUE}</definedName>
    <definedName name="dcsdsd" localSheetId="0" hidden="1">{TRUE,FALSE,-2.75,-17,579.75,300.75,FALSE,TRUE,TRUE,FALSE,0,1,#N/A,50,#N/A,9.6125,21,1,FALSE,FALSE,3,TRUE,1,FALSE,100,"Swvu.Ciclos.","ACwvu.Ciclos.",#N/A,FALSE,FALSE,0.78740157480315,0.78740157480315,0.748031496062992,0.866141732283465,1,"","&amp;R&amp;P",TRUE,FALSE,FALSE,FALSE,1,80,#N/A,#N/A,"=R65C1:R127C8","=R1:R4",FALSE,FALSE,FALSE,FALSE,TRUE,9,300,300,FALSE,FALSE,TRUE,TRUE,TRUE}</definedName>
    <definedName name="dcsdsd" localSheetId="6" hidden="1">{TRUE,FALSE,-2.75,-17,579.75,300.75,FALSE,TRUE,TRUE,FALSE,0,1,#N/A,50,#N/A,9.6125,21,1,FALSE,FALSE,3,TRUE,1,FALSE,100,"Swvu.Ciclos.","ACwvu.Ciclos.",#N/A,FALSE,FALSE,0.78740157480315,0.78740157480315,0.748031496062992,0.866141732283465,1,"","&amp;R&amp;P",TRUE,FALSE,FALSE,FALSE,1,80,#N/A,#N/A,"=R65C1:R127C8","=R1:R4",FALSE,FALSE,FALSE,FALSE,TRUE,9,300,300,FALSE,FALSE,TRUE,TRUE,TRUE}</definedName>
    <definedName name="dcsdsd" localSheetId="15" hidden="1">{TRUE,FALSE,-2.75,-17,579.75,300.75,FALSE,TRUE,TRUE,FALSE,0,1,#N/A,50,#N/A,9.6125,21,1,FALSE,FALSE,3,TRUE,1,FALSE,100,"Swvu.Ciclos.","ACwvu.Ciclos.",#N/A,FALSE,FALSE,0.78740157480315,0.78740157480315,0.748031496062992,0.866141732283465,1,"","&amp;R&amp;P",TRUE,FALSE,FALSE,FALSE,1,80,#N/A,#N/A,"=R65C1:R127C8","=R1:R4",FALSE,FALSE,FALSE,FALSE,TRUE,9,300,300,FALSE,FALSE,TRUE,TRUE,TRUE}</definedName>
    <definedName name="dcsdsd" hidden="1">{TRUE,FALSE,-2.75,-17,579.75,300.75,FALSE,TRUE,TRUE,FALSE,0,1,#N/A,50,#N/A,9.6125,21,1,FALSE,FALSE,3,TRUE,1,FALSE,100,"Swvu.Ciclos.","ACwvu.Ciclos.",#N/A,FALSE,FALSE,0.78740157480315,0.78740157480315,0.748031496062992,0.866141732283465,1,"","&amp;R&amp;P",TRUE,FALSE,FALSE,FALSE,1,80,#N/A,#N/A,"=R65C1:R127C8","=R1:R4",FALSE,FALSE,FALSE,FALSE,TRUE,9,300,300,FALSE,FALSE,TRUE,TRUE,TRUE}</definedName>
    <definedName name="ddddddd">#REF!</definedName>
    <definedName name="DESTINO">#REF!</definedName>
    <definedName name="drtr" hidden="1">#REF!</definedName>
    <definedName name="drtrt" localSheetId="11" hidden="1">{"'Estimativa de Lançamento-JAN'!$A$1:$AI$85"}</definedName>
    <definedName name="drtrt" localSheetId="0" hidden="1">{"'Estimativa de Lançamento-JAN'!$A$1:$AI$85"}</definedName>
    <definedName name="drtrt" localSheetId="6" hidden="1">{"'Estimativa de Lançamento-JAN'!$A$1:$AI$85"}</definedName>
    <definedName name="drtrt" localSheetId="15" hidden="1">{"'Estimativa de Lançamento-JAN'!$A$1:$AI$85"}</definedName>
    <definedName name="drtrt" hidden="1">{"'Estimativa de Lançamento-JAN'!$A$1:$AI$85"}</definedName>
    <definedName name="erte" hidden="1">#REF!</definedName>
    <definedName name="Excel_BuiltIn_Database">#REF!</definedName>
    <definedName name="Excel_BuiltIn_Print_Area_1">#REF!</definedName>
    <definedName name="f">#REF!</definedName>
    <definedName name="fdnhgf" localSheetId="11" hidden="1">{"'Estimativa de Lançamento-JAN'!$A$1:$AI$85"}</definedName>
    <definedName name="fdnhgf" localSheetId="0" hidden="1">{"'Estimativa de Lançamento-JAN'!$A$1:$AI$85"}</definedName>
    <definedName name="fdnhgf" localSheetId="6" hidden="1">{"'Estimativa de Lançamento-JAN'!$A$1:$AI$85"}</definedName>
    <definedName name="fdnhgf" localSheetId="15" hidden="1">{"'Estimativa de Lançamento-JAN'!$A$1:$AI$85"}</definedName>
    <definedName name="fdnhgf" hidden="1">{"'Estimativa de Lançamento-JAN'!$A$1:$AI$85"}</definedName>
    <definedName name="fghfh" localSheetId="11" hidden="1">{"'Estimativa de Lançamento-JAN'!$A$1:$AI$85"}</definedName>
    <definedName name="fghfh" localSheetId="0" hidden="1">{"'Estimativa de Lançamento-JAN'!$A$1:$AI$85"}</definedName>
    <definedName name="fghfh" localSheetId="6" hidden="1">{"'Estimativa de Lançamento-JAN'!$A$1:$AI$85"}</definedName>
    <definedName name="fghfh" localSheetId="15" hidden="1">{"'Estimativa de Lançamento-JAN'!$A$1:$AI$85"}</definedName>
    <definedName name="fghfh" hidden="1">{"'Estimativa de Lançamento-JAN'!$A$1:$AI$85"}</definedName>
    <definedName name="fl">#REF!</definedName>
    <definedName name="FL_1">#REF!</definedName>
    <definedName name="FL_2">#REF!</definedName>
    <definedName name="FL_3">#REF!</definedName>
    <definedName name="g">#REF!</definedName>
    <definedName name="ghjg" localSheetId="11" hidden="1">{"'Estimativa de Lançamento-JAN'!$A$1:$AI$85"}</definedName>
    <definedName name="ghjg" localSheetId="0" hidden="1">{"'Estimativa de Lançamento-JAN'!$A$1:$AI$85"}</definedName>
    <definedName name="ghjg" localSheetId="6" hidden="1">{"'Estimativa de Lançamento-JAN'!$A$1:$AI$85"}</definedName>
    <definedName name="ghjg" localSheetId="15" hidden="1">{"'Estimativa de Lançamento-JAN'!$A$1:$AI$85"}</definedName>
    <definedName name="ghjg" hidden="1">{"'Estimativa de Lançamento-JAN'!$A$1:$AI$85"}</definedName>
    <definedName name="global" localSheetId="11" hidden="1">{"'Estimativa de Lançamento-JAN'!$A$1:$AI$85"}</definedName>
    <definedName name="global" localSheetId="0" hidden="1">{"'Estimativa de Lançamento-JAN'!$A$1:$AI$85"}</definedName>
    <definedName name="global" localSheetId="6" hidden="1">{"'Estimativa de Lançamento-JAN'!$A$1:$AI$85"}</definedName>
    <definedName name="global" localSheetId="15" hidden="1">{"'Estimativa de Lançamento-JAN'!$A$1:$AI$85"}</definedName>
    <definedName name="global" hidden="1">{"'Estimativa de Lançamento-JAN'!$A$1:$AI$85"}</definedName>
    <definedName name="H">#REF!</definedName>
    <definedName name="HTML_CodePage" hidden="1">1252</definedName>
    <definedName name="HTML_Control" localSheetId="11" hidden="1">{"'Estimativa de Lançamento-JAN'!$A$1:$AI$85"}</definedName>
    <definedName name="HTML_Control" localSheetId="0" hidden="1">{"'Estimativa de Lançamento-JAN'!$A$1:$AI$85"}</definedName>
    <definedName name="HTML_Control" localSheetId="6" hidden="1">{"'Estimativa de Lançamento-JAN'!$A$1:$AI$85"}</definedName>
    <definedName name="HTML_Control" localSheetId="15" hidden="1">{"'Estimativa de Lançamento-JAN'!$A$1:$AI$85"}</definedName>
    <definedName name="HTML_Control" hidden="1">{"'Estimativa de Lançamento-JAN'!$A$1:$AI$85"}</definedName>
    <definedName name="HTML_Description" hidden="1">""</definedName>
    <definedName name="HTML_Email" hidden="1">""</definedName>
    <definedName name="HTML_Header" hidden="1">"Estimativa de Lançamento-JAN"</definedName>
    <definedName name="HTML_LastUpdate" hidden="1">"03/01/01"</definedName>
    <definedName name="HTML_LineAfter" hidden="1">FALSE</definedName>
    <definedName name="HTML_LineBefore" hidden="1">FALSE</definedName>
    <definedName name="HTML_Name" hidden="1">"CAMARGO CORREA"</definedName>
    <definedName name="HTML_OBDlg2" hidden="1">TRUE</definedName>
    <definedName name="HTML_OBDlg4" hidden="1">TRUE</definedName>
    <definedName name="HTML_OS" hidden="1">0</definedName>
    <definedName name="HTML_PathFile" hidden="1">"Y:\Producao de Concreto\Meus documentos\Aylton\Roberto\MeuHTML.htm"</definedName>
    <definedName name="HTML_Title" hidden="1">"Previsão Lançamento Concreto"</definedName>
    <definedName name="HTML2_CONTROL" localSheetId="11" hidden="1">{"'Estimativa de Lançamento-JAN'!$A$1:$AI$85"}</definedName>
    <definedName name="HTML2_CONTROL" localSheetId="0" hidden="1">{"'Estimativa de Lançamento-JAN'!$A$1:$AI$85"}</definedName>
    <definedName name="HTML2_CONTROL" localSheetId="6" hidden="1">{"'Estimativa de Lançamento-JAN'!$A$1:$AI$85"}</definedName>
    <definedName name="HTML2_CONTROL" localSheetId="15" hidden="1">{"'Estimativa de Lançamento-JAN'!$A$1:$AI$85"}</definedName>
    <definedName name="HTML2_CONTROL" hidden="1">{"'Estimativa de Lançamento-JAN'!$A$1:$AI$85"}</definedName>
    <definedName name="HTML3_CONTROL" localSheetId="11" hidden="1">{"'Estimativa de Lançamento-JAN'!$A$1:$AI$85"}</definedName>
    <definedName name="HTML3_CONTROL" localSheetId="0" hidden="1">{"'Estimativa de Lançamento-JAN'!$A$1:$AI$85"}</definedName>
    <definedName name="HTML3_CONTROL" localSheetId="6" hidden="1">{"'Estimativa de Lançamento-JAN'!$A$1:$AI$85"}</definedName>
    <definedName name="HTML3_CONTROL" localSheetId="15" hidden="1">{"'Estimativa de Lançamento-JAN'!$A$1:$AI$85"}</definedName>
    <definedName name="HTML3_CONTROL" hidden="1">{"'Estimativa de Lançamento-JAN'!$A$1:$AI$85"}</definedName>
    <definedName name="i">#REF!</definedName>
    <definedName name="ik">#REF!</definedName>
    <definedName name="INFRA">#REF!</definedName>
    <definedName name="INIT_E">#REF!</definedName>
    <definedName name="J">#REF!</definedName>
    <definedName name="jh">#REF!</definedName>
    <definedName name="Justificativa">#REF!</definedName>
    <definedName name="k">#REF!</definedName>
    <definedName name="katia" localSheetId="11" hidden="1">{TRUE,FALSE,-2.75,-17,579.75,300.75,FALSE,TRUE,TRUE,FALSE,0,1,#N/A,1,#N/A,9.6125,21.1764705882353,1,FALSE,FALSE,3,TRUE,1,FALSE,100,"Swvu.Características.","ACwvu.Características.",#N/A,FALSE,FALSE,0.78740157480315,0.78740157480315,0.748031496062992,0.866141732283465,1,"","&amp;R&amp;P",TRUE,FALSE,FALSE,FALSE,1,100,#N/A,#N/A,"=R5C1:R64C8","=R1:R4",FALSE,FALSE,FALSE,FALSE,TRUE,9,300,300,FALSE,FALSE,TRUE,TRUE,TRUE}</definedName>
    <definedName name="katia" localSheetId="0" hidden="1">{TRUE,FALSE,-2.75,-17,579.75,300.75,FALSE,TRUE,TRUE,FALSE,0,1,#N/A,1,#N/A,9.6125,21.1764705882353,1,FALSE,FALSE,3,TRUE,1,FALSE,100,"Swvu.Características.","ACwvu.Características.",#N/A,FALSE,FALSE,0.78740157480315,0.78740157480315,0.748031496062992,0.866141732283465,1,"","&amp;R&amp;P",TRUE,FALSE,FALSE,FALSE,1,100,#N/A,#N/A,"=R5C1:R64C8","=R1:R4",FALSE,FALSE,FALSE,FALSE,TRUE,9,300,300,FALSE,FALSE,TRUE,TRUE,TRUE}</definedName>
    <definedName name="katia" localSheetId="6" hidden="1">{TRUE,FALSE,-2.75,-17,579.75,300.75,FALSE,TRUE,TRUE,FALSE,0,1,#N/A,1,#N/A,9.6125,21.1764705882353,1,FALSE,FALSE,3,TRUE,1,FALSE,100,"Swvu.Características.","ACwvu.Características.",#N/A,FALSE,FALSE,0.78740157480315,0.78740157480315,0.748031496062992,0.866141732283465,1,"","&amp;R&amp;P",TRUE,FALSE,FALSE,FALSE,1,100,#N/A,#N/A,"=R5C1:R64C8","=R1:R4",FALSE,FALSE,FALSE,FALSE,TRUE,9,300,300,FALSE,FALSE,TRUE,TRUE,TRUE}</definedName>
    <definedName name="katia" localSheetId="15" hidden="1">{TRUE,FALSE,-2.75,-17,579.75,300.75,FALSE,TRUE,TRUE,FALSE,0,1,#N/A,1,#N/A,9.6125,21.1764705882353,1,FALSE,FALSE,3,TRUE,1,FALSE,100,"Swvu.Características.","ACwvu.Características.",#N/A,FALSE,FALSE,0.78740157480315,0.78740157480315,0.748031496062992,0.866141732283465,1,"","&amp;R&amp;P",TRUE,FALSE,FALSE,FALSE,1,100,#N/A,#N/A,"=R5C1:R64C8","=R1:R4",FALSE,FALSE,FALSE,FALSE,TRUE,9,300,300,FALSE,FALSE,TRUE,TRUE,TRUE}</definedName>
    <definedName name="katia" hidden="1">{TRUE,FALSE,-2.75,-17,579.75,300.75,FALSE,TRUE,TRUE,FALSE,0,1,#N/A,1,#N/A,9.6125,21.1764705882353,1,FALSE,FALSE,3,TRUE,1,FALSE,100,"Swvu.Características.","ACwvu.Características.",#N/A,FALSE,FALSE,0.78740157480315,0.78740157480315,0.748031496062992,0.866141732283465,1,"","&amp;R&amp;P",TRUE,FALSE,FALSE,FALSE,1,100,#N/A,#N/A,"=R5C1:R64C8","=R1:R4",FALSE,FALSE,FALSE,FALSE,TRUE,9,300,300,FALSE,FALSE,TRUE,TRUE,TRUE}</definedName>
    <definedName name="l.sociais">#REF!</definedName>
    <definedName name="L_">#REF!</definedName>
    <definedName name="Leg" hidden="1">#REF!</definedName>
    <definedName name="Lista_Insumo">#REF!</definedName>
    <definedName name="LOCALMENU">#REF!</definedName>
    <definedName name="LS">#REF!</definedName>
    <definedName name="m">#REF!</definedName>
    <definedName name="MAT_CUS_E">#REF!</definedName>
    <definedName name="MAT_VEN_E">#REF!</definedName>
    <definedName name="MCMV">#REF!</definedName>
    <definedName name="MDO_CUS_E">#REF!</definedName>
    <definedName name="MDO_VEN_E">#REF!</definedName>
    <definedName name="mm">#REF!</definedName>
    <definedName name="mmmmmmm" localSheetId="1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mmmmmm" localSheetId="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mmmmmm" localSheetId="6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mmmmmm" localSheetId="15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mmmmmm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ódulo">#REF!</definedName>
    <definedName name="n">#REF!</definedName>
    <definedName name="nao">#REF!</definedName>
    <definedName name="nn">#REF!</definedName>
    <definedName name="NNN">#REF!</definedName>
    <definedName name="op">#REF!</definedName>
    <definedName name="ORÇAMENTO" localSheetId="11" hidden="1">{"características",#N/A,TRUE,"Imprime1";"ciclos",#N/A,TRUE,"Imprime1"}</definedName>
    <definedName name="ORÇAMENTO" localSheetId="0" hidden="1">{"características",#N/A,TRUE,"Imprime1";"ciclos",#N/A,TRUE,"Imprime1"}</definedName>
    <definedName name="ORÇAMENTO" localSheetId="6" hidden="1">{"características",#N/A,TRUE,"Imprime1";"ciclos",#N/A,TRUE,"Imprime1"}</definedName>
    <definedName name="ORÇAMENTO" localSheetId="15" hidden="1">{"características",#N/A,TRUE,"Imprime1";"ciclos",#N/A,TRUE,"Imprime1"}</definedName>
    <definedName name="ORÇAMENTO" hidden="1">{"características",#N/A,TRUE,"Imprime1";"ciclos",#N/A,TRUE,"Imprime1"}</definedName>
    <definedName name="p">#REF!</definedName>
    <definedName name="PARETOATIV" localSheetId="11" hidden="1">{#N/A,#N/A,FALSE,"CPV";#N/A,#N/A,FALSE,"Pareto";#N/A,#N/A,FALSE,"Gráficos"}</definedName>
    <definedName name="PARETOATIV" localSheetId="0" hidden="1">{#N/A,#N/A,FALSE,"CPV";#N/A,#N/A,FALSE,"Pareto";#N/A,#N/A,FALSE,"Gráficos"}</definedName>
    <definedName name="PARETOATIV" localSheetId="6" hidden="1">{#N/A,#N/A,FALSE,"CPV";#N/A,#N/A,FALSE,"Pareto";#N/A,#N/A,FALSE,"Gráficos"}</definedName>
    <definedName name="PARETOATIV" localSheetId="15" hidden="1">{#N/A,#N/A,FALSE,"CPV";#N/A,#N/A,FALSE,"Pareto";#N/A,#N/A,FALSE,"Gráficos"}</definedName>
    <definedName name="PARETOATIV" hidden="1">{#N/A,#N/A,FALSE,"CPV";#N/A,#N/A,FALSE,"Pareto";#N/A,#N/A,FALSE,"Gráficos"}</definedName>
    <definedName name="plan" hidden="1">#REF!</definedName>
    <definedName name="popspkasdjhlasdbhasfknb">#REF!</definedName>
    <definedName name="Prazo">#REF!</definedName>
    <definedName name="Preços">#REF!</definedName>
    <definedName name="Print_Titles_MI">#REF!</definedName>
    <definedName name="programa">#REF!</definedName>
    <definedName name="PROPOSTA_EQUIPAMENTOS">#REF!</definedName>
    <definedName name="qr">#REF!</definedName>
    <definedName name="REGADM">#REF!</definedName>
    <definedName name="S">#REF!</definedName>
    <definedName name="sdfsd" localSheetId="11" hidden="1">{"'Estimativa de Lançamento-JAN'!$A$1:$AI$85"}</definedName>
    <definedName name="sdfsd" localSheetId="0" hidden="1">{"'Estimativa de Lançamento-JAN'!$A$1:$AI$85"}</definedName>
    <definedName name="sdfsd" localSheetId="6" hidden="1">{"'Estimativa de Lançamento-JAN'!$A$1:$AI$85"}</definedName>
    <definedName name="sdfsd" localSheetId="15" hidden="1">{"'Estimativa de Lançamento-JAN'!$A$1:$AI$85"}</definedName>
    <definedName name="sdfsd" hidden="1">{"'Estimativa de Lançamento-JAN'!$A$1:$AI$85"}</definedName>
    <definedName name="se">#REF!</definedName>
    <definedName name="sencount" hidden="1">1</definedName>
    <definedName name="solver_lin" hidden="1">0</definedName>
    <definedName name="solver_num" hidden="1">0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sss">#REF!</definedName>
    <definedName name="Swvu.Características." hidden="1">#REF!</definedName>
    <definedName name="Swvu.Ciclos." hidden="1">#REF!</definedName>
    <definedName name="Swvu.Custos." hidden="1">#REF!</definedName>
    <definedName name="Swvu.Recursos." hidden="1">#REF!</definedName>
    <definedName name="teste" localSheetId="11" hidden="1">{"características",#N/A,TRUE,"Imprime1";"ciclos",#N/A,TRUE,"Imprime1"}</definedName>
    <definedName name="teste" localSheetId="0" hidden="1">{"características",#N/A,TRUE,"Imprime1";"ciclos",#N/A,TRUE,"Imprime1"}</definedName>
    <definedName name="teste" localSheetId="6" hidden="1">{"características",#N/A,TRUE,"Imprime1";"ciclos",#N/A,TRUE,"Imprime1"}</definedName>
    <definedName name="teste" localSheetId="15" hidden="1">{"características",#N/A,TRUE,"Imprime1";"ciclos",#N/A,TRUE,"Imprime1"}</definedName>
    <definedName name="teste" hidden="1">{"características",#N/A,TRUE,"Imprime1";"ciclos",#N/A,TRUE,"Imprime1"}</definedName>
    <definedName name="TIPODOC">#REF!</definedName>
    <definedName name="TIPOSERV">#REF!</definedName>
    <definedName name="_xlnm.Print_Titles" localSheetId="11">Detalhamento!$2:$2</definedName>
    <definedName name="_xlnm.Print_Titles" localSheetId="0">'Detalhamento - G200'!$5:$5</definedName>
    <definedName name="_xlnm.Print_Titles" localSheetId="6">'Detalhamento - Sub69'!$2:$2</definedName>
    <definedName name="tt">#REF!</definedName>
    <definedName name="ttt">#REF!</definedName>
    <definedName name="tttt">#REF!</definedName>
    <definedName name="tttttt">#REF!</definedName>
    <definedName name="ui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AreaConstruida">#REF!</definedName>
    <definedName name="vAreaContribuicao">#REF!</definedName>
    <definedName name="vAreaGrama">#REF!</definedName>
    <definedName name="vAreaProjecao">#REF!</definedName>
    <definedName name="vAreaSalaoVendas">#REF!</definedName>
    <definedName name="vAreaTerreno">#REF!</definedName>
    <definedName name="vPerimetroTerreno">#REF!</definedName>
    <definedName name="vProfundidadeEstacas">#REF!</definedName>
    <definedName name="wrn.DESDOBRE." localSheetId="11" hidden="1">{#N/A,#N/A,FALSE,"CPV";#N/A,#N/A,FALSE,"Pareto";#N/A,#N/A,FALSE,"Gráficos"}</definedName>
    <definedName name="wrn.DESDOBRE." localSheetId="0" hidden="1">{#N/A,#N/A,FALSE,"CPV";#N/A,#N/A,FALSE,"Pareto";#N/A,#N/A,FALSE,"Gráficos"}</definedName>
    <definedName name="wrn.DESDOBRE." localSheetId="6" hidden="1">{#N/A,#N/A,FALSE,"CPV";#N/A,#N/A,FALSE,"Pareto";#N/A,#N/A,FALSE,"Gráficos"}</definedName>
    <definedName name="wrn.DESDOBRE." localSheetId="15" hidden="1">{#N/A,#N/A,FALSE,"CPV";#N/A,#N/A,FALSE,"Pareto";#N/A,#N/A,FALSE,"Gráficos"}</definedName>
    <definedName name="wrn.DESDOBRE." hidden="1">{#N/A,#N/A,FALSE,"CPV";#N/A,#N/A,FALSE,"Pareto";#N/A,#N/A,FALSE,"Gráficos"}</definedName>
    <definedName name="wrn.GERAL." localSheetId="11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localSheetId="6" hidden="1">{#N/A,#N/A,FALSE,"ET-CAPA";#N/A,#N/A,FALSE,"ET-PAG1";#N/A,#N/A,FALSE,"ET-PAG2";#N/A,#N/A,FALSE,"ET-PAG3";#N/A,#N/A,FALSE,"ET-PAG4";#N/A,#N/A,FALSE,"ET-PAG5"}</definedName>
    <definedName name="wrn.GERAL." localSheetId="15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PENDENCIAS.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Quadros._.relatório." localSheetId="1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6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15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lat1" localSheetId="11" hidden="1">{"características",#N/A,TRUE,"Imprime1";"ciclos",#N/A,TRUE,"Imprime1"}</definedName>
    <definedName name="wrn.relat1" localSheetId="0" hidden="1">{"características",#N/A,TRUE,"Imprime1";"ciclos",#N/A,TRUE,"Imprime1"}</definedName>
    <definedName name="wrn.relat1" localSheetId="6" hidden="1">{"características",#N/A,TRUE,"Imprime1";"ciclos",#N/A,TRUE,"Imprime1"}</definedName>
    <definedName name="wrn.relat1" localSheetId="15" hidden="1">{"características",#N/A,TRUE,"Imprime1";"ciclos",#N/A,TRUE,"Imprime1"}</definedName>
    <definedName name="wrn.relat1" hidden="1">{"características",#N/A,TRUE,"Imprime1";"ciclos",#N/A,TRUE,"Imprime1"}</definedName>
    <definedName name="wrn.relat1." localSheetId="11" hidden="1">{"características",#N/A,TRUE,"Imprime1";"ciclos",#N/A,TRUE,"Imprime1"}</definedName>
    <definedName name="wrn.relat1." localSheetId="0" hidden="1">{"características",#N/A,TRUE,"Imprime1";"ciclos",#N/A,TRUE,"Imprime1"}</definedName>
    <definedName name="wrn.relat1." localSheetId="6" hidden="1">{"características",#N/A,TRUE,"Imprime1";"ciclos",#N/A,TRUE,"Imprime1"}</definedName>
    <definedName name="wrn.relat1." localSheetId="15" hidden="1">{"características",#N/A,TRUE,"Imprime1";"ciclos",#N/A,TRUE,"Imprime1"}</definedName>
    <definedName name="wrn.relat1." hidden="1">{"características",#N/A,TRUE,"Imprime1";"ciclos",#N/A,TRUE,"Imprime1"}</definedName>
    <definedName name="wrn.relat2." localSheetId="11" hidden="1">{"Características",#N/A,TRUE,"Imprime1";"Custos",#N/A,TRUE,"Imprime1"}</definedName>
    <definedName name="wrn.relat2." localSheetId="0" hidden="1">{"Características",#N/A,TRUE,"Imprime1";"Custos",#N/A,TRUE,"Imprime1"}</definedName>
    <definedName name="wrn.relat2." localSheetId="6" hidden="1">{"Características",#N/A,TRUE,"Imprime1";"Custos",#N/A,TRUE,"Imprime1"}</definedName>
    <definedName name="wrn.relat2." localSheetId="15" hidden="1">{"Características",#N/A,TRUE,"Imprime1";"Custos",#N/A,TRUE,"Imprime1"}</definedName>
    <definedName name="wrn.relat2." hidden="1">{"Características",#N/A,TRUE,"Imprime1";"Custos",#N/A,TRUE,"Imprime1"}</definedName>
    <definedName name="wvu.Características." localSheetId="11" hidden="1">{TRUE,FALSE,-2.75,-17,579.75,300.75,FALSE,TRUE,TRUE,FALSE,0,1,#N/A,1,#N/A,9.6125,21.1764705882353,1,FALSE,FALSE,3,TRUE,1,FALSE,100,"Swvu.Características.","ACwvu.Características.",#N/A,FALSE,FALSE,0.78740157480315,0.78740157480315,0.748031496062992,0.866141732283465,1,"","&amp;R&amp;P",TRUE,FALSE,FALSE,FALSE,1,100,#N/A,#N/A,"=R5C1:R64C8","=R1:R4",FALSE,FALSE,FALSE,FALSE,TRUE,9,300,300,FALSE,FALSE,TRUE,TRUE,TRUE}</definedName>
    <definedName name="wvu.Características." localSheetId="0" hidden="1">{TRUE,FALSE,-2.75,-17,579.75,300.75,FALSE,TRUE,TRUE,FALSE,0,1,#N/A,1,#N/A,9.6125,21.1764705882353,1,FALSE,FALSE,3,TRUE,1,FALSE,100,"Swvu.Características.","ACwvu.Características.",#N/A,FALSE,FALSE,0.78740157480315,0.78740157480315,0.748031496062992,0.866141732283465,1,"","&amp;R&amp;P",TRUE,FALSE,FALSE,FALSE,1,100,#N/A,#N/A,"=R5C1:R64C8","=R1:R4",FALSE,FALSE,FALSE,FALSE,TRUE,9,300,300,FALSE,FALSE,TRUE,TRUE,TRUE}</definedName>
    <definedName name="wvu.Características." localSheetId="6" hidden="1">{TRUE,FALSE,-2.75,-17,579.75,300.75,FALSE,TRUE,TRUE,FALSE,0,1,#N/A,1,#N/A,9.6125,21.1764705882353,1,FALSE,FALSE,3,TRUE,1,FALSE,100,"Swvu.Características.","ACwvu.Características.",#N/A,FALSE,FALSE,0.78740157480315,0.78740157480315,0.748031496062992,0.866141732283465,1,"","&amp;R&amp;P",TRUE,FALSE,FALSE,FALSE,1,100,#N/A,#N/A,"=R5C1:R64C8","=R1:R4",FALSE,FALSE,FALSE,FALSE,TRUE,9,300,300,FALSE,FALSE,TRUE,TRUE,TRUE}</definedName>
    <definedName name="wvu.Características." localSheetId="15" hidden="1">{TRUE,FALSE,-2.75,-17,579.75,300.75,FALSE,TRUE,TRUE,FALSE,0,1,#N/A,1,#N/A,9.6125,21.1764705882353,1,FALSE,FALSE,3,TRUE,1,FALSE,100,"Swvu.Características.","ACwvu.Características.",#N/A,FALSE,FALSE,0.78740157480315,0.78740157480315,0.748031496062992,0.866141732283465,1,"","&amp;R&amp;P",TRUE,FALSE,FALSE,FALSE,1,100,#N/A,#N/A,"=R5C1:R64C8","=R1:R4",FALSE,FALSE,FALSE,FALSE,TRUE,9,300,300,FALSE,FALSE,TRUE,TRUE,TRUE}</definedName>
    <definedName name="wvu.Características." hidden="1">{TRUE,FALSE,-2.75,-17,579.75,300.75,FALSE,TRUE,TRUE,FALSE,0,1,#N/A,1,#N/A,9.6125,21.1764705882353,1,FALSE,FALSE,3,TRUE,1,FALSE,100,"Swvu.Características.","ACwvu.Características.",#N/A,FALSE,FALSE,0.78740157480315,0.78740157480315,0.748031496062992,0.866141732283465,1,"","&amp;R&amp;P",TRUE,FALSE,FALSE,FALSE,1,100,#N/A,#N/A,"=R5C1:R64C8","=R1:R4",FALSE,FALSE,FALSE,FALSE,TRUE,9,300,300,FALSE,FALSE,TRUE,TRUE,TRUE}</definedName>
    <definedName name="wvu.Ciclos." localSheetId="11" hidden="1">{TRUE,FALSE,-2.75,-17,579.75,300.75,FALSE,TRUE,TRUE,FALSE,0,1,#N/A,50,#N/A,9.6125,21,1,FALSE,FALSE,3,TRUE,1,FALSE,100,"Swvu.Ciclos.","ACwvu.Ciclos.",#N/A,FALSE,FALSE,0.78740157480315,0.78740157480315,0.748031496062992,0.866141732283465,1,"","&amp;R&amp;P",TRUE,FALSE,FALSE,FALSE,1,80,#N/A,#N/A,"=R65C1:R127C8","=R1:R4",FALSE,FALSE,FALSE,FALSE,TRUE,9,300,300,FALSE,FALSE,TRUE,TRUE,TRUE}</definedName>
    <definedName name="wvu.Ciclos." localSheetId="0" hidden="1">{TRUE,FALSE,-2.75,-17,579.75,300.75,FALSE,TRUE,TRUE,FALSE,0,1,#N/A,50,#N/A,9.6125,21,1,FALSE,FALSE,3,TRUE,1,FALSE,100,"Swvu.Ciclos.","ACwvu.Ciclos.",#N/A,FALSE,FALSE,0.78740157480315,0.78740157480315,0.748031496062992,0.866141732283465,1,"","&amp;R&amp;P",TRUE,FALSE,FALSE,FALSE,1,80,#N/A,#N/A,"=R65C1:R127C8","=R1:R4",FALSE,FALSE,FALSE,FALSE,TRUE,9,300,300,FALSE,FALSE,TRUE,TRUE,TRUE}</definedName>
    <definedName name="wvu.Ciclos." localSheetId="6" hidden="1">{TRUE,FALSE,-2.75,-17,579.75,300.75,FALSE,TRUE,TRUE,FALSE,0,1,#N/A,50,#N/A,9.6125,21,1,FALSE,FALSE,3,TRUE,1,FALSE,100,"Swvu.Ciclos.","ACwvu.Ciclos.",#N/A,FALSE,FALSE,0.78740157480315,0.78740157480315,0.748031496062992,0.866141732283465,1,"","&amp;R&amp;P",TRUE,FALSE,FALSE,FALSE,1,80,#N/A,#N/A,"=R65C1:R127C8","=R1:R4",FALSE,FALSE,FALSE,FALSE,TRUE,9,300,300,FALSE,FALSE,TRUE,TRUE,TRUE}</definedName>
    <definedName name="wvu.Ciclos." localSheetId="15" hidden="1">{TRUE,FALSE,-2.75,-17,579.75,300.75,FALSE,TRUE,TRUE,FALSE,0,1,#N/A,50,#N/A,9.6125,21,1,FALSE,FALSE,3,TRUE,1,FALSE,100,"Swvu.Ciclos.","ACwvu.Ciclos.",#N/A,FALSE,FALSE,0.78740157480315,0.78740157480315,0.748031496062992,0.866141732283465,1,"","&amp;R&amp;P",TRUE,FALSE,FALSE,FALSE,1,80,#N/A,#N/A,"=R65C1:R127C8","=R1:R4",FALSE,FALSE,FALSE,FALSE,TRUE,9,300,300,FALSE,FALSE,TRUE,TRUE,TRUE}</definedName>
    <definedName name="wvu.Ciclos." hidden="1">{TRUE,FALSE,-2.75,-17,579.75,300.75,FALSE,TRUE,TRUE,FALSE,0,1,#N/A,50,#N/A,9.6125,21,1,FALSE,FALSE,3,TRUE,1,FALSE,100,"Swvu.Ciclos.","ACwvu.Ciclos.",#N/A,FALSE,FALSE,0.78740157480315,0.78740157480315,0.748031496062992,0.866141732283465,1,"","&amp;R&amp;P",TRUE,FALSE,FALSE,FALSE,1,80,#N/A,#N/A,"=R65C1:R127C8","=R1:R4",FALSE,FALSE,FALSE,FALSE,TRUE,9,300,300,FALSE,FALSE,TRUE,TRUE,TRUE}</definedName>
    <definedName name="wvu.Custos." localSheetId="11" hidden="1">{TRUE,FALSE,-2.75,-17,579.75,300.75,FALSE,TRUE,TRUE,FALSE,0,1,#N/A,120,#N/A,9.6125,19.4705882352941,1,FALSE,FALSE,3,TRUE,1,FALSE,100,"Swvu.Custos.","ACwvu.Custos.",#N/A,FALSE,FALSE,0.78740157480315,0.78740157480315,0.748031496062992,0.866141732283465,1,"","&amp;R&amp;P",TRUE,FALSE,FALSE,FALSE,1,80,#N/A,#N/A,"=R129C1:R193C8","=R1:R4",FALSE,FALSE,FALSE,FALSE,TRUE,9,300,300,FALSE,FALSE,TRUE,TRUE,TRUE}</definedName>
    <definedName name="wvu.Custos." localSheetId="0" hidden="1">{TRUE,FALSE,-2.75,-17,579.75,300.75,FALSE,TRUE,TRUE,FALSE,0,1,#N/A,120,#N/A,9.6125,19.4705882352941,1,FALSE,FALSE,3,TRUE,1,FALSE,100,"Swvu.Custos.","ACwvu.Custos.",#N/A,FALSE,FALSE,0.78740157480315,0.78740157480315,0.748031496062992,0.866141732283465,1,"","&amp;R&amp;P",TRUE,FALSE,FALSE,FALSE,1,80,#N/A,#N/A,"=R129C1:R193C8","=R1:R4",FALSE,FALSE,FALSE,FALSE,TRUE,9,300,300,FALSE,FALSE,TRUE,TRUE,TRUE}</definedName>
    <definedName name="wvu.Custos." localSheetId="6" hidden="1">{TRUE,FALSE,-2.75,-17,579.75,300.75,FALSE,TRUE,TRUE,FALSE,0,1,#N/A,120,#N/A,9.6125,19.4705882352941,1,FALSE,FALSE,3,TRUE,1,FALSE,100,"Swvu.Custos.","ACwvu.Custos.",#N/A,FALSE,FALSE,0.78740157480315,0.78740157480315,0.748031496062992,0.866141732283465,1,"","&amp;R&amp;P",TRUE,FALSE,FALSE,FALSE,1,80,#N/A,#N/A,"=R129C1:R193C8","=R1:R4",FALSE,FALSE,FALSE,FALSE,TRUE,9,300,300,FALSE,FALSE,TRUE,TRUE,TRUE}</definedName>
    <definedName name="wvu.Custos." localSheetId="15" hidden="1">{TRUE,FALSE,-2.75,-17,579.75,300.75,FALSE,TRUE,TRUE,FALSE,0,1,#N/A,120,#N/A,9.6125,19.4705882352941,1,FALSE,FALSE,3,TRUE,1,FALSE,100,"Swvu.Custos.","ACwvu.Custos.",#N/A,FALSE,FALSE,0.78740157480315,0.78740157480315,0.748031496062992,0.866141732283465,1,"","&amp;R&amp;P",TRUE,FALSE,FALSE,FALSE,1,80,#N/A,#N/A,"=R129C1:R193C8","=R1:R4",FALSE,FALSE,FALSE,FALSE,TRUE,9,300,300,FALSE,FALSE,TRUE,TRUE,TRUE}</definedName>
    <definedName name="wvu.Custos." hidden="1">{TRUE,FALSE,-2.75,-17,579.75,300.75,FALSE,TRUE,TRUE,FALSE,0,1,#N/A,120,#N/A,9.6125,19.4705882352941,1,FALSE,FALSE,3,TRUE,1,FALSE,100,"Swvu.Custos.","ACwvu.Custos.",#N/A,FALSE,FALSE,0.78740157480315,0.78740157480315,0.748031496062992,0.866141732283465,1,"","&amp;R&amp;P",TRUE,FALSE,FALSE,FALSE,1,80,#N/A,#N/A,"=R129C1:R193C8","=R1:R4",FALSE,FALSE,FALSE,FALSE,TRUE,9,300,300,FALSE,FALSE,TRUE,TRUE,TRUE}</definedName>
    <definedName name="wvu.Recursos." localSheetId="11" hidden="1">{TRUE,FALSE,-2.75,-17,579.75,300.75,FALSE,TRUE,TRUE,FALSE,0,1,#N/A,186,#N/A,9.6125,19.4117647058824,1,FALSE,FALSE,3,TRUE,1,FALSE,100,"Swvu.Recursos.","ACwvu.Recursos.",#N/A,FALSE,FALSE,0.78740157480315,0.78740157480315,0.748031496062992,0.866141732283465,1,"","&amp;R&amp;P",TRUE,FALSE,FALSE,FALSE,1,80,#N/A,#N/A,"=R195C1:R259C8","=R1:R4",FALSE,FALSE,FALSE,FALSE,TRUE,9,300,300,FALSE,FALSE,TRUE,TRUE,TRUE}</definedName>
    <definedName name="wvu.Recursos." localSheetId="0" hidden="1">{TRUE,FALSE,-2.75,-17,579.75,300.75,FALSE,TRUE,TRUE,FALSE,0,1,#N/A,186,#N/A,9.6125,19.4117647058824,1,FALSE,FALSE,3,TRUE,1,FALSE,100,"Swvu.Recursos.","ACwvu.Recursos.",#N/A,FALSE,FALSE,0.78740157480315,0.78740157480315,0.748031496062992,0.866141732283465,1,"","&amp;R&amp;P",TRUE,FALSE,FALSE,FALSE,1,80,#N/A,#N/A,"=R195C1:R259C8","=R1:R4",FALSE,FALSE,FALSE,FALSE,TRUE,9,300,300,FALSE,FALSE,TRUE,TRUE,TRUE}</definedName>
    <definedName name="wvu.Recursos." localSheetId="6" hidden="1">{TRUE,FALSE,-2.75,-17,579.75,300.75,FALSE,TRUE,TRUE,FALSE,0,1,#N/A,186,#N/A,9.6125,19.4117647058824,1,FALSE,FALSE,3,TRUE,1,FALSE,100,"Swvu.Recursos.","ACwvu.Recursos.",#N/A,FALSE,FALSE,0.78740157480315,0.78740157480315,0.748031496062992,0.866141732283465,1,"","&amp;R&amp;P",TRUE,FALSE,FALSE,FALSE,1,80,#N/A,#N/A,"=R195C1:R259C8","=R1:R4",FALSE,FALSE,FALSE,FALSE,TRUE,9,300,300,FALSE,FALSE,TRUE,TRUE,TRUE}</definedName>
    <definedName name="wvu.Recursos." localSheetId="15" hidden="1">{TRUE,FALSE,-2.75,-17,579.75,300.75,FALSE,TRUE,TRUE,FALSE,0,1,#N/A,186,#N/A,9.6125,19.4117647058824,1,FALSE,FALSE,3,TRUE,1,FALSE,100,"Swvu.Recursos.","ACwvu.Recursos.",#N/A,FALSE,FALSE,0.78740157480315,0.78740157480315,0.748031496062992,0.866141732283465,1,"","&amp;R&amp;P",TRUE,FALSE,FALSE,FALSE,1,80,#N/A,#N/A,"=R195C1:R259C8","=R1:R4",FALSE,FALSE,FALSE,FALSE,TRUE,9,300,300,FALSE,FALSE,TRUE,TRUE,TRUE}</definedName>
    <definedName name="wvu.Recursos." hidden="1">{TRUE,FALSE,-2.75,-17,579.75,300.75,FALSE,TRUE,TRUE,FALSE,0,1,#N/A,186,#N/A,9.6125,19.4117647058824,1,FALSE,FALSE,3,TRUE,1,FALSE,100,"Swvu.Recursos.","ACwvu.Recursos.",#N/A,FALSE,FALSE,0.78740157480315,0.78740157480315,0.748031496062992,0.866141732283465,1,"","&amp;R&amp;P",TRUE,FALSE,FALSE,FALSE,1,80,#N/A,#N/A,"=R195C1:R259C8","=R1:R4",FALSE,FALSE,FALSE,FALSE,TRUE,9,300,300,FALSE,FALSE,TRUE,TRUE,TRUE}</definedName>
    <definedName name="yu">#REF!</definedName>
    <definedName name="z" localSheetId="11" hidden="1">{"'Estimativa de Lançamento-JAN'!$A$1:$AI$85"}</definedName>
    <definedName name="z" localSheetId="0" hidden="1">{"'Estimativa de Lançamento-JAN'!$A$1:$AI$85"}</definedName>
    <definedName name="z" localSheetId="6" hidden="1">{"'Estimativa de Lançamento-JAN'!$A$1:$AI$85"}</definedName>
    <definedName name="z" localSheetId="15" hidden="1">{"'Estimativa de Lançamento-JAN'!$A$1:$AI$85"}</definedName>
    <definedName name="z" hidden="1">{"'Estimativa de Lançamento-JAN'!$A$1:$AI$85"}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hidden="1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 hidden="1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hidden="1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zz" localSheetId="1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6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15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9" i="34" l="1"/>
  <c r="E109" i="34" s="1"/>
  <c r="D107" i="34"/>
  <c r="E107" i="34" s="1"/>
  <c r="D108" i="34"/>
  <c r="E108" i="34" s="1"/>
  <c r="I12" i="41"/>
  <c r="Q18" i="42"/>
  <c r="R18" i="42" s="1"/>
  <c r="H219" i="47"/>
  <c r="E219" i="47"/>
  <c r="S256" i="38"/>
  <c r="T256" i="38" s="1"/>
  <c r="S257" i="38"/>
  <c r="T257" i="38"/>
  <c r="S258" i="38"/>
  <c r="T258" i="38"/>
  <c r="S259" i="38"/>
  <c r="T259" i="38"/>
  <c r="S260" i="38"/>
  <c r="T260" i="38"/>
  <c r="S261" i="38"/>
  <c r="T261" i="38"/>
  <c r="S262" i="38"/>
  <c r="T262" i="38"/>
  <c r="S263" i="38"/>
  <c r="T263" i="38"/>
  <c r="S264" i="38"/>
  <c r="T264" i="38"/>
  <c r="S265" i="38"/>
  <c r="T265" i="38"/>
  <c r="S266" i="38"/>
  <c r="T266" i="38"/>
  <c r="S267" i="38"/>
  <c r="T267" i="38"/>
  <c r="S268" i="38"/>
  <c r="T268" i="38"/>
  <c r="S269" i="38"/>
  <c r="T269" i="38"/>
  <c r="S270" i="38"/>
  <c r="T270" i="38"/>
  <c r="S271" i="38"/>
  <c r="T271" i="38"/>
  <c r="S272" i="38"/>
  <c r="T272" i="38"/>
  <c r="S273" i="38"/>
  <c r="T273" i="38"/>
  <c r="S274" i="38"/>
  <c r="T274" i="38"/>
  <c r="S275" i="38"/>
  <c r="T275" i="38"/>
  <c r="S276" i="38"/>
  <c r="T276" i="38"/>
  <c r="S277" i="38"/>
  <c r="T277" i="38"/>
  <c r="S278" i="38"/>
  <c r="T278" i="38"/>
  <c r="E256" i="38"/>
  <c r="E257" i="38"/>
  <c r="E258" i="38"/>
  <c r="E259" i="38"/>
  <c r="E260" i="38"/>
  <c r="E261" i="38"/>
  <c r="E262" i="38"/>
  <c r="E263" i="38"/>
  <c r="E264" i="38"/>
  <c r="E265" i="38"/>
  <c r="E266" i="38"/>
  <c r="E267" i="38"/>
  <c r="E268" i="38"/>
  <c r="E269" i="38"/>
  <c r="E270" i="38"/>
  <c r="E271" i="38"/>
  <c r="E272" i="38"/>
  <c r="E273" i="38"/>
  <c r="E274" i="38"/>
  <c r="E275" i="38"/>
  <c r="E276" i="38"/>
  <c r="E277" i="38"/>
  <c r="E278" i="38"/>
  <c r="D244" i="34" l="1"/>
  <c r="E244" i="34" s="1"/>
  <c r="H172" i="47"/>
  <c r="E172" i="47"/>
  <c r="S254" i="38"/>
  <c r="T254" i="38" s="1"/>
  <c r="S255" i="38"/>
  <c r="T255" i="38"/>
  <c r="S253" i="38"/>
  <c r="T253" i="38"/>
  <c r="S250" i="38"/>
  <c r="T250" i="38"/>
  <c r="S251" i="38"/>
  <c r="T251" i="38"/>
  <c r="S252" i="38"/>
  <c r="T252" i="38"/>
  <c r="S249" i="38"/>
  <c r="T249" i="38" s="1"/>
  <c r="S248" i="38"/>
  <c r="T248" i="38"/>
  <c r="S247" i="38"/>
  <c r="T247" i="38" s="1"/>
  <c r="S245" i="38"/>
  <c r="T245" i="38"/>
  <c r="S246" i="38"/>
  <c r="T246" i="38" s="1"/>
  <c r="S244" i="38"/>
  <c r="T244" i="38"/>
  <c r="S243" i="38"/>
  <c r="T243" i="38" s="1"/>
  <c r="S242" i="38"/>
  <c r="T242" i="38"/>
  <c r="S240" i="38"/>
  <c r="T240" i="38" s="1"/>
  <c r="S241" i="38"/>
  <c r="T241" i="38" s="1"/>
  <c r="S239" i="38"/>
  <c r="T239" i="38"/>
  <c r="E239" i="38"/>
  <c r="E240" i="38"/>
  <c r="E241" i="38"/>
  <c r="E242" i="38"/>
  <c r="E243" i="38"/>
  <c r="E244" i="38"/>
  <c r="E245" i="38"/>
  <c r="E246" i="38"/>
  <c r="E247" i="38"/>
  <c r="E248" i="38"/>
  <c r="E249" i="38"/>
  <c r="E250" i="38"/>
  <c r="E251" i="38"/>
  <c r="E252" i="38"/>
  <c r="E253" i="38"/>
  <c r="E254" i="38"/>
  <c r="E255" i="38"/>
  <c r="G125" i="26" l="1"/>
  <c r="J125" i="26" s="1"/>
  <c r="G124" i="26"/>
  <c r="G123" i="26"/>
  <c r="J123" i="26" s="1"/>
  <c r="G122" i="26"/>
  <c r="J122" i="26" s="1"/>
  <c r="F122" i="26"/>
  <c r="F123" i="26"/>
  <c r="F124" i="26"/>
  <c r="F125" i="26"/>
  <c r="J124" i="26"/>
  <c r="H218" i="47"/>
  <c r="E218" i="47"/>
  <c r="E217" i="47"/>
  <c r="H217" i="47"/>
  <c r="H216" i="47"/>
  <c r="E216" i="47"/>
  <c r="H215" i="47" l="1"/>
  <c r="E215" i="47"/>
  <c r="E237" i="38"/>
  <c r="E238" i="38"/>
  <c r="S237" i="38"/>
  <c r="T237" i="38" s="1"/>
  <c r="S238" i="38"/>
  <c r="T238" i="38"/>
  <c r="J127" i="26" l="1"/>
  <c r="F127" i="26"/>
  <c r="F126" i="26"/>
  <c r="J126" i="26" l="1"/>
  <c r="J121" i="26"/>
  <c r="F121" i="26"/>
  <c r="H214" i="47"/>
  <c r="E214" i="47"/>
  <c r="H213" i="47"/>
  <c r="E213" i="47"/>
  <c r="H212" i="47"/>
  <c r="E212" i="47"/>
  <c r="E211" i="47"/>
  <c r="H211" i="47"/>
  <c r="H210" i="47"/>
  <c r="E210" i="47"/>
  <c r="H209" i="47"/>
  <c r="E209" i="47"/>
  <c r="H208" i="47"/>
  <c r="E208" i="47"/>
  <c r="E207" i="47"/>
  <c r="H207" i="47"/>
  <c r="H206" i="47"/>
  <c r="E206" i="47"/>
  <c r="H205" i="47"/>
  <c r="E205" i="47"/>
  <c r="H204" i="47"/>
  <c r="E204" i="47"/>
  <c r="H203" i="47"/>
  <c r="E203" i="47"/>
  <c r="H202" i="47"/>
  <c r="E202" i="47"/>
  <c r="H201" i="47"/>
  <c r="E201" i="47"/>
  <c r="H200" i="47"/>
  <c r="E200" i="47"/>
  <c r="H199" i="47"/>
  <c r="E199" i="47"/>
  <c r="E198" i="47"/>
  <c r="H198" i="47"/>
  <c r="J117" i="26"/>
  <c r="F117" i="26"/>
  <c r="H197" i="47"/>
  <c r="E197" i="47"/>
  <c r="E196" i="47"/>
  <c r="H196" i="47"/>
  <c r="S233" i="38"/>
  <c r="T233" i="38" s="1"/>
  <c r="S234" i="38"/>
  <c r="T234" i="38" s="1"/>
  <c r="S235" i="38"/>
  <c r="T235" i="38" s="1"/>
  <c r="S236" i="38"/>
  <c r="T236" i="38" s="1"/>
  <c r="E233" i="38"/>
  <c r="E234" i="38"/>
  <c r="E235" i="38"/>
  <c r="E236" i="38"/>
  <c r="J119" i="26" l="1"/>
  <c r="F119" i="26"/>
  <c r="J118" i="26" l="1"/>
  <c r="F118" i="26"/>
  <c r="H195" i="47" l="1"/>
  <c r="E195" i="47"/>
  <c r="E194" i="47"/>
  <c r="H194" i="47"/>
  <c r="H193" i="47"/>
  <c r="E193" i="47"/>
  <c r="H192" i="47"/>
  <c r="E192" i="47"/>
  <c r="H191" i="47"/>
  <c r="E191" i="47"/>
  <c r="H189" i="47"/>
  <c r="H190" i="47"/>
  <c r="E190" i="47"/>
  <c r="E189" i="47"/>
  <c r="B86" i="50"/>
  <c r="B87" i="50"/>
  <c r="B88" i="50"/>
  <c r="C106" i="34"/>
  <c r="C105" i="34" s="1"/>
  <c r="F107" i="34"/>
  <c r="F108" i="34"/>
  <c r="G108" i="34" s="1"/>
  <c r="F109" i="34"/>
  <c r="G109" i="34" s="1"/>
  <c r="F106" i="34" l="1"/>
  <c r="F105" i="34" s="1"/>
  <c r="D88" i="50"/>
  <c r="F88" i="50" s="1"/>
  <c r="D87" i="50"/>
  <c r="F87" i="50" s="1"/>
  <c r="G107" i="34"/>
  <c r="G106" i="34" s="1"/>
  <c r="G105" i="34" s="1"/>
  <c r="E230" i="38"/>
  <c r="E231" i="38"/>
  <c r="E232" i="38"/>
  <c r="S230" i="38"/>
  <c r="T230" i="38" s="1"/>
  <c r="H109" i="34" s="1"/>
  <c r="S231" i="38"/>
  <c r="T231" i="38" s="1"/>
  <c r="H108" i="34" s="1"/>
  <c r="S232" i="38"/>
  <c r="T232" i="38" s="1"/>
  <c r="H107" i="34" s="1"/>
  <c r="D86" i="50" l="1"/>
  <c r="F86" i="50" s="1"/>
  <c r="H106" i="34"/>
  <c r="H105" i="34" s="1"/>
  <c r="H187" i="47"/>
  <c r="E188" i="47"/>
  <c r="H188" i="47"/>
  <c r="E187" i="47"/>
  <c r="H186" i="47"/>
  <c r="E186" i="47"/>
  <c r="H181" i="47"/>
  <c r="E181" i="47"/>
  <c r="H185" i="47"/>
  <c r="H184" i="47"/>
  <c r="E184" i="47"/>
  <c r="E185" i="47"/>
  <c r="H183" i="47"/>
  <c r="E183" i="47"/>
  <c r="E182" i="47"/>
  <c r="H182" i="47"/>
  <c r="J116" i="26"/>
  <c r="F116" i="26"/>
  <c r="H180" i="47"/>
  <c r="E180" i="47"/>
  <c r="S105" i="38" l="1"/>
  <c r="T105" i="38" s="1"/>
  <c r="E105" i="38"/>
  <c r="S96" i="38" l="1"/>
  <c r="T96" i="38" s="1"/>
  <c r="S97" i="38"/>
  <c r="T97" i="38" s="1"/>
  <c r="E96" i="38"/>
  <c r="E97" i="38"/>
  <c r="E178" i="47"/>
  <c r="E179" i="47"/>
  <c r="H179" i="47"/>
  <c r="H178" i="47"/>
  <c r="B52" i="51" a="1"/>
  <c r="B52" i="51" s="1"/>
  <c r="B53" i="51" a="1"/>
  <c r="B53" i="51" s="1"/>
  <c r="B54" i="51" a="1"/>
  <c r="B54" i="51" s="1"/>
  <c r="B55" i="51" a="1"/>
  <c r="B55" i="51" s="1"/>
  <c r="B56" i="51" a="1"/>
  <c r="B56" i="51" s="1"/>
  <c r="B57" i="51" a="1"/>
  <c r="B57" i="51" s="1"/>
  <c r="B58" i="51" a="1"/>
  <c r="B58" i="51" s="1"/>
  <c r="B59" i="51" a="1"/>
  <c r="B59" i="51" s="1"/>
  <c r="B60" i="51" a="1"/>
  <c r="B60" i="51" s="1"/>
  <c r="B61" i="51" a="1"/>
  <c r="B61" i="51" s="1"/>
  <c r="B62" i="51" a="1"/>
  <c r="B62" i="51" s="1"/>
  <c r="B63" i="51" a="1"/>
  <c r="B63" i="51" s="1"/>
  <c r="B64" i="51" a="1"/>
  <c r="B64" i="51" s="1"/>
  <c r="B65" i="51" a="1"/>
  <c r="B65" i="51" s="1"/>
  <c r="B66" i="51" a="1"/>
  <c r="B66" i="51" s="1"/>
  <c r="B67" i="51" a="1"/>
  <c r="B67" i="51" s="1"/>
  <c r="B68" i="51" a="1"/>
  <c r="B68" i="51"/>
  <c r="B69" i="51" a="1"/>
  <c r="B69" i="51" s="1"/>
  <c r="B70" i="51" a="1"/>
  <c r="B70" i="51" s="1"/>
  <c r="B71" i="51" a="1"/>
  <c r="B71" i="51" s="1"/>
  <c r="B72" i="51" a="1"/>
  <c r="B72" i="51" s="1"/>
  <c r="B73" i="51" a="1"/>
  <c r="B73" i="51" s="1"/>
  <c r="B74" i="51" a="1"/>
  <c r="B74" i="51" s="1"/>
  <c r="B75" i="51" a="1"/>
  <c r="B75" i="51" s="1"/>
  <c r="B76" i="51" a="1"/>
  <c r="B76" i="51" s="1"/>
  <c r="B77" i="51" a="1"/>
  <c r="B77" i="51" s="1"/>
  <c r="B78" i="51" a="1"/>
  <c r="B78" i="51" s="1"/>
  <c r="B79" i="51" a="1"/>
  <c r="B79" i="51" s="1"/>
  <c r="B80" i="51" a="1"/>
  <c r="B80" i="51"/>
  <c r="B81" i="51" a="1"/>
  <c r="B81" i="51" s="1"/>
  <c r="B82" i="51" a="1"/>
  <c r="B82" i="51" s="1"/>
  <c r="B83" i="51" a="1"/>
  <c r="B83" i="51" s="1"/>
  <c r="B84" i="51" a="1"/>
  <c r="B84" i="51" s="1"/>
  <c r="B85" i="51" a="1"/>
  <c r="B85" i="51" s="1"/>
  <c r="B86" i="51" a="1"/>
  <c r="B86" i="51"/>
  <c r="B87" i="51" a="1"/>
  <c r="B87" i="51" s="1"/>
  <c r="B88" i="51" a="1"/>
  <c r="B88" i="51" s="1"/>
  <c r="B89" i="51" a="1"/>
  <c r="B89" i="51" s="1"/>
  <c r="B90" i="51" a="1"/>
  <c r="B90" i="51" s="1"/>
  <c r="B91" i="51" a="1"/>
  <c r="B91" i="51" s="1"/>
  <c r="B92" i="51" a="1"/>
  <c r="B92" i="51" s="1"/>
  <c r="B93" i="51" a="1"/>
  <c r="B93" i="51" s="1"/>
  <c r="B94" i="51" a="1"/>
  <c r="B94" i="51" s="1"/>
  <c r="B95" i="51" a="1"/>
  <c r="B95" i="51" s="1"/>
  <c r="B96" i="51" a="1"/>
  <c r="B96" i="51" s="1"/>
  <c r="B97" i="51" a="1"/>
  <c r="B97" i="51" s="1"/>
  <c r="B98" i="51" a="1"/>
  <c r="B98" i="51"/>
  <c r="B99" i="51" a="1"/>
  <c r="B99" i="51" s="1"/>
  <c r="B100" i="51" a="1"/>
  <c r="B100" i="51" s="1"/>
  <c r="B101" i="51" a="1"/>
  <c r="B101" i="51" s="1"/>
  <c r="B102" i="51" a="1"/>
  <c r="B102" i="51" s="1"/>
  <c r="B103" i="51" a="1"/>
  <c r="B103" i="51" s="1"/>
  <c r="B104" i="51" a="1"/>
  <c r="B104" i="51" s="1"/>
  <c r="B105" i="51" a="1"/>
  <c r="B105" i="51" s="1"/>
  <c r="B106" i="51" a="1"/>
  <c r="B106" i="51" s="1"/>
  <c r="B107" i="51" a="1"/>
  <c r="B107" i="51" s="1"/>
  <c r="B108" i="51" a="1"/>
  <c r="B108" i="51" s="1"/>
  <c r="B109" i="51" a="1"/>
  <c r="B109" i="51" s="1"/>
  <c r="B110" i="51" a="1"/>
  <c r="B110" i="51" s="1"/>
  <c r="B111" i="51" a="1"/>
  <c r="B111" i="51" s="1"/>
  <c r="B112" i="51" a="1"/>
  <c r="B112" i="51" s="1"/>
  <c r="B113" i="51" a="1"/>
  <c r="B113" i="51" s="1"/>
  <c r="B114" i="51" a="1"/>
  <c r="B114" i="51" s="1"/>
  <c r="B115" i="51" a="1"/>
  <c r="B115" i="51" s="1"/>
  <c r="B116" i="51" a="1"/>
  <c r="B116" i="51" s="1"/>
  <c r="B117" i="51" a="1"/>
  <c r="B117" i="51"/>
  <c r="B118" i="51" a="1"/>
  <c r="B118" i="51"/>
  <c r="B119" i="51" a="1"/>
  <c r="B119" i="51" s="1"/>
  <c r="B120" i="51" a="1"/>
  <c r="B120" i="51"/>
  <c r="B121" i="51" a="1"/>
  <c r="B121" i="51" s="1"/>
  <c r="B122" i="51" a="1"/>
  <c r="B122" i="51" s="1"/>
  <c r="B123" i="51" a="1"/>
  <c r="B123" i="51" s="1"/>
  <c r="B31" i="51" a="1"/>
  <c r="B31" i="51" s="1"/>
  <c r="B32" i="51" a="1"/>
  <c r="B32" i="51" s="1"/>
  <c r="B33" i="51" a="1"/>
  <c r="B33" i="51"/>
  <c r="B34" i="51" a="1"/>
  <c r="B34" i="51" s="1"/>
  <c r="B35" i="51" a="1"/>
  <c r="B35" i="51" s="1"/>
  <c r="B36" i="51" a="1"/>
  <c r="B36" i="51" s="1"/>
  <c r="B37" i="51" a="1"/>
  <c r="B37" i="51"/>
  <c r="B38" i="51" a="1"/>
  <c r="B38" i="51" s="1"/>
  <c r="B39" i="51" a="1"/>
  <c r="B39" i="51" s="1"/>
  <c r="B40" i="51" a="1"/>
  <c r="B40" i="51" s="1"/>
  <c r="B41" i="51" a="1"/>
  <c r="B41" i="51" s="1"/>
  <c r="B42" i="51" a="1"/>
  <c r="B42" i="51"/>
  <c r="B43" i="51" a="1"/>
  <c r="B43" i="51"/>
  <c r="B44" i="51" a="1"/>
  <c r="B44" i="51" s="1"/>
  <c r="B45" i="51" a="1"/>
  <c r="B45" i="51"/>
  <c r="B46" i="51" a="1"/>
  <c r="B46" i="51" s="1"/>
  <c r="B47" i="51" a="1"/>
  <c r="B47" i="51" s="1"/>
  <c r="B48" i="51" a="1"/>
  <c r="B48" i="51"/>
  <c r="B49" i="51" a="1"/>
  <c r="B49" i="51" s="1"/>
  <c r="B50" i="51" a="1"/>
  <c r="B50" i="51" s="1"/>
  <c r="B51" i="51" a="1"/>
  <c r="B51" i="51"/>
  <c r="B18" i="51" a="1"/>
  <c r="B18" i="51" s="1"/>
  <c r="B19" i="51" a="1"/>
  <c r="B19" i="51"/>
  <c r="B20" i="51" a="1"/>
  <c r="B20" i="51"/>
  <c r="B21" i="51" a="1"/>
  <c r="B21" i="51"/>
  <c r="B22" i="51" a="1"/>
  <c r="B22" i="51"/>
  <c r="B23" i="51" a="1"/>
  <c r="B23" i="51"/>
  <c r="B24" i="51" a="1"/>
  <c r="B24" i="51" s="1"/>
  <c r="B25" i="51" a="1"/>
  <c r="B25" i="51" s="1"/>
  <c r="B26" i="51" a="1"/>
  <c r="B26" i="51" s="1"/>
  <c r="B27" i="51" a="1"/>
  <c r="B27" i="51"/>
  <c r="B28" i="51" a="1"/>
  <c r="B28" i="51" s="1"/>
  <c r="B29" i="51" a="1"/>
  <c r="B29" i="51" s="1"/>
  <c r="B30" i="51" a="1"/>
  <c r="B30" i="51" s="1"/>
  <c r="B12" i="51" a="1"/>
  <c r="B12" i="51"/>
  <c r="B13" i="51" a="1"/>
  <c r="B13" i="51" s="1"/>
  <c r="B14" i="51" a="1"/>
  <c r="B14" i="51" s="1"/>
  <c r="B15" i="51" a="1"/>
  <c r="B15" i="51"/>
  <c r="B16" i="51" a="1"/>
  <c r="B16" i="51"/>
  <c r="B17" i="51" a="1"/>
  <c r="B17" i="51" s="1"/>
  <c r="B11" i="51" a="1"/>
  <c r="B11" i="51" s="1"/>
  <c r="B10" i="51" a="1"/>
  <c r="B10" i="51" s="1"/>
  <c r="B118" i="50"/>
  <c r="B119" i="50"/>
  <c r="B120" i="50"/>
  <c r="B121" i="50"/>
  <c r="B122" i="50"/>
  <c r="B123" i="50"/>
  <c r="B124" i="50"/>
  <c r="B125" i="50"/>
  <c r="B126" i="50"/>
  <c r="B127" i="50"/>
  <c r="B128" i="50"/>
  <c r="B129" i="50"/>
  <c r="B130" i="50"/>
  <c r="B131" i="50"/>
  <c r="B132" i="50"/>
  <c r="B133" i="50"/>
  <c r="B134" i="50"/>
  <c r="B135" i="50"/>
  <c r="B136" i="50"/>
  <c r="B137" i="50"/>
  <c r="B138" i="50"/>
  <c r="B139" i="50"/>
  <c r="B140" i="50"/>
  <c r="B141" i="50"/>
  <c r="B142" i="50"/>
  <c r="B143" i="50"/>
  <c r="B144" i="50"/>
  <c r="B145" i="50"/>
  <c r="B146" i="50"/>
  <c r="B147" i="50"/>
  <c r="B148" i="50"/>
  <c r="B149" i="50"/>
  <c r="B150" i="50"/>
  <c r="B151" i="50"/>
  <c r="B152" i="50"/>
  <c r="B153" i="50"/>
  <c r="B154" i="50"/>
  <c r="B155" i="50"/>
  <c r="B156" i="50"/>
  <c r="B157" i="50"/>
  <c r="B158" i="50"/>
  <c r="B159" i="50"/>
  <c r="B160" i="50"/>
  <c r="B161" i="50"/>
  <c r="B162" i="50"/>
  <c r="B163" i="50"/>
  <c r="B164" i="50"/>
  <c r="B165" i="50"/>
  <c r="B166" i="50"/>
  <c r="B167" i="50"/>
  <c r="B168" i="50"/>
  <c r="B169" i="50"/>
  <c r="B170" i="50"/>
  <c r="B171" i="50"/>
  <c r="B172" i="50"/>
  <c r="B173" i="50"/>
  <c r="B174" i="50"/>
  <c r="B175" i="50"/>
  <c r="B176" i="50"/>
  <c r="B177" i="50"/>
  <c r="B178" i="50"/>
  <c r="B179" i="50"/>
  <c r="B180" i="50"/>
  <c r="B181" i="50"/>
  <c r="B182" i="50"/>
  <c r="B183" i="50"/>
  <c r="B184" i="50"/>
  <c r="B185" i="50"/>
  <c r="B186" i="50"/>
  <c r="B187" i="50"/>
  <c r="B188" i="50"/>
  <c r="B189" i="50"/>
  <c r="B190" i="50"/>
  <c r="B191" i="50"/>
  <c r="B192" i="50"/>
  <c r="B193" i="50"/>
  <c r="B194" i="50"/>
  <c r="B195" i="50"/>
  <c r="B196" i="50"/>
  <c r="B197" i="50"/>
  <c r="B198" i="50"/>
  <c r="B199" i="50"/>
  <c r="B200" i="50"/>
  <c r="B102" i="50"/>
  <c r="B103" i="50"/>
  <c r="B104" i="50"/>
  <c r="B105" i="50"/>
  <c r="B106" i="50"/>
  <c r="B107" i="50"/>
  <c r="B108" i="50"/>
  <c r="B109" i="50"/>
  <c r="B110" i="50"/>
  <c r="B111" i="50"/>
  <c r="B112" i="50"/>
  <c r="B113" i="50"/>
  <c r="B114" i="50"/>
  <c r="B115" i="50"/>
  <c r="B116" i="50"/>
  <c r="B117" i="50"/>
  <c r="B82" i="50"/>
  <c r="B83" i="50"/>
  <c r="B84" i="50"/>
  <c r="B85" i="50"/>
  <c r="B89" i="50"/>
  <c r="B90" i="50"/>
  <c r="B91" i="50"/>
  <c r="B92" i="50"/>
  <c r="B93" i="50"/>
  <c r="B94" i="50"/>
  <c r="B95" i="50"/>
  <c r="B96" i="50"/>
  <c r="B97" i="50"/>
  <c r="B98" i="50"/>
  <c r="B99" i="50"/>
  <c r="B100" i="50"/>
  <c r="B101" i="50"/>
  <c r="B68" i="50"/>
  <c r="B69" i="50"/>
  <c r="B70" i="50"/>
  <c r="B71" i="50"/>
  <c r="B72" i="50"/>
  <c r="B73" i="50"/>
  <c r="B74" i="50"/>
  <c r="B75" i="50"/>
  <c r="B76" i="50"/>
  <c r="B77" i="50"/>
  <c r="B78" i="50"/>
  <c r="B79" i="50"/>
  <c r="B80" i="50"/>
  <c r="B81" i="50"/>
  <c r="B52" i="50"/>
  <c r="B53" i="50"/>
  <c r="B54" i="50"/>
  <c r="B55" i="50"/>
  <c r="B56" i="50"/>
  <c r="B57" i="50"/>
  <c r="B58" i="50"/>
  <c r="B59" i="50"/>
  <c r="B60" i="50"/>
  <c r="B61" i="50"/>
  <c r="B62" i="50"/>
  <c r="B63" i="50"/>
  <c r="B64" i="50"/>
  <c r="B65" i="50"/>
  <c r="B66" i="50"/>
  <c r="B67" i="50"/>
  <c r="B38" i="50"/>
  <c r="B39" i="50"/>
  <c r="B40" i="50"/>
  <c r="B41" i="50"/>
  <c r="B42" i="50"/>
  <c r="B43" i="50"/>
  <c r="B44" i="50"/>
  <c r="B45" i="50"/>
  <c r="B46" i="50"/>
  <c r="B47" i="50"/>
  <c r="B48" i="50"/>
  <c r="B49" i="50"/>
  <c r="B50" i="50"/>
  <c r="B51" i="50"/>
  <c r="B11" i="50"/>
  <c r="B12" i="50"/>
  <c r="B13" i="50"/>
  <c r="B14" i="50"/>
  <c r="B15" i="50"/>
  <c r="B16" i="50"/>
  <c r="B17" i="50"/>
  <c r="B18" i="50"/>
  <c r="B19" i="50"/>
  <c r="B20" i="50"/>
  <c r="B21" i="50"/>
  <c r="B22" i="50"/>
  <c r="B23" i="50"/>
  <c r="B24" i="50"/>
  <c r="B25" i="50"/>
  <c r="B26" i="50"/>
  <c r="B27" i="50"/>
  <c r="B28" i="50"/>
  <c r="B29" i="50"/>
  <c r="B30" i="50"/>
  <c r="B31" i="50"/>
  <c r="B32" i="50"/>
  <c r="B33" i="50"/>
  <c r="B34" i="50"/>
  <c r="B35" i="50"/>
  <c r="B36" i="50"/>
  <c r="B37" i="50"/>
  <c r="B10" i="50"/>
  <c r="I109" i="34" l="1"/>
  <c r="J109" i="34" s="1"/>
  <c r="K109" i="34" s="1"/>
  <c r="I107" i="34"/>
  <c r="I108" i="34"/>
  <c r="J108" i="34" s="1"/>
  <c r="K108" i="34" s="1"/>
  <c r="J107" i="34" l="1"/>
  <c r="I106" i="34"/>
  <c r="I105" i="34" s="1"/>
  <c r="K107" i="34" l="1"/>
  <c r="K106" i="34" s="1"/>
  <c r="K105" i="34" s="1"/>
  <c r="J106" i="34"/>
  <c r="J105" i="34" s="1"/>
  <c r="S203" i="38"/>
  <c r="T203" i="38" s="1"/>
  <c r="S204" i="38"/>
  <c r="T204" i="38" s="1"/>
  <c r="S205" i="38"/>
  <c r="T205" i="38" s="1"/>
  <c r="S206" i="38"/>
  <c r="T206" i="38" s="1"/>
  <c r="S207" i="38"/>
  <c r="T207" i="38" s="1"/>
  <c r="S208" i="38"/>
  <c r="T208" i="38" s="1"/>
  <c r="S209" i="38"/>
  <c r="T209" i="38" s="1"/>
  <c r="S210" i="38"/>
  <c r="T210" i="38" s="1"/>
  <c r="S211" i="38"/>
  <c r="T211" i="38" s="1"/>
  <c r="S212" i="38"/>
  <c r="T212" i="38" s="1"/>
  <c r="S213" i="38"/>
  <c r="T213" i="38" s="1"/>
  <c r="S214" i="38"/>
  <c r="T214" i="38" s="1"/>
  <c r="S215" i="38"/>
  <c r="T215" i="38" s="1"/>
  <c r="S216" i="38"/>
  <c r="T216" i="38" s="1"/>
  <c r="S217" i="38"/>
  <c r="T217" i="38" s="1"/>
  <c r="S218" i="38"/>
  <c r="T218" i="38" s="1"/>
  <c r="S219" i="38"/>
  <c r="T219" i="38" s="1"/>
  <c r="S220" i="38"/>
  <c r="T220" i="38" s="1"/>
  <c r="S221" i="38"/>
  <c r="T221" i="38" s="1"/>
  <c r="S222" i="38"/>
  <c r="T222" i="38" s="1"/>
  <c r="S223" i="38"/>
  <c r="T223" i="38" s="1"/>
  <c r="S224" i="38"/>
  <c r="T224" i="38" s="1"/>
  <c r="S225" i="38"/>
  <c r="T225" i="38" s="1"/>
  <c r="S226" i="38"/>
  <c r="T226" i="38" s="1"/>
  <c r="S227" i="38"/>
  <c r="T227" i="38" s="1"/>
  <c r="S228" i="38"/>
  <c r="T228" i="38" s="1"/>
  <c r="S229" i="38"/>
  <c r="T229" i="38" s="1"/>
  <c r="S202" i="38"/>
  <c r="T202" i="38" s="1"/>
  <c r="E202" i="38"/>
  <c r="E203" i="38"/>
  <c r="E204" i="38"/>
  <c r="E205" i="38"/>
  <c r="E206" i="38"/>
  <c r="E207" i="38"/>
  <c r="E208" i="38"/>
  <c r="E209" i="38"/>
  <c r="E210" i="38"/>
  <c r="E211" i="38"/>
  <c r="E212" i="38"/>
  <c r="E213" i="38"/>
  <c r="E214" i="38"/>
  <c r="E215" i="38"/>
  <c r="E216" i="38"/>
  <c r="E217" i="38"/>
  <c r="E218" i="38"/>
  <c r="E219" i="38"/>
  <c r="E220" i="38"/>
  <c r="E221" i="38"/>
  <c r="E222" i="38"/>
  <c r="E223" i="38"/>
  <c r="E224" i="38"/>
  <c r="E225" i="38"/>
  <c r="E226" i="38"/>
  <c r="E227" i="38"/>
  <c r="E228" i="38"/>
  <c r="E229" i="38"/>
  <c r="H177" i="47" l="1"/>
  <c r="E177" i="47"/>
  <c r="H176" i="47"/>
  <c r="E176" i="47"/>
  <c r="H175" i="47"/>
  <c r="E175" i="47"/>
  <c r="H174" i="47"/>
  <c r="E174" i="47"/>
  <c r="H173" i="47"/>
  <c r="E173" i="47"/>
  <c r="E171" i="47"/>
  <c r="H171" i="47"/>
  <c r="F120" i="26" l="1"/>
  <c r="J120" i="26"/>
  <c r="E170" i="47"/>
  <c r="H170" i="47"/>
  <c r="E169" i="47" l="1"/>
  <c r="H169" i="47"/>
  <c r="E168" i="47" l="1"/>
  <c r="H168" i="47"/>
  <c r="H89" i="47"/>
  <c r="H90" i="47"/>
  <c r="H91" i="47"/>
  <c r="H92" i="47"/>
  <c r="H93" i="47"/>
  <c r="H94" i="47"/>
  <c r="H95" i="47"/>
  <c r="H96" i="47"/>
  <c r="E89" i="47"/>
  <c r="E90" i="47"/>
  <c r="E91" i="47"/>
  <c r="E92" i="47"/>
  <c r="E93" i="47"/>
  <c r="E94" i="47"/>
  <c r="E95" i="47"/>
  <c r="E96" i="47"/>
  <c r="H167" i="47"/>
  <c r="E167" i="47"/>
  <c r="E166" i="47"/>
  <c r="E165" i="47"/>
  <c r="H165" i="47"/>
  <c r="H166" i="47"/>
  <c r="H164" i="47"/>
  <c r="E164" i="47"/>
  <c r="H163" i="47"/>
  <c r="E163" i="47"/>
  <c r="S196" i="38"/>
  <c r="T196" i="38" s="1"/>
  <c r="S197" i="38"/>
  <c r="T197" i="38" s="1"/>
  <c r="S198" i="38"/>
  <c r="T198" i="38" s="1"/>
  <c r="S199" i="38"/>
  <c r="T199" i="38" s="1"/>
  <c r="S200" i="38"/>
  <c r="T200" i="38" s="1"/>
  <c r="S201" i="38"/>
  <c r="T201" i="38" s="1"/>
  <c r="E196" i="38"/>
  <c r="E197" i="38"/>
  <c r="E198" i="38"/>
  <c r="E199" i="38"/>
  <c r="E200" i="38"/>
  <c r="E201" i="38"/>
  <c r="E86" i="47" l="1"/>
  <c r="F86" i="47"/>
  <c r="H86" i="47" s="1"/>
  <c r="H148" i="47"/>
  <c r="H149" i="47"/>
  <c r="H150" i="47"/>
  <c r="H151" i="47"/>
  <c r="H152" i="47"/>
  <c r="H153" i="47"/>
  <c r="H154" i="47"/>
  <c r="H155" i="47"/>
  <c r="H156" i="47"/>
  <c r="H157" i="47"/>
  <c r="E149" i="47"/>
  <c r="E150" i="47"/>
  <c r="E151" i="47"/>
  <c r="E152" i="47"/>
  <c r="E153" i="47"/>
  <c r="E154" i="47"/>
  <c r="E155" i="47"/>
  <c r="E156" i="47"/>
  <c r="J128" i="26" l="1"/>
  <c r="B14" i="49" a="1"/>
  <c r="F128" i="26"/>
  <c r="E47" i="49"/>
  <c r="D47" i="49"/>
  <c r="E46" i="49"/>
  <c r="D46" i="49"/>
  <c r="E42" i="49"/>
  <c r="E33" i="49"/>
  <c r="I61" i="49" l="1"/>
  <c r="F60" i="49"/>
  <c r="H60" i="49" s="1"/>
  <c r="F61" i="49"/>
  <c r="H61" i="49" s="1"/>
  <c r="C60" i="49" a="1"/>
  <c r="C60" i="49" s="1"/>
  <c r="C61" i="49" a="1"/>
  <c r="C61" i="49" s="1"/>
  <c r="I51" i="49"/>
  <c r="I54" i="49"/>
  <c r="I19" i="49"/>
  <c r="I43" i="49"/>
  <c r="I55" i="49"/>
  <c r="I44" i="49"/>
  <c r="I33" i="49"/>
  <c r="I40" i="49"/>
  <c r="I17" i="49"/>
  <c r="I22" i="49"/>
  <c r="I58" i="49"/>
  <c r="I59" i="49"/>
  <c r="I60" i="49"/>
  <c r="I26" i="49"/>
  <c r="I50" i="49"/>
  <c r="I57" i="49"/>
  <c r="C59" i="49" a="1"/>
  <c r="C59" i="49" s="1"/>
  <c r="F59" i="49"/>
  <c r="H59" i="49" s="1"/>
  <c r="B14" i="49"/>
  <c r="F58" i="49"/>
  <c r="H58" i="49" s="1"/>
  <c r="C58" i="49" a="1"/>
  <c r="C58" i="49" s="1"/>
  <c r="F57" i="49"/>
  <c r="H57" i="49" s="1"/>
  <c r="C42" i="49" a="1"/>
  <c r="C42" i="49" s="1"/>
  <c r="C35" i="49" a="1"/>
  <c r="C35" i="49" s="1"/>
  <c r="C28" i="49" a="1"/>
  <c r="C28" i="49" s="1"/>
  <c r="C20" i="49" a="1"/>
  <c r="C20" i="49" s="1"/>
  <c r="C52" i="49" a="1"/>
  <c r="C52" i="49" s="1"/>
  <c r="C27" i="49" a="1"/>
  <c r="C27" i="49" s="1"/>
  <c r="C51" i="49" a="1"/>
  <c r="C51" i="49" s="1"/>
  <c r="C41" i="49" a="1"/>
  <c r="C41" i="49" s="1"/>
  <c r="C34" i="49" a="1"/>
  <c r="C34" i="49" s="1"/>
  <c r="C19" i="49" a="1"/>
  <c r="C19" i="49" s="1"/>
  <c r="C54" i="49" a="1"/>
  <c r="C54" i="49" s="1"/>
  <c r="C44" i="49" a="1"/>
  <c r="C44" i="49" s="1"/>
  <c r="C36" i="49" a="1"/>
  <c r="C36" i="49" s="1"/>
  <c r="C29" i="49" a="1"/>
  <c r="C29" i="49" s="1"/>
  <c r="C22" i="49" a="1"/>
  <c r="C22" i="49" s="1"/>
  <c r="C40" i="49" a="1"/>
  <c r="C40" i="49" s="1"/>
  <c r="C48" i="49" a="1"/>
  <c r="C48" i="49" s="1"/>
  <c r="C39" i="49" a="1"/>
  <c r="C39" i="49" s="1"/>
  <c r="C32" i="49" a="1"/>
  <c r="C32" i="49" s="1"/>
  <c r="C25" i="49" a="1"/>
  <c r="C25" i="49" s="1"/>
  <c r="C17" i="49" a="1"/>
  <c r="C17" i="49" s="1"/>
  <c r="C47" i="49" a="1"/>
  <c r="C47" i="49" s="1"/>
  <c r="C24" i="49" a="1"/>
  <c r="C24" i="49" s="1"/>
  <c r="C38" i="49" a="1"/>
  <c r="C38" i="49" s="1"/>
  <c r="C31" i="49" a="1"/>
  <c r="C31" i="49" s="1"/>
  <c r="C16" i="49" a="1"/>
  <c r="C16" i="49" s="1"/>
  <c r="C56" i="49" a="1"/>
  <c r="C56" i="49" s="1"/>
  <c r="C46" i="49" a="1"/>
  <c r="C46" i="49" s="1"/>
  <c r="C30" i="49" a="1"/>
  <c r="C30" i="49" s="1"/>
  <c r="C23" i="49" a="1"/>
  <c r="C23" i="49" s="1"/>
  <c r="C15" i="49" a="1"/>
  <c r="C15" i="49" s="1"/>
  <c r="C53" i="49" a="1"/>
  <c r="C53" i="49" s="1"/>
  <c r="C43" i="49" a="1"/>
  <c r="C43" i="49" s="1"/>
  <c r="C21" i="49" a="1"/>
  <c r="C21" i="49" s="1"/>
  <c r="C50" i="49" a="1"/>
  <c r="C50" i="49" s="1"/>
  <c r="C33" i="49" a="1"/>
  <c r="C33" i="49" s="1"/>
  <c r="C26" i="49" a="1"/>
  <c r="C26" i="49" s="1"/>
  <c r="C18" i="49" a="1"/>
  <c r="C18" i="49" s="1"/>
  <c r="C49" i="49" a="1"/>
  <c r="C49" i="49" s="1"/>
  <c r="C55" i="49" a="1"/>
  <c r="C55" i="49" s="1"/>
  <c r="C45" i="49" a="1"/>
  <c r="C45" i="49" s="1"/>
  <c r="C37" i="49" a="1"/>
  <c r="C37" i="49" s="1"/>
  <c r="C57" i="49" a="1"/>
  <c r="C57" i="49" s="1"/>
  <c r="C14" i="49" l="1" a="1"/>
  <c r="C14" i="49" s="1"/>
  <c r="H161" i="47"/>
  <c r="H162" i="47"/>
  <c r="E161" i="47"/>
  <c r="E162" i="47"/>
  <c r="E159" i="47"/>
  <c r="E160" i="47"/>
  <c r="H159" i="47"/>
  <c r="H160" i="47"/>
  <c r="H158" i="47"/>
  <c r="E158" i="47"/>
  <c r="E148" i="47"/>
  <c r="E157" i="47"/>
  <c r="H147" i="47"/>
  <c r="E147" i="47"/>
  <c r="E146" i="47"/>
  <c r="H146" i="47"/>
  <c r="E144" i="47"/>
  <c r="E145" i="47"/>
  <c r="H144" i="47"/>
  <c r="H145" i="47"/>
  <c r="H135" i="47"/>
  <c r="H136" i="47"/>
  <c r="H137" i="47"/>
  <c r="H138" i="47"/>
  <c r="H139" i="47"/>
  <c r="H140" i="47"/>
  <c r="H141" i="47"/>
  <c r="H142" i="47"/>
  <c r="H143" i="47"/>
  <c r="E135" i="47"/>
  <c r="E136" i="47"/>
  <c r="E137" i="47"/>
  <c r="E138" i="47"/>
  <c r="E139" i="47"/>
  <c r="E140" i="47"/>
  <c r="E141" i="47"/>
  <c r="E142" i="47"/>
  <c r="E143" i="47"/>
  <c r="H134" i="47"/>
  <c r="E134" i="47"/>
  <c r="S92" i="38" l="1"/>
  <c r="T92" i="38" s="1"/>
  <c r="E92" i="38"/>
  <c r="M6" i="38" l="1"/>
  <c r="E93" i="38"/>
  <c r="E94" i="38"/>
  <c r="E95" i="38"/>
  <c r="E98" i="38"/>
  <c r="E99" i="38"/>
  <c r="E100" i="38"/>
  <c r="E101" i="38"/>
  <c r="E102" i="38"/>
  <c r="E103" i="38"/>
  <c r="E104" i="38"/>
  <c r="E106" i="38"/>
  <c r="E107" i="38"/>
  <c r="E108" i="38"/>
  <c r="E109" i="38"/>
  <c r="E110" i="38"/>
  <c r="E111" i="38"/>
  <c r="E112" i="38"/>
  <c r="E113" i="38"/>
  <c r="E114" i="38"/>
  <c r="E115" i="38"/>
  <c r="E116" i="38"/>
  <c r="E117" i="38"/>
  <c r="E118" i="38"/>
  <c r="E119" i="38"/>
  <c r="E120" i="38"/>
  <c r="E121" i="38"/>
  <c r="E122" i="38"/>
  <c r="E123" i="38"/>
  <c r="E124" i="38"/>
  <c r="E125" i="38"/>
  <c r="E126" i="38"/>
  <c r="E127" i="38"/>
  <c r="E128" i="38"/>
  <c r="E129" i="38"/>
  <c r="E130" i="38"/>
  <c r="E131" i="38"/>
  <c r="E132" i="38"/>
  <c r="E133" i="38"/>
  <c r="E134" i="38"/>
  <c r="E135" i="38"/>
  <c r="E136" i="38"/>
  <c r="E137" i="38"/>
  <c r="E138" i="38"/>
  <c r="E139" i="38"/>
  <c r="E140" i="38"/>
  <c r="E141" i="38"/>
  <c r="E142" i="38"/>
  <c r="E143" i="38"/>
  <c r="E144" i="38"/>
  <c r="E145" i="38"/>
  <c r="E146" i="38"/>
  <c r="E147" i="38"/>
  <c r="E148" i="38"/>
  <c r="E149" i="38"/>
  <c r="E150" i="38"/>
  <c r="E151" i="38"/>
  <c r="E152" i="38"/>
  <c r="E153" i="38"/>
  <c r="E154" i="38"/>
  <c r="E155" i="38"/>
  <c r="E156" i="38"/>
  <c r="E157" i="38"/>
  <c r="E158" i="38"/>
  <c r="E159" i="38"/>
  <c r="E160" i="38"/>
  <c r="E161" i="38"/>
  <c r="E162" i="38"/>
  <c r="E163" i="38"/>
  <c r="E164" i="38"/>
  <c r="E165" i="38"/>
  <c r="E166" i="38"/>
  <c r="E167" i="38"/>
  <c r="E168" i="38"/>
  <c r="E169" i="38"/>
  <c r="E170" i="38"/>
  <c r="E171" i="38"/>
  <c r="E172" i="38"/>
  <c r="E173" i="38"/>
  <c r="E174" i="38"/>
  <c r="E175" i="38"/>
  <c r="E176" i="38"/>
  <c r="E177" i="38"/>
  <c r="E178" i="38"/>
  <c r="E179" i="38"/>
  <c r="E180" i="38"/>
  <c r="E181" i="38"/>
  <c r="E182" i="38"/>
  <c r="E183" i="38"/>
  <c r="E184" i="38"/>
  <c r="E185" i="38"/>
  <c r="E186" i="38"/>
  <c r="E187" i="38"/>
  <c r="E188" i="38"/>
  <c r="E189" i="38"/>
  <c r="E190" i="38"/>
  <c r="E191" i="38"/>
  <c r="E192" i="38"/>
  <c r="E193" i="38"/>
  <c r="E194" i="38"/>
  <c r="E195" i="38"/>
  <c r="E89" i="38"/>
  <c r="E82" i="38"/>
  <c r="E83" i="38"/>
  <c r="E84" i="38"/>
  <c r="E85" i="38"/>
  <c r="E76" i="38"/>
  <c r="E77" i="38"/>
  <c r="E78" i="38"/>
  <c r="E79" i="38"/>
  <c r="E61" i="38"/>
  <c r="E58" i="38"/>
  <c r="E59" i="38"/>
  <c r="E60" i="38"/>
  <c r="S186" i="38"/>
  <c r="T186" i="38" s="1"/>
  <c r="S187" i="38"/>
  <c r="T187" i="38" s="1"/>
  <c r="S188" i="38"/>
  <c r="T188" i="38" s="1"/>
  <c r="S189" i="38"/>
  <c r="T189" i="38" s="1"/>
  <c r="S190" i="38"/>
  <c r="T190" i="38" s="1"/>
  <c r="S191" i="38"/>
  <c r="T191" i="38" s="1"/>
  <c r="S192" i="38"/>
  <c r="T192" i="38" s="1"/>
  <c r="S193" i="38"/>
  <c r="T193" i="38" s="1"/>
  <c r="S194" i="38"/>
  <c r="T194" i="38" s="1"/>
  <c r="S195" i="38"/>
  <c r="T195" i="38" s="1"/>
  <c r="S175" i="38" l="1"/>
  <c r="T175" i="38" s="1"/>
  <c r="S176" i="38"/>
  <c r="T176" i="38" s="1"/>
  <c r="S177" i="38"/>
  <c r="T177" i="38" s="1"/>
  <c r="S178" i="38"/>
  <c r="T178" i="38" s="1"/>
  <c r="S179" i="38"/>
  <c r="T179" i="38" s="1"/>
  <c r="S180" i="38"/>
  <c r="T180" i="38" s="1"/>
  <c r="S181" i="38"/>
  <c r="T181" i="38" s="1"/>
  <c r="S182" i="38"/>
  <c r="T182" i="38" s="1"/>
  <c r="S183" i="38"/>
  <c r="T183" i="38" s="1"/>
  <c r="S184" i="38"/>
  <c r="T184" i="38" s="1"/>
  <c r="S185" i="38"/>
  <c r="T185" i="38" s="1"/>
  <c r="I56" i="49" l="1"/>
  <c r="S171" i="38"/>
  <c r="T171" i="38" s="1"/>
  <c r="S172" i="38"/>
  <c r="T172" i="38" s="1"/>
  <c r="S173" i="38"/>
  <c r="T173" i="38" s="1"/>
  <c r="S174" i="38"/>
  <c r="T174" i="38" s="1"/>
  <c r="S170" i="38"/>
  <c r="T170" i="38" s="1"/>
  <c r="I48" i="49" s="1"/>
  <c r="S169" i="38"/>
  <c r="T169" i="38" s="1"/>
  <c r="I46" i="49" s="1"/>
  <c r="S168" i="38"/>
  <c r="T168" i="38" s="1"/>
  <c r="I52" i="49" l="1"/>
  <c r="E11" i="41" a="1"/>
  <c r="E11" i="41" s="1"/>
  <c r="E10" i="41" a="1"/>
  <c r="E10" i="41" s="1"/>
  <c r="H133" i="47"/>
  <c r="E133" i="47"/>
  <c r="H131" i="47"/>
  <c r="E131" i="47"/>
  <c r="E130" i="47"/>
  <c r="E132" i="47"/>
  <c r="H132" i="47"/>
  <c r="H130" i="47"/>
  <c r="E127" i="47"/>
  <c r="E128" i="47"/>
  <c r="E129" i="47"/>
  <c r="H129" i="47"/>
  <c r="H128" i="47"/>
  <c r="H127" i="47"/>
  <c r="E125" i="47"/>
  <c r="E126" i="47"/>
  <c r="H126" i="47"/>
  <c r="H125" i="47"/>
  <c r="E123" i="47"/>
  <c r="E124" i="47"/>
  <c r="H124" i="47"/>
  <c r="H123" i="47"/>
  <c r="E122" i="47"/>
  <c r="H122" i="47"/>
  <c r="E121" i="47"/>
  <c r="H121" i="47"/>
  <c r="H120" i="47"/>
  <c r="E120" i="47"/>
  <c r="F146" i="40" l="1"/>
  <c r="F145" i="40"/>
  <c r="F143" i="40"/>
  <c r="F142" i="40"/>
  <c r="F141" i="40"/>
  <c r="F140" i="40"/>
  <c r="F139" i="40"/>
  <c r="F138" i="40"/>
  <c r="F137" i="40"/>
  <c r="F136" i="40"/>
  <c r="F135" i="40"/>
  <c r="F134" i="40"/>
  <c r="F133" i="40"/>
  <c r="F132" i="40"/>
  <c r="F131" i="40"/>
  <c r="F130" i="40"/>
  <c r="F129" i="40"/>
  <c r="F128" i="40"/>
  <c r="F126" i="40"/>
  <c r="F124" i="40"/>
  <c r="F122" i="40"/>
  <c r="F120" i="40"/>
  <c r="F119" i="40"/>
  <c r="F117" i="40"/>
  <c r="F116" i="40"/>
  <c r="F114" i="40"/>
  <c r="F113" i="40"/>
  <c r="F112" i="40"/>
  <c r="F110" i="40"/>
  <c r="F109" i="40"/>
  <c r="F108" i="40"/>
  <c r="F107" i="40"/>
  <c r="F106" i="40"/>
  <c r="F104" i="40"/>
  <c r="F102" i="40"/>
  <c r="F101" i="40"/>
  <c r="F99" i="40"/>
  <c r="F98" i="40"/>
  <c r="F96" i="40"/>
  <c r="F94" i="40"/>
  <c r="F93" i="40"/>
  <c r="F92" i="40"/>
  <c r="F91" i="40"/>
  <c r="F90" i="40"/>
  <c r="F89" i="40"/>
  <c r="F88" i="40"/>
  <c r="F87" i="40"/>
  <c r="F86" i="40"/>
  <c r="F85" i="40"/>
  <c r="F84" i="40"/>
  <c r="F82" i="40"/>
  <c r="F81" i="40"/>
  <c r="F80" i="40"/>
  <c r="F79" i="40"/>
  <c r="F78" i="40"/>
  <c r="F77" i="40"/>
  <c r="F76" i="40"/>
  <c r="F75" i="40"/>
  <c r="F74" i="40"/>
  <c r="F72" i="40"/>
  <c r="F70" i="40"/>
  <c r="F69" i="40"/>
  <c r="F68" i="40"/>
  <c r="F66" i="40"/>
  <c r="F65" i="40"/>
  <c r="F64" i="40"/>
  <c r="F62" i="40"/>
  <c r="F61" i="40"/>
  <c r="F60" i="40"/>
  <c r="F58" i="40"/>
  <c r="F57" i="40"/>
  <c r="F56" i="40"/>
  <c r="F55" i="40"/>
  <c r="F54" i="40"/>
  <c r="F53" i="40"/>
  <c r="F52" i="40"/>
  <c r="F51" i="40"/>
  <c r="F50" i="40"/>
  <c r="F49" i="40"/>
  <c r="F48" i="40"/>
  <c r="F47" i="40"/>
  <c r="F46" i="40"/>
  <c r="F45" i="40"/>
  <c r="F44" i="40"/>
  <c r="F43" i="40"/>
  <c r="F42" i="40"/>
  <c r="F41" i="40"/>
  <c r="F40" i="40"/>
  <c r="F39" i="40"/>
  <c r="F37" i="40"/>
  <c r="F36" i="40"/>
  <c r="F34" i="40"/>
  <c r="F33" i="40"/>
  <c r="F32" i="40"/>
  <c r="F31" i="40"/>
  <c r="F29" i="40"/>
  <c r="F28" i="40"/>
  <c r="F27" i="40"/>
  <c r="F25" i="40"/>
  <c r="F24" i="40"/>
  <c r="F23" i="40"/>
  <c r="F21" i="40"/>
  <c r="F20" i="40"/>
  <c r="F19" i="40"/>
  <c r="F18" i="40"/>
  <c r="F17" i="40"/>
  <c r="F16" i="40"/>
  <c r="F15" i="40"/>
  <c r="F14" i="40"/>
  <c r="F13" i="40"/>
  <c r="F12" i="40"/>
  <c r="F8" i="40"/>
  <c r="D146" i="40"/>
  <c r="D145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6" i="40"/>
  <c r="D124" i="40"/>
  <c r="D122" i="40"/>
  <c r="D120" i="40"/>
  <c r="D119" i="40"/>
  <c r="D117" i="40"/>
  <c r="D116" i="40"/>
  <c r="D114" i="40"/>
  <c r="D113" i="40"/>
  <c r="D112" i="40"/>
  <c r="D110" i="40"/>
  <c r="D109" i="40"/>
  <c r="D108" i="40"/>
  <c r="D107" i="40"/>
  <c r="D106" i="40"/>
  <c r="D104" i="40"/>
  <c r="D102" i="40"/>
  <c r="D101" i="40"/>
  <c r="D99" i="40"/>
  <c r="D98" i="40"/>
  <c r="D96" i="40"/>
  <c r="D94" i="40"/>
  <c r="D93" i="40"/>
  <c r="D92" i="40"/>
  <c r="D91" i="40"/>
  <c r="D90" i="40"/>
  <c r="D89" i="40"/>
  <c r="D88" i="40"/>
  <c r="D87" i="40"/>
  <c r="D86" i="40"/>
  <c r="D85" i="40"/>
  <c r="D84" i="40"/>
  <c r="D82" i="40"/>
  <c r="D81" i="40"/>
  <c r="D80" i="40"/>
  <c r="D79" i="40"/>
  <c r="D78" i="40"/>
  <c r="D77" i="40"/>
  <c r="D76" i="40"/>
  <c r="D75" i="40"/>
  <c r="D74" i="40"/>
  <c r="D72" i="40"/>
  <c r="D70" i="40"/>
  <c r="D69" i="40"/>
  <c r="D68" i="40"/>
  <c r="D66" i="40"/>
  <c r="D65" i="40"/>
  <c r="D64" i="40"/>
  <c r="D62" i="40"/>
  <c r="D61" i="40"/>
  <c r="D60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7" i="40"/>
  <c r="D36" i="40"/>
  <c r="D34" i="40"/>
  <c r="D33" i="40"/>
  <c r="D32" i="40"/>
  <c r="D31" i="40"/>
  <c r="D29" i="40"/>
  <c r="D28" i="40"/>
  <c r="D27" i="40"/>
  <c r="D25" i="40"/>
  <c r="D24" i="40"/>
  <c r="D23" i="40"/>
  <c r="D21" i="40"/>
  <c r="D20" i="40"/>
  <c r="D19" i="40"/>
  <c r="D18" i="40"/>
  <c r="D17" i="40"/>
  <c r="D16" i="40"/>
  <c r="D15" i="40"/>
  <c r="D14" i="40"/>
  <c r="D13" i="40"/>
  <c r="D12" i="40"/>
  <c r="D8" i="40"/>
  <c r="D7" i="40"/>
  <c r="R17" i="42"/>
  <c r="Q7" i="42"/>
  <c r="R7" i="42" s="1"/>
  <c r="F149" i="40" s="1"/>
  <c r="Q8" i="42"/>
  <c r="R8" i="42" s="1"/>
  <c r="Q9" i="42"/>
  <c r="R9" i="42" s="1"/>
  <c r="Q10" i="42"/>
  <c r="R10" i="42" s="1"/>
  <c r="Q11" i="42"/>
  <c r="R11" i="42" s="1"/>
  <c r="Q12" i="42"/>
  <c r="R12" i="42" s="1"/>
  <c r="Q13" i="42"/>
  <c r="R13" i="42" s="1"/>
  <c r="Q14" i="42"/>
  <c r="R14" i="42" s="1"/>
  <c r="F7" i="40" s="1"/>
  <c r="Q15" i="42"/>
  <c r="R15" i="42" s="1"/>
  <c r="Q16" i="42"/>
  <c r="R16" i="42" s="1"/>
  <c r="Q17" i="42"/>
  <c r="Q6" i="42"/>
  <c r="R6" i="42" s="1"/>
  <c r="P3" i="42"/>
  <c r="S167" i="38"/>
  <c r="T167" i="38" s="1"/>
  <c r="S166" i="38"/>
  <c r="T166" i="38" s="1"/>
  <c r="S165" i="38"/>
  <c r="T165" i="38" s="1"/>
  <c r="S164" i="38"/>
  <c r="T164" i="38" s="1"/>
  <c r="F152" i="40" l="1"/>
  <c r="R3" i="42"/>
  <c r="H244" i="34"/>
  <c r="H243" i="34"/>
  <c r="H242" i="34"/>
  <c r="H241" i="34"/>
  <c r="H240" i="34"/>
  <c r="H239" i="34"/>
  <c r="H238" i="34"/>
  <c r="H237" i="34"/>
  <c r="H236" i="34"/>
  <c r="H235" i="34"/>
  <c r="H234" i="34"/>
  <c r="H233" i="34"/>
  <c r="H232" i="34"/>
  <c r="H231" i="34"/>
  <c r="H230" i="34"/>
  <c r="H227" i="34"/>
  <c r="H225" i="34"/>
  <c r="H223" i="34"/>
  <c r="H221" i="34"/>
  <c r="H220" i="34"/>
  <c r="H218" i="34"/>
  <c r="H217" i="34"/>
  <c r="H215" i="34"/>
  <c r="H214" i="34"/>
  <c r="H213" i="34"/>
  <c r="H211" i="34"/>
  <c r="H210" i="34"/>
  <c r="H209" i="34"/>
  <c r="H208" i="34"/>
  <c r="H207" i="34"/>
  <c r="H205" i="34"/>
  <c r="H203" i="34"/>
  <c r="H202" i="34"/>
  <c r="H200" i="34"/>
  <c r="H199" i="34"/>
  <c r="H195" i="34"/>
  <c r="H194" i="34"/>
  <c r="H193" i="34"/>
  <c r="H192" i="34"/>
  <c r="H191" i="34"/>
  <c r="H190" i="34"/>
  <c r="H189" i="34"/>
  <c r="H188" i="34"/>
  <c r="H187" i="34"/>
  <c r="H186" i="34"/>
  <c r="H185" i="34"/>
  <c r="H183" i="34"/>
  <c r="H182" i="34"/>
  <c r="H181" i="34"/>
  <c r="H180" i="34"/>
  <c r="H179" i="34"/>
  <c r="H178" i="34"/>
  <c r="H177" i="34"/>
  <c r="H176" i="34"/>
  <c r="H173" i="34"/>
  <c r="H171" i="34"/>
  <c r="H170" i="34"/>
  <c r="H169" i="34"/>
  <c r="H167" i="34"/>
  <c r="H166" i="34"/>
  <c r="H163" i="34"/>
  <c r="H162" i="34"/>
  <c r="H161" i="34"/>
  <c r="H159" i="34"/>
  <c r="H158" i="34"/>
  <c r="H157" i="34"/>
  <c r="H156" i="34"/>
  <c r="H155" i="34"/>
  <c r="H154" i="34"/>
  <c r="H153" i="34"/>
  <c r="H151" i="34"/>
  <c r="H150" i="34"/>
  <c r="H149" i="34"/>
  <c r="H148" i="34"/>
  <c r="H147" i="34"/>
  <c r="H146" i="34"/>
  <c r="H145" i="34"/>
  <c r="H144" i="34"/>
  <c r="H143" i="34"/>
  <c r="H142" i="34"/>
  <c r="H138" i="34"/>
  <c r="H137" i="34"/>
  <c r="H134" i="34"/>
  <c r="H133" i="34"/>
  <c r="H132" i="34"/>
  <c r="H130" i="34"/>
  <c r="H129" i="34"/>
  <c r="H128" i="34"/>
  <c r="H126" i="34"/>
  <c r="H121" i="34"/>
  <c r="H120" i="34"/>
  <c r="H117" i="34"/>
  <c r="H116" i="34"/>
  <c r="H113" i="34"/>
  <c r="H104" i="34"/>
  <c r="H103" i="34"/>
  <c r="H102" i="34"/>
  <c r="H101" i="34"/>
  <c r="H100" i="34"/>
  <c r="H99" i="34"/>
  <c r="H98" i="34"/>
  <c r="H97" i="34"/>
  <c r="H96" i="34"/>
  <c r="H95" i="34"/>
  <c r="H94" i="34"/>
  <c r="H92" i="34"/>
  <c r="H91" i="34"/>
  <c r="H90" i="34"/>
  <c r="H88" i="34"/>
  <c r="H83" i="34"/>
  <c r="H81" i="34"/>
  <c r="H80" i="34"/>
  <c r="H78" i="34"/>
  <c r="H77" i="34"/>
  <c r="H75" i="34"/>
  <c r="H74" i="34"/>
  <c r="H72" i="34"/>
  <c r="H69" i="34"/>
  <c r="H67" i="34"/>
  <c r="H66" i="34"/>
  <c r="H65" i="34"/>
  <c r="H64" i="34"/>
  <c r="H60" i="34"/>
  <c r="H59" i="34"/>
  <c r="H56" i="34"/>
  <c r="H54" i="34"/>
  <c r="H53" i="34"/>
  <c r="H51" i="34"/>
  <c r="H50" i="34"/>
  <c r="H48" i="34"/>
  <c r="H47" i="34"/>
  <c r="H45" i="34"/>
  <c r="H44" i="34"/>
  <c r="H43" i="34"/>
  <c r="H42" i="34"/>
  <c r="H39" i="34"/>
  <c r="H38" i="34"/>
  <c r="H36" i="34"/>
  <c r="H34" i="34"/>
  <c r="H33" i="34"/>
  <c r="H32" i="34"/>
  <c r="H30" i="34"/>
  <c r="H29" i="34"/>
  <c r="H28" i="34"/>
  <c r="H27" i="34"/>
  <c r="H24" i="34"/>
  <c r="H23" i="34"/>
  <c r="H16" i="34"/>
  <c r="H15" i="34"/>
  <c r="H13" i="34"/>
  <c r="S95" i="38"/>
  <c r="T95" i="38" s="1"/>
  <c r="S98" i="38"/>
  <c r="T98" i="38" s="1"/>
  <c r="S99" i="38"/>
  <c r="T99" i="38" s="1"/>
  <c r="S100" i="38"/>
  <c r="T100" i="38" s="1"/>
  <c r="S101" i="38"/>
  <c r="T101" i="38" s="1"/>
  <c r="S102" i="38"/>
  <c r="T102" i="38" s="1"/>
  <c r="S103" i="38"/>
  <c r="T103" i="38" s="1"/>
  <c r="S104" i="38"/>
  <c r="T104" i="38" s="1"/>
  <c r="S106" i="38"/>
  <c r="T106" i="38" s="1"/>
  <c r="S107" i="38"/>
  <c r="T107" i="38" s="1"/>
  <c r="S108" i="38"/>
  <c r="T108" i="38" s="1"/>
  <c r="S109" i="38"/>
  <c r="T109" i="38" s="1"/>
  <c r="S110" i="38"/>
  <c r="T110" i="38" s="1"/>
  <c r="S111" i="38"/>
  <c r="T111" i="38" s="1"/>
  <c r="S112" i="38"/>
  <c r="T112" i="38" s="1"/>
  <c r="S113" i="38"/>
  <c r="T113" i="38" s="1"/>
  <c r="S114" i="38"/>
  <c r="T114" i="38" s="1"/>
  <c r="S115" i="38"/>
  <c r="T115" i="38" s="1"/>
  <c r="S116" i="38"/>
  <c r="T116" i="38" s="1"/>
  <c r="S117" i="38"/>
  <c r="T117" i="38" s="1"/>
  <c r="S118" i="38"/>
  <c r="T118" i="38" s="1"/>
  <c r="I35" i="49" s="1"/>
  <c r="S119" i="38"/>
  <c r="T119" i="38" s="1"/>
  <c r="S120" i="38"/>
  <c r="T120" i="38" s="1"/>
  <c r="S121" i="38"/>
  <c r="T121" i="38" s="1"/>
  <c r="S122" i="38"/>
  <c r="T122" i="38" s="1"/>
  <c r="S123" i="38"/>
  <c r="T123" i="38" s="1"/>
  <c r="I27" i="49" s="1"/>
  <c r="S124" i="38"/>
  <c r="T124" i="38" s="1"/>
  <c r="I25" i="49" s="1"/>
  <c r="S125" i="38"/>
  <c r="T125" i="38" s="1"/>
  <c r="S126" i="38"/>
  <c r="T126" i="38" s="1"/>
  <c r="S127" i="38"/>
  <c r="T127" i="38" s="1"/>
  <c r="S128" i="38"/>
  <c r="T128" i="38" s="1"/>
  <c r="S129" i="38"/>
  <c r="T129" i="38" s="1"/>
  <c r="S130" i="38"/>
  <c r="T130" i="38" s="1"/>
  <c r="S131" i="38"/>
  <c r="T131" i="38" s="1"/>
  <c r="S132" i="38"/>
  <c r="T132" i="38" s="1"/>
  <c r="S133" i="38"/>
  <c r="T133" i="38" s="1"/>
  <c r="S134" i="38"/>
  <c r="T134" i="38" s="1"/>
  <c r="S135" i="38"/>
  <c r="T135" i="38" s="1"/>
  <c r="S136" i="38"/>
  <c r="T136" i="38" s="1"/>
  <c r="S137" i="38"/>
  <c r="T137" i="38" s="1"/>
  <c r="S138" i="38"/>
  <c r="T138" i="38" s="1"/>
  <c r="S139" i="38"/>
  <c r="T139" i="38" s="1"/>
  <c r="S140" i="38"/>
  <c r="T140" i="38" s="1"/>
  <c r="S141" i="38"/>
  <c r="T141" i="38" s="1"/>
  <c r="S142" i="38"/>
  <c r="T142" i="38" s="1"/>
  <c r="S143" i="38"/>
  <c r="T143" i="38" s="1"/>
  <c r="I21" i="49" s="1"/>
  <c r="S144" i="38"/>
  <c r="T144" i="38" s="1"/>
  <c r="S145" i="38"/>
  <c r="T145" i="38" s="1"/>
  <c r="S146" i="38"/>
  <c r="T146" i="38" s="1"/>
  <c r="S147" i="38"/>
  <c r="T147" i="38" s="1"/>
  <c r="S148" i="38"/>
  <c r="T148" i="38" s="1"/>
  <c r="S149" i="38"/>
  <c r="T149" i="38" s="1"/>
  <c r="S150" i="38"/>
  <c r="T150" i="38" s="1"/>
  <c r="S151" i="38"/>
  <c r="T151" i="38" s="1"/>
  <c r="S152" i="38"/>
  <c r="T152" i="38" s="1"/>
  <c r="S153" i="38"/>
  <c r="T153" i="38" s="1"/>
  <c r="S154" i="38"/>
  <c r="T154" i="38" s="1"/>
  <c r="S155" i="38"/>
  <c r="T155" i="38" s="1"/>
  <c r="S156" i="38"/>
  <c r="T156" i="38" s="1"/>
  <c r="S157" i="38"/>
  <c r="T157" i="38" s="1"/>
  <c r="S158" i="38"/>
  <c r="T158" i="38" s="1"/>
  <c r="I34" i="49" s="1"/>
  <c r="S159" i="38"/>
  <c r="T159" i="38" s="1"/>
  <c r="I42" i="49" s="1"/>
  <c r="S160" i="38"/>
  <c r="T160" i="38" s="1"/>
  <c r="I41" i="49" s="1"/>
  <c r="S161" i="38"/>
  <c r="T161" i="38" s="1"/>
  <c r="S162" i="38"/>
  <c r="T162" i="38" s="1"/>
  <c r="H63" i="34" s="1"/>
  <c r="S163" i="38"/>
  <c r="T163" i="38" s="1"/>
  <c r="S94" i="38"/>
  <c r="T94" i="38" s="1"/>
  <c r="I24" i="49" s="1"/>
  <c r="S89" i="38"/>
  <c r="T89" i="38" s="1"/>
  <c r="S85" i="38"/>
  <c r="T85" i="38" s="1"/>
  <c r="S84" i="38"/>
  <c r="T84" i="38" s="1"/>
  <c r="S83" i="38"/>
  <c r="T83" i="38" s="1"/>
  <c r="S82" i="38"/>
  <c r="T82" i="38" s="1"/>
  <c r="S72" i="38"/>
  <c r="T72" i="38" s="1"/>
  <c r="S73" i="38"/>
  <c r="T73" i="38" s="1"/>
  <c r="S74" i="38"/>
  <c r="T74" i="38" s="1"/>
  <c r="S75" i="38"/>
  <c r="T75" i="38" s="1"/>
  <c r="S76" i="38"/>
  <c r="T76" i="38" s="1"/>
  <c r="S77" i="38"/>
  <c r="T77" i="38" s="1"/>
  <c r="S78" i="38"/>
  <c r="T78" i="38" s="1"/>
  <c r="S79" i="38"/>
  <c r="T79" i="38" s="1"/>
  <c r="H135" i="34" s="1"/>
  <c r="S71" i="38"/>
  <c r="T71" i="38" s="1"/>
  <c r="R6" i="38"/>
  <c r="S93" i="38"/>
  <c r="T93" i="38" s="1"/>
  <c r="I36" i="49" s="1"/>
  <c r="S91" i="38"/>
  <c r="T91" i="38" s="1"/>
  <c r="I38" i="49" s="1"/>
  <c r="S90" i="38"/>
  <c r="T90" i="38" s="1"/>
  <c r="H152" i="34" s="1"/>
  <c r="S88" i="38"/>
  <c r="T88" i="38" s="1"/>
  <c r="S87" i="38"/>
  <c r="T87" i="38" s="1"/>
  <c r="S86" i="38"/>
  <c r="T86" i="38" s="1"/>
  <c r="I32" i="49" s="1"/>
  <c r="S80" i="38"/>
  <c r="T80" i="38" s="1"/>
  <c r="S70" i="38"/>
  <c r="T70" i="38" s="1"/>
  <c r="S69" i="38"/>
  <c r="T69" i="38" s="1"/>
  <c r="S68" i="38"/>
  <c r="T68" i="38" s="1"/>
  <c r="S67" i="38"/>
  <c r="T67" i="38" s="1"/>
  <c r="S66" i="38"/>
  <c r="T66" i="38" s="1"/>
  <c r="S65" i="38"/>
  <c r="T65" i="38" s="1"/>
  <c r="S64" i="38"/>
  <c r="T64" i="38" s="1"/>
  <c r="S63" i="38"/>
  <c r="T63" i="38" s="1"/>
  <c r="S48" i="38"/>
  <c r="T48" i="38" s="1"/>
  <c r="S58" i="38"/>
  <c r="T58" i="38" s="1"/>
  <c r="S59" i="38"/>
  <c r="T59" i="38" s="1"/>
  <c r="S60" i="38"/>
  <c r="T60" i="38" s="1"/>
  <c r="S61" i="38"/>
  <c r="T61" i="38" s="1"/>
  <c r="I30" i="49" l="1"/>
  <c r="I31" i="49"/>
  <c r="I45" i="49"/>
  <c r="I37" i="49"/>
  <c r="I47" i="49"/>
  <c r="I49" i="49"/>
  <c r="H140" i="34"/>
  <c r="H124" i="34"/>
  <c r="H141" i="34"/>
  <c r="H25" i="34"/>
  <c r="H85" i="34"/>
  <c r="H55" i="34"/>
  <c r="H122" i="34"/>
  <c r="H114" i="34"/>
  <c r="H31" i="34"/>
  <c r="H37" i="34"/>
  <c r="H22" i="34"/>
  <c r="H40" i="34"/>
  <c r="H19" i="34"/>
  <c r="H229" i="34"/>
  <c r="H26" i="34"/>
  <c r="H197" i="34"/>
  <c r="H41" i="34"/>
  <c r="H175" i="34"/>
  <c r="J82" i="26"/>
  <c r="F82" i="26"/>
  <c r="H104" i="47" l="1"/>
  <c r="E104" i="47"/>
  <c r="F244" i="34" l="1"/>
  <c r="F243" i="34"/>
  <c r="F242" i="34"/>
  <c r="F241" i="34"/>
  <c r="F240" i="34"/>
  <c r="F239" i="34"/>
  <c r="F237" i="34"/>
  <c r="F236" i="34"/>
  <c r="F235" i="34"/>
  <c r="F234" i="34"/>
  <c r="F233" i="34"/>
  <c r="F232" i="34"/>
  <c r="F231" i="34"/>
  <c r="F230" i="34"/>
  <c r="F227" i="34"/>
  <c r="F225" i="34"/>
  <c r="F221" i="34"/>
  <c r="F220" i="34"/>
  <c r="F218" i="34"/>
  <c r="F217" i="34"/>
  <c r="F215" i="34"/>
  <c r="F214" i="34"/>
  <c r="F213" i="34"/>
  <c r="F211" i="34"/>
  <c r="F210" i="34"/>
  <c r="F209" i="34"/>
  <c r="F208" i="34"/>
  <c r="F207" i="34"/>
  <c r="F205" i="34"/>
  <c r="F203" i="34"/>
  <c r="F202" i="34"/>
  <c r="F200" i="34"/>
  <c r="F199" i="34"/>
  <c r="F195" i="34"/>
  <c r="F194" i="34"/>
  <c r="F193" i="34"/>
  <c r="F192" i="34"/>
  <c r="F191" i="34"/>
  <c r="F190" i="34"/>
  <c r="F189" i="34"/>
  <c r="F188" i="34"/>
  <c r="F187" i="34"/>
  <c r="F186" i="34"/>
  <c r="F185" i="34"/>
  <c r="F183" i="34"/>
  <c r="F182" i="34"/>
  <c r="F181" i="34"/>
  <c r="F180" i="34"/>
  <c r="F179" i="34"/>
  <c r="F178" i="34"/>
  <c r="F177" i="34"/>
  <c r="F176" i="34"/>
  <c r="F171" i="34"/>
  <c r="F170" i="34"/>
  <c r="F169" i="34"/>
  <c r="F167" i="34"/>
  <c r="F166" i="34"/>
  <c r="F162" i="34"/>
  <c r="F161" i="34"/>
  <c r="F159" i="34"/>
  <c r="F158" i="34"/>
  <c r="F157" i="34"/>
  <c r="F156" i="34"/>
  <c r="F155" i="34"/>
  <c r="F154" i="34"/>
  <c r="F153" i="34"/>
  <c r="F151" i="34"/>
  <c r="F150" i="34"/>
  <c r="F149" i="34"/>
  <c r="F148" i="34"/>
  <c r="F147" i="34"/>
  <c r="F146" i="34"/>
  <c r="F145" i="34"/>
  <c r="F144" i="34"/>
  <c r="F143" i="34"/>
  <c r="F142" i="34"/>
  <c r="F137" i="34"/>
  <c r="F134" i="34"/>
  <c r="F130" i="34"/>
  <c r="F129" i="34"/>
  <c r="F126" i="34"/>
  <c r="F121" i="34"/>
  <c r="F120" i="34"/>
  <c r="F116" i="34"/>
  <c r="F113" i="34"/>
  <c r="F104" i="34"/>
  <c r="F103" i="34"/>
  <c r="F101" i="34"/>
  <c r="F98" i="34"/>
  <c r="F97" i="34"/>
  <c r="F96" i="34"/>
  <c r="F95" i="34"/>
  <c r="F94" i="34"/>
  <c r="F92" i="34"/>
  <c r="F88" i="34"/>
  <c r="F67" i="34"/>
  <c r="F66" i="34"/>
  <c r="F64" i="34"/>
  <c r="F59" i="34"/>
  <c r="F56" i="34"/>
  <c r="F54" i="34"/>
  <c r="F51" i="34"/>
  <c r="F50" i="34"/>
  <c r="F44" i="34"/>
  <c r="F43" i="34"/>
  <c r="F39" i="34"/>
  <c r="F38" i="34"/>
  <c r="F34" i="34"/>
  <c r="F33" i="34"/>
  <c r="F32" i="34"/>
  <c r="F29" i="34"/>
  <c r="F28" i="34"/>
  <c r="F27" i="34"/>
  <c r="F24" i="34"/>
  <c r="F15" i="34"/>
  <c r="F250" i="34" l="1"/>
  <c r="J86" i="26"/>
  <c r="J84" i="26"/>
  <c r="J33" i="26"/>
  <c r="F28" i="49" s="1"/>
  <c r="H28" i="49" s="1"/>
  <c r="J34" i="26"/>
  <c r="J35" i="26"/>
  <c r="F18" i="34" s="1"/>
  <c r="J36" i="26"/>
  <c r="F30" i="49" s="1"/>
  <c r="H30" i="49" s="1"/>
  <c r="J37" i="26"/>
  <c r="J38" i="26"/>
  <c r="F32" i="49" s="1"/>
  <c r="H32" i="49" s="1"/>
  <c r="J39" i="26"/>
  <c r="F33" i="49" s="1"/>
  <c r="H33" i="49" s="1"/>
  <c r="J40" i="26"/>
  <c r="F34" i="49" s="1"/>
  <c r="H34" i="49" s="1"/>
  <c r="J41" i="26"/>
  <c r="F35" i="49" s="1"/>
  <c r="H35" i="49" s="1"/>
  <c r="J42" i="26"/>
  <c r="F36" i="49" s="1"/>
  <c r="H36" i="49" s="1"/>
  <c r="J43" i="26"/>
  <c r="J44" i="26"/>
  <c r="J45" i="26"/>
  <c r="J46" i="26"/>
  <c r="J47" i="26"/>
  <c r="J48" i="26"/>
  <c r="J49" i="26"/>
  <c r="J50" i="26"/>
  <c r="J51" i="26"/>
  <c r="J52" i="26"/>
  <c r="J53" i="26"/>
  <c r="J54" i="26"/>
  <c r="F229" i="34" s="1"/>
  <c r="J55" i="26"/>
  <c r="J56" i="26"/>
  <c r="J57" i="26"/>
  <c r="J58" i="26"/>
  <c r="J59" i="26"/>
  <c r="F42" i="49" s="1"/>
  <c r="H42" i="49" s="1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F128" i="34" s="1"/>
  <c r="J73" i="26"/>
  <c r="J74" i="26"/>
  <c r="F25" i="34" s="1"/>
  <c r="J96" i="26"/>
  <c r="J97" i="26"/>
  <c r="J98" i="26"/>
  <c r="F51" i="49" s="1"/>
  <c r="H51" i="49" s="1"/>
  <c r="J99" i="26"/>
  <c r="J100" i="26"/>
  <c r="F65" i="34" s="1"/>
  <c r="J101" i="26"/>
  <c r="J102" i="26"/>
  <c r="F53" i="49" s="1"/>
  <c r="H53" i="49" s="1"/>
  <c r="J103" i="26"/>
  <c r="F54" i="49" s="1"/>
  <c r="H54" i="49" s="1"/>
  <c r="J104" i="26"/>
  <c r="J85" i="26"/>
  <c r="J28" i="26"/>
  <c r="J29" i="26"/>
  <c r="J75" i="26"/>
  <c r="J76" i="26"/>
  <c r="J77" i="26"/>
  <c r="J78" i="26"/>
  <c r="J79" i="26"/>
  <c r="J80" i="26"/>
  <c r="J81" i="26"/>
  <c r="J83" i="26"/>
  <c r="J87" i="26"/>
  <c r="J88" i="26"/>
  <c r="J89" i="26"/>
  <c r="J90" i="26"/>
  <c r="J91" i="26"/>
  <c r="J92" i="26"/>
  <c r="J93" i="26"/>
  <c r="J94" i="26"/>
  <c r="J95" i="26"/>
  <c r="J105" i="26"/>
  <c r="J106" i="26"/>
  <c r="F72" i="34" s="1"/>
  <c r="J107" i="26"/>
  <c r="F74" i="34" s="1"/>
  <c r="J108" i="26"/>
  <c r="F75" i="34" s="1"/>
  <c r="J109" i="26"/>
  <c r="F77" i="34" s="1"/>
  <c r="J110" i="26"/>
  <c r="F78" i="34" s="1"/>
  <c r="J111" i="26"/>
  <c r="F80" i="34" s="1"/>
  <c r="J112" i="26"/>
  <c r="F81" i="34" s="1"/>
  <c r="J113" i="26"/>
  <c r="J114" i="26"/>
  <c r="F91" i="34" s="1"/>
  <c r="J115" i="26"/>
  <c r="F102" i="34" s="1"/>
  <c r="J14" i="26"/>
  <c r="J15" i="26"/>
  <c r="F247" i="34" s="1"/>
  <c r="J16" i="26"/>
  <c r="J17" i="26"/>
  <c r="F253" i="34" s="1"/>
  <c r="J18" i="26"/>
  <c r="F15" i="49" s="1"/>
  <c r="H15" i="49" s="1"/>
  <c r="J19" i="26"/>
  <c r="F16" i="49" s="1"/>
  <c r="H16" i="49" s="1"/>
  <c r="J20" i="26"/>
  <c r="F17" i="49" s="1"/>
  <c r="H17" i="49" s="1"/>
  <c r="J21" i="26"/>
  <c r="F18" i="49" s="1"/>
  <c r="H18" i="49" s="1"/>
  <c r="J22" i="26"/>
  <c r="F19" i="49" s="1"/>
  <c r="H19" i="49" s="1"/>
  <c r="J23" i="26"/>
  <c r="F20" i="49" s="1"/>
  <c r="H20" i="49" s="1"/>
  <c r="J24" i="26"/>
  <c r="F21" i="49" s="1"/>
  <c r="H21" i="49" s="1"/>
  <c r="J25" i="26"/>
  <c r="F22" i="49" s="1"/>
  <c r="H22" i="49" s="1"/>
  <c r="J26" i="26"/>
  <c r="F23" i="49" s="1"/>
  <c r="H23" i="49" s="1"/>
  <c r="J32" i="26"/>
  <c r="F27" i="49" s="1"/>
  <c r="H27" i="49" s="1"/>
  <c r="J30" i="26"/>
  <c r="F25" i="49" s="1"/>
  <c r="H25" i="49" s="1"/>
  <c r="J31" i="26"/>
  <c r="F26" i="49" s="1"/>
  <c r="H26" i="49" s="1"/>
  <c r="J27" i="26"/>
  <c r="E82" i="47"/>
  <c r="F118" i="47"/>
  <c r="F117" i="47"/>
  <c r="F116" i="47"/>
  <c r="F115" i="47"/>
  <c r="F114" i="47"/>
  <c r="F113" i="47"/>
  <c r="F101" i="47"/>
  <c r="F100" i="47"/>
  <c r="F97" i="47"/>
  <c r="F84" i="47"/>
  <c r="F83" i="47"/>
  <c r="F14" i="47"/>
  <c r="H82" i="47"/>
  <c r="F83" i="34" l="1"/>
  <c r="F63" i="34"/>
  <c r="F52" i="49"/>
  <c r="H52" i="49" s="1"/>
  <c r="F23" i="34"/>
  <c r="F46" i="49"/>
  <c r="H46" i="49" s="1"/>
  <c r="F175" i="34"/>
  <c r="F49" i="49"/>
  <c r="H49" i="49" s="1"/>
  <c r="F31" i="34"/>
  <c r="F45" i="49"/>
  <c r="H45" i="49" s="1"/>
  <c r="F44" i="49"/>
  <c r="H44" i="49" s="1"/>
  <c r="F197" i="34"/>
  <c r="F31" i="49"/>
  <c r="H31" i="49" s="1"/>
  <c r="F89" i="34"/>
  <c r="F50" i="49"/>
  <c r="H50" i="49" s="1"/>
  <c r="F163" i="34"/>
  <c r="F43" i="49"/>
  <c r="H43" i="49" s="1"/>
  <c r="F24" i="49"/>
  <c r="H24" i="49" s="1"/>
  <c r="F48" i="49"/>
  <c r="H48" i="49" s="1"/>
  <c r="F29" i="49"/>
  <c r="H29" i="49" s="1"/>
  <c r="F238" i="34"/>
  <c r="F40" i="49"/>
  <c r="H40" i="49" s="1"/>
  <c r="F48" i="34"/>
  <c r="F56" i="49"/>
  <c r="H56" i="49" s="1"/>
  <c r="F125" i="34"/>
  <c r="F39" i="49"/>
  <c r="H39" i="49" s="1"/>
  <c r="F47" i="49"/>
  <c r="H47" i="49" s="1"/>
  <c r="F53" i="34"/>
  <c r="F55" i="49"/>
  <c r="H55" i="49" s="1"/>
  <c r="F140" i="34"/>
  <c r="F41" i="49"/>
  <c r="H41" i="49" s="1"/>
  <c r="F246" i="34"/>
  <c r="F14" i="49"/>
  <c r="H14" i="49" s="1"/>
  <c r="F124" i="34"/>
  <c r="F38" i="49"/>
  <c r="H38" i="49" s="1"/>
  <c r="F37" i="49"/>
  <c r="H37" i="49" s="1"/>
  <c r="F30" i="34"/>
  <c r="F36" i="34"/>
  <c r="F99" i="34"/>
  <c r="F100" i="34"/>
  <c r="F26" i="34"/>
  <c r="F41" i="34"/>
  <c r="F40" i="34"/>
  <c r="F37" i="34"/>
  <c r="F21" i="34"/>
  <c r="F19" i="34"/>
  <c r="F45" i="34"/>
  <c r="F42" i="34"/>
  <c r="F85" i="34"/>
  <c r="J11" i="26"/>
  <c r="E91" i="38"/>
  <c r="E90" i="38" l="1"/>
  <c r="E88" i="38"/>
  <c r="E87" i="38"/>
  <c r="E65" i="38"/>
  <c r="E86" i="38"/>
  <c r="F115" i="26" l="1"/>
  <c r="F114" i="26"/>
  <c r="F113" i="26"/>
  <c r="F112" i="26"/>
  <c r="F111" i="26"/>
  <c r="F110" i="26"/>
  <c r="F109" i="26"/>
  <c r="F108" i="26"/>
  <c r="F107" i="26"/>
  <c r="F106" i="26"/>
  <c r="F87" i="26"/>
  <c r="F88" i="26"/>
  <c r="F89" i="26"/>
  <c r="F90" i="26"/>
  <c r="F91" i="26"/>
  <c r="F92" i="26"/>
  <c r="F93" i="26"/>
  <c r="F94" i="26"/>
  <c r="F95" i="26"/>
  <c r="F105" i="26"/>
  <c r="F83" i="26"/>
  <c r="F81" i="26"/>
  <c r="F80" i="26"/>
  <c r="F79" i="26"/>
  <c r="F75" i="26"/>
  <c r="F76" i="26"/>
  <c r="F77" i="26"/>
  <c r="F78" i="26"/>
  <c r="F29" i="26"/>
  <c r="F28" i="26"/>
  <c r="F70" i="26" l="1"/>
  <c r="F71" i="26"/>
  <c r="F72" i="26"/>
  <c r="F73" i="26"/>
  <c r="F74" i="26"/>
  <c r="F96" i="26"/>
  <c r="F97" i="26"/>
  <c r="F98" i="26"/>
  <c r="F99" i="26"/>
  <c r="F100" i="26"/>
  <c r="F101" i="26"/>
  <c r="F102" i="26"/>
  <c r="F103" i="26"/>
  <c r="F104" i="26"/>
  <c r="F84" i="26"/>
  <c r="F85" i="26"/>
  <c r="F86" i="26"/>
  <c r="E14" i="47" l="1"/>
  <c r="E15" i="47"/>
  <c r="E16" i="47"/>
  <c r="E17" i="47"/>
  <c r="E18" i="47"/>
  <c r="E19" i="47"/>
  <c r="E20" i="47"/>
  <c r="E21" i="47"/>
  <c r="E22" i="47"/>
  <c r="E23" i="47"/>
  <c r="E24" i="47"/>
  <c r="E25" i="47"/>
  <c r="E26" i="47"/>
  <c r="E27" i="47"/>
  <c r="E28" i="47"/>
  <c r="E29" i="47"/>
  <c r="E30" i="47"/>
  <c r="E31" i="47"/>
  <c r="E32" i="47"/>
  <c r="E33" i="47"/>
  <c r="E34" i="47"/>
  <c r="E35" i="47"/>
  <c r="E36" i="47"/>
  <c r="E37" i="47"/>
  <c r="E38" i="47"/>
  <c r="E39" i="47"/>
  <c r="E40" i="47"/>
  <c r="E41" i="47"/>
  <c r="E42" i="47"/>
  <c r="E43" i="47"/>
  <c r="E44" i="47"/>
  <c r="E45" i="47"/>
  <c r="E46" i="47"/>
  <c r="E47" i="47"/>
  <c r="E48" i="47"/>
  <c r="E49" i="47"/>
  <c r="E50" i="47"/>
  <c r="E51" i="47"/>
  <c r="E52" i="47"/>
  <c r="E53" i="47"/>
  <c r="E54" i="47"/>
  <c r="E55" i="47"/>
  <c r="E56" i="47"/>
  <c r="E57" i="47"/>
  <c r="E58" i="47"/>
  <c r="E59" i="47"/>
  <c r="E60" i="47"/>
  <c r="E61" i="47"/>
  <c r="E62" i="47"/>
  <c r="E63" i="47"/>
  <c r="E64" i="47"/>
  <c r="E65" i="47"/>
  <c r="E66" i="47"/>
  <c r="E67" i="47"/>
  <c r="E68" i="47"/>
  <c r="E69" i="47"/>
  <c r="E70" i="47"/>
  <c r="E71" i="47"/>
  <c r="E72" i="47"/>
  <c r="E73" i="47"/>
  <c r="E74" i="47"/>
  <c r="E75" i="47"/>
  <c r="E76" i="47"/>
  <c r="E77" i="47"/>
  <c r="E78" i="47"/>
  <c r="E79" i="47"/>
  <c r="E80" i="47"/>
  <c r="E81" i="47"/>
  <c r="E83" i="47"/>
  <c r="E84" i="47"/>
  <c r="E85" i="47"/>
  <c r="E87" i="47"/>
  <c r="E88" i="47"/>
  <c r="E97" i="47"/>
  <c r="E98" i="47"/>
  <c r="E99" i="47"/>
  <c r="E100" i="47"/>
  <c r="E101" i="47"/>
  <c r="E102" i="47"/>
  <c r="E103" i="47"/>
  <c r="E105" i="47"/>
  <c r="E106" i="47"/>
  <c r="E107" i="47"/>
  <c r="E108" i="47"/>
  <c r="E109" i="47"/>
  <c r="E110" i="47"/>
  <c r="E111" i="47"/>
  <c r="E112" i="47"/>
  <c r="E113" i="47"/>
  <c r="E114" i="47"/>
  <c r="E115" i="47"/>
  <c r="E116" i="47"/>
  <c r="E117" i="47"/>
  <c r="H118" i="47"/>
  <c r="E118" i="47"/>
  <c r="H117" i="47"/>
  <c r="H116" i="47"/>
  <c r="H115" i="47"/>
  <c r="H114" i="47"/>
  <c r="E81" i="38"/>
  <c r="S81" i="38"/>
  <c r="T81" i="38" s="1"/>
  <c r="E80" i="38" l="1"/>
  <c r="E75" i="38"/>
  <c r="E74" i="38"/>
  <c r="E73" i="38"/>
  <c r="E72" i="38"/>
  <c r="E71" i="38"/>
  <c r="E69" i="38"/>
  <c r="E70" i="38"/>
  <c r="E67" i="38"/>
  <c r="E68" i="38"/>
  <c r="E66" i="38"/>
  <c r="E64" i="38" l="1"/>
  <c r="E63" i="38"/>
  <c r="E10" i="38" l="1"/>
  <c r="E11" i="38"/>
  <c r="E12" i="38"/>
  <c r="E13" i="38"/>
  <c r="E14" i="38"/>
  <c r="E15" i="38"/>
  <c r="E16" i="38"/>
  <c r="E17" i="38"/>
  <c r="E18" i="38"/>
  <c r="E19" i="38"/>
  <c r="E20" i="38"/>
  <c r="E21" i="38"/>
  <c r="E22" i="38"/>
  <c r="E23" i="38"/>
  <c r="E24" i="38"/>
  <c r="E25" i="38"/>
  <c r="E26" i="38"/>
  <c r="E27" i="38"/>
  <c r="E28" i="38"/>
  <c r="E29" i="38"/>
  <c r="E30" i="38"/>
  <c r="E31" i="38"/>
  <c r="E32" i="38"/>
  <c r="E33" i="38"/>
  <c r="E34" i="38"/>
  <c r="E35" i="38"/>
  <c r="E36" i="38"/>
  <c r="E37" i="38"/>
  <c r="E38" i="38"/>
  <c r="E39" i="38"/>
  <c r="E40" i="38"/>
  <c r="E41" i="38"/>
  <c r="E42" i="38"/>
  <c r="E43" i="38"/>
  <c r="E44" i="38"/>
  <c r="E45" i="38"/>
  <c r="E46" i="38"/>
  <c r="E47" i="38"/>
  <c r="E48" i="38"/>
  <c r="E49" i="38"/>
  <c r="E50" i="38"/>
  <c r="E51" i="38"/>
  <c r="E52" i="38"/>
  <c r="E53" i="38"/>
  <c r="E54" i="38"/>
  <c r="E55" i="38"/>
  <c r="E56" i="38"/>
  <c r="E57" i="38"/>
  <c r="E62" i="38"/>
  <c r="E9" i="38"/>
  <c r="H113" i="47" l="1"/>
  <c r="F55" i="34" s="1"/>
  <c r="H112" i="47"/>
  <c r="H110" i="47"/>
  <c r="H111" i="47"/>
  <c r="S62" i="38"/>
  <c r="T62" i="38" s="1"/>
  <c r="H62" i="34" s="1"/>
  <c r="H99" i="47" l="1"/>
  <c r="F135" i="34" s="1"/>
  <c r="H100" i="47"/>
  <c r="H101" i="47"/>
  <c r="H102" i="47"/>
  <c r="H103" i="47"/>
  <c r="H105" i="47"/>
  <c r="H106" i="47"/>
  <c r="H107" i="47"/>
  <c r="H108" i="47"/>
  <c r="H109" i="47"/>
  <c r="H98" i="47"/>
  <c r="H97" i="47"/>
  <c r="F133" i="34" s="1"/>
  <c r="H88" i="47"/>
  <c r="F90" i="34" s="1"/>
  <c r="H87" i="47"/>
  <c r="H85" i="47"/>
  <c r="H84" i="47"/>
  <c r="F173" i="34" s="1"/>
  <c r="F69" i="34" l="1"/>
  <c r="F68" i="34" s="1"/>
  <c r="F47" i="34"/>
  <c r="F71" i="34"/>
  <c r="F82" i="34"/>
  <c r="F84" i="34"/>
  <c r="F172" i="34"/>
  <c r="F196" i="34"/>
  <c r="F204" i="34"/>
  <c r="F224" i="34"/>
  <c r="F226" i="34"/>
  <c r="F249" i="34"/>
  <c r="F248" i="34" s="1"/>
  <c r="F252" i="34"/>
  <c r="F251" i="34" s="1"/>
  <c r="F219" i="34" l="1"/>
  <c r="F46" i="34"/>
  <c r="F212" i="34"/>
  <c r="F160" i="34"/>
  <c r="F174" i="34"/>
  <c r="F123" i="34"/>
  <c r="F35" i="34"/>
  <c r="F245" i="34"/>
  <c r="F216" i="34"/>
  <c r="F184" i="34"/>
  <c r="F127" i="34"/>
  <c r="F201" i="34"/>
  <c r="F79" i="34"/>
  <c r="F198" i="34"/>
  <c r="F168" i="34"/>
  <c r="F93" i="34"/>
  <c r="F76" i="34"/>
  <c r="F87" i="34"/>
  <c r="F228" i="34"/>
  <c r="F73" i="34"/>
  <c r="F206" i="34"/>
  <c r="C128" i="34"/>
  <c r="G14" i="48"/>
  <c r="H77" i="47"/>
  <c r="H78" i="47"/>
  <c r="H79" i="47"/>
  <c r="H80" i="47"/>
  <c r="H81" i="47"/>
  <c r="H83" i="47"/>
  <c r="H35" i="47"/>
  <c r="H37" i="47"/>
  <c r="H38" i="47"/>
  <c r="H39" i="47"/>
  <c r="H40" i="47"/>
  <c r="H41" i="47"/>
  <c r="H42" i="47"/>
  <c r="H43" i="47"/>
  <c r="H44" i="47"/>
  <c r="H45" i="47"/>
  <c r="H46" i="47"/>
  <c r="H47" i="47"/>
  <c r="H48" i="47"/>
  <c r="H49" i="47"/>
  <c r="H50" i="47"/>
  <c r="H51" i="47"/>
  <c r="H52" i="47"/>
  <c r="H53" i="47"/>
  <c r="F152" i="34" s="1"/>
  <c r="H54" i="47"/>
  <c r="H55" i="47"/>
  <c r="H56" i="47"/>
  <c r="H57" i="47"/>
  <c r="H58" i="47"/>
  <c r="H59" i="47"/>
  <c r="F138" i="34" s="1"/>
  <c r="H60" i="47"/>
  <c r="H61" i="47"/>
  <c r="H62" i="47"/>
  <c r="H63" i="47"/>
  <c r="H64" i="47"/>
  <c r="H65" i="47"/>
  <c r="H66" i="47"/>
  <c r="H67" i="47"/>
  <c r="H68" i="47"/>
  <c r="H69" i="47"/>
  <c r="H70" i="47"/>
  <c r="H71" i="47"/>
  <c r="H72" i="47"/>
  <c r="H73" i="47"/>
  <c r="H74" i="47"/>
  <c r="H75" i="47"/>
  <c r="H76" i="47"/>
  <c r="F13" i="34" s="1"/>
  <c r="F16" i="34"/>
  <c r="F60" i="34"/>
  <c r="H36" i="47"/>
  <c r="H15" i="47"/>
  <c r="F10" i="34" s="1"/>
  <c r="H16" i="47"/>
  <c r="H17" i="47"/>
  <c r="H18" i="47"/>
  <c r="H19" i="47"/>
  <c r="H20" i="47"/>
  <c r="H21" i="47"/>
  <c r="H22" i="47"/>
  <c r="H23" i="47"/>
  <c r="F115" i="34" s="1"/>
  <c r="H24" i="47"/>
  <c r="H25" i="47"/>
  <c r="H26" i="47"/>
  <c r="H27" i="47"/>
  <c r="H28" i="47"/>
  <c r="H29" i="47"/>
  <c r="F52" i="34" s="1"/>
  <c r="H30" i="47"/>
  <c r="H31" i="47"/>
  <c r="H32" i="47"/>
  <c r="H33" i="47"/>
  <c r="H34" i="47"/>
  <c r="H14" i="47"/>
  <c r="F119" i="34" s="1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14" i="26"/>
  <c r="F114" i="34" l="1"/>
  <c r="F11" i="34"/>
  <c r="G11" i="34" s="1"/>
  <c r="F62" i="34"/>
  <c r="F61" i="34" s="1"/>
  <c r="F117" i="34"/>
  <c r="F17" i="34"/>
  <c r="F118" i="34"/>
  <c r="F165" i="34"/>
  <c r="F164" i="34" s="1"/>
  <c r="F14" i="34"/>
  <c r="F132" i="34"/>
  <c r="F131" i="34" s="1"/>
  <c r="F223" i="34"/>
  <c r="F222" i="34" s="1"/>
  <c r="F22" i="34"/>
  <c r="F20" i="34" s="1"/>
  <c r="F122" i="34"/>
  <c r="F141" i="34"/>
  <c r="F139" i="34" s="1"/>
  <c r="F136" i="34"/>
  <c r="F49" i="34"/>
  <c r="F58" i="34"/>
  <c r="F86" i="34"/>
  <c r="F70" i="34"/>
  <c r="S43" i="38"/>
  <c r="T43" i="38" s="1"/>
  <c r="S44" i="38"/>
  <c r="T44" i="38" s="1"/>
  <c r="S45" i="38"/>
  <c r="T45" i="38" s="1"/>
  <c r="H52" i="34"/>
  <c r="H165" i="34"/>
  <c r="S46" i="38"/>
  <c r="T46" i="38" s="1"/>
  <c r="S47" i="38"/>
  <c r="T47" i="38" s="1"/>
  <c r="S49" i="38"/>
  <c r="T49" i="38" s="1"/>
  <c r="H115" i="34" s="1"/>
  <c r="S50" i="38"/>
  <c r="T50" i="38" s="1"/>
  <c r="S51" i="38"/>
  <c r="T51" i="38" s="1"/>
  <c r="S52" i="38"/>
  <c r="T52" i="38" s="1"/>
  <c r="S53" i="38"/>
  <c r="T53" i="38" s="1"/>
  <c r="S54" i="38"/>
  <c r="T54" i="38" s="1"/>
  <c r="S55" i="38"/>
  <c r="T55" i="38" s="1"/>
  <c r="S56" i="38"/>
  <c r="T56" i="38" s="1"/>
  <c r="S57" i="38"/>
  <c r="T57" i="38" s="1"/>
  <c r="Q6" i="38"/>
  <c r="K3" i="42"/>
  <c r="O3" i="42"/>
  <c r="N3" i="42"/>
  <c r="M3" i="42"/>
  <c r="L3" i="42"/>
  <c r="P6" i="38"/>
  <c r="O6" i="38"/>
  <c r="N6" i="38"/>
  <c r="I53" i="49" l="1"/>
  <c r="H17" i="34"/>
  <c r="F57" i="34"/>
  <c r="F12" i="34"/>
  <c r="F112" i="34"/>
  <c r="F111" i="34" s="1"/>
  <c r="S42" i="38"/>
  <c r="T42" i="38" s="1"/>
  <c r="H119" i="34" s="1"/>
  <c r="F110" i="34" l="1"/>
  <c r="S41" i="38"/>
  <c r="T41" i="38" s="1"/>
  <c r="H89" i="34" s="1"/>
  <c r="S40" i="38"/>
  <c r="T40" i="38" s="1"/>
  <c r="I39" i="49" s="1"/>
  <c r="H125" i="34" l="1"/>
  <c r="H11" i="47"/>
  <c r="E11" i="48"/>
  <c r="F11" i="47" l="1"/>
  <c r="G11" i="47" l="1"/>
  <c r="F151" i="40"/>
  <c r="F150" i="40" s="1"/>
  <c r="F148" i="40"/>
  <c r="F147" i="40" s="1"/>
  <c r="F125" i="40"/>
  <c r="F123" i="40"/>
  <c r="F121" i="40"/>
  <c r="F103" i="40"/>
  <c r="F95" i="40"/>
  <c r="F71" i="40"/>
  <c r="E140" i="40"/>
  <c r="D117" i="51" s="1"/>
  <c r="F117" i="51" s="1"/>
  <c r="G140" i="40" s="1"/>
  <c r="E139" i="40"/>
  <c r="D116" i="51" s="1"/>
  <c r="F116" i="51" s="1"/>
  <c r="G139" i="40" s="1"/>
  <c r="E135" i="40"/>
  <c r="D112" i="51" s="1"/>
  <c r="F112" i="51" s="1"/>
  <c r="G135" i="40" s="1"/>
  <c r="E134" i="40"/>
  <c r="D111" i="51" s="1"/>
  <c r="F111" i="51" s="1"/>
  <c r="G134" i="40" s="1"/>
  <c r="E128" i="40"/>
  <c r="D105" i="51" s="1"/>
  <c r="F105" i="51" s="1"/>
  <c r="G128" i="40" s="1"/>
  <c r="E126" i="40"/>
  <c r="E124" i="40"/>
  <c r="D103" i="51" s="1"/>
  <c r="F103" i="51" s="1"/>
  <c r="G124" i="40" s="1"/>
  <c r="D121" i="40"/>
  <c r="E120" i="40"/>
  <c r="D101" i="51" s="1"/>
  <c r="F101" i="51" s="1"/>
  <c r="G120" i="40" s="1"/>
  <c r="E117" i="40"/>
  <c r="D99" i="51" s="1"/>
  <c r="F99" i="51" s="1"/>
  <c r="G117" i="40" s="1"/>
  <c r="E116" i="40"/>
  <c r="D98" i="51" s="1"/>
  <c r="F98" i="51" s="1"/>
  <c r="G116" i="40" s="1"/>
  <c r="E110" i="40"/>
  <c r="D94" i="51" s="1"/>
  <c r="F94" i="51" s="1"/>
  <c r="G110" i="40" s="1"/>
  <c r="E109" i="40"/>
  <c r="D93" i="51" s="1"/>
  <c r="F93" i="51" s="1"/>
  <c r="G109" i="40" s="1"/>
  <c r="E107" i="40"/>
  <c r="D91" i="51" s="1"/>
  <c r="F91" i="51" s="1"/>
  <c r="G107" i="40" s="1"/>
  <c r="E106" i="40"/>
  <c r="D90" i="51" s="1"/>
  <c r="F90" i="51" s="1"/>
  <c r="G106" i="40" s="1"/>
  <c r="E102" i="40"/>
  <c r="D88" i="51" s="1"/>
  <c r="F88" i="51" s="1"/>
  <c r="G102" i="40" s="1"/>
  <c r="E101" i="40"/>
  <c r="D87" i="51" s="1"/>
  <c r="F87" i="51" s="1"/>
  <c r="G101" i="40" s="1"/>
  <c r="D95" i="40"/>
  <c r="E92" i="40"/>
  <c r="D81" i="51" s="1"/>
  <c r="F81" i="51" s="1"/>
  <c r="G92" i="40" s="1"/>
  <c r="E91" i="40"/>
  <c r="D80" i="51" s="1"/>
  <c r="F80" i="51" s="1"/>
  <c r="G91" i="40" s="1"/>
  <c r="E90" i="40"/>
  <c r="D79" i="51" s="1"/>
  <c r="F79" i="51" s="1"/>
  <c r="G90" i="40" s="1"/>
  <c r="E89" i="40"/>
  <c r="D78" i="51" s="1"/>
  <c r="F78" i="51" s="1"/>
  <c r="G89" i="40" s="1"/>
  <c r="E88" i="40"/>
  <c r="D77" i="51" s="1"/>
  <c r="F77" i="51" s="1"/>
  <c r="G88" i="40" s="1"/>
  <c r="E87" i="40"/>
  <c r="D76" i="51" s="1"/>
  <c r="F76" i="51" s="1"/>
  <c r="G87" i="40" s="1"/>
  <c r="E85" i="40"/>
  <c r="D74" i="51" s="1"/>
  <c r="F74" i="51" s="1"/>
  <c r="G85" i="40" s="1"/>
  <c r="E78" i="40"/>
  <c r="D68" i="51" s="1"/>
  <c r="F68" i="51" s="1"/>
  <c r="G78" i="40" s="1"/>
  <c r="E77" i="40"/>
  <c r="D67" i="51" s="1"/>
  <c r="F67" i="51" s="1"/>
  <c r="G77" i="40" s="1"/>
  <c r="E72" i="40"/>
  <c r="E70" i="40"/>
  <c r="D62" i="51" s="1"/>
  <c r="F62" i="51" s="1"/>
  <c r="G70" i="40" s="1"/>
  <c r="E65" i="40"/>
  <c r="D58" i="51" s="1"/>
  <c r="F58" i="51" s="1"/>
  <c r="G65" i="40" s="1"/>
  <c r="E61" i="40"/>
  <c r="D55" i="51" s="1"/>
  <c r="F55" i="51" s="1"/>
  <c r="G61" i="40" s="1"/>
  <c r="E56" i="40"/>
  <c r="D51" i="51" s="1"/>
  <c r="F51" i="51" s="1"/>
  <c r="G56" i="40" s="1"/>
  <c r="E55" i="40"/>
  <c r="D50" i="51" s="1"/>
  <c r="F50" i="51" s="1"/>
  <c r="G55" i="40" s="1"/>
  <c r="E51" i="40"/>
  <c r="D46" i="51" s="1"/>
  <c r="F46" i="51" s="1"/>
  <c r="G51" i="40" s="1"/>
  <c r="E50" i="40"/>
  <c r="D45" i="51" s="1"/>
  <c r="F45" i="51" s="1"/>
  <c r="G50" i="40" s="1"/>
  <c r="E49" i="40"/>
  <c r="D44" i="51" s="1"/>
  <c r="F44" i="51" s="1"/>
  <c r="G49" i="40" s="1"/>
  <c r="E48" i="40"/>
  <c r="D43" i="51" s="1"/>
  <c r="F43" i="51" s="1"/>
  <c r="G48" i="40" s="1"/>
  <c r="E47" i="40"/>
  <c r="D42" i="51" s="1"/>
  <c r="F42" i="51" s="1"/>
  <c r="G47" i="40" s="1"/>
  <c r="E44" i="40"/>
  <c r="D39" i="51" s="1"/>
  <c r="F39" i="51" s="1"/>
  <c r="G44" i="40" s="1"/>
  <c r="E39" i="40"/>
  <c r="D34" i="51" s="1"/>
  <c r="F34" i="51" s="1"/>
  <c r="G39" i="40" s="1"/>
  <c r="E37" i="40"/>
  <c r="D33" i="51" s="1"/>
  <c r="F33" i="51" s="1"/>
  <c r="G37" i="40" s="1"/>
  <c r="E34" i="40"/>
  <c r="D31" i="51" s="1"/>
  <c r="F31" i="51" s="1"/>
  <c r="G34" i="40" s="1"/>
  <c r="E29" i="40"/>
  <c r="D27" i="51" s="1"/>
  <c r="F27" i="51" s="1"/>
  <c r="G29" i="40" s="1"/>
  <c r="E23" i="40"/>
  <c r="D22" i="51" s="1"/>
  <c r="F22" i="51" s="1"/>
  <c r="G23" i="40" s="1"/>
  <c r="E20" i="40"/>
  <c r="D20" i="51" s="1"/>
  <c r="F20" i="51" s="1"/>
  <c r="G20" i="40" s="1"/>
  <c r="E19" i="40"/>
  <c r="D19" i="51" s="1"/>
  <c r="F19" i="51" s="1"/>
  <c r="G19" i="40" s="1"/>
  <c r="E17" i="40"/>
  <c r="D17" i="51" s="1"/>
  <c r="F17" i="51" s="1"/>
  <c r="G17" i="40" s="1"/>
  <c r="E15" i="40"/>
  <c r="D15" i="51" s="1"/>
  <c r="F15" i="51" s="1"/>
  <c r="G15" i="40" s="1"/>
  <c r="E7" i="40"/>
  <c r="D10" i="51" s="1"/>
  <c r="F11" i="41"/>
  <c r="I11" i="41" s="1"/>
  <c r="D152" i="40" s="1"/>
  <c r="D151" i="40" s="1"/>
  <c r="D150" i="40" s="1"/>
  <c r="F10" i="41"/>
  <c r="I10" i="41" s="1"/>
  <c r="D149" i="40" s="1"/>
  <c r="F7" i="41"/>
  <c r="C151" i="40"/>
  <c r="C150" i="40" s="1"/>
  <c r="C148" i="40"/>
  <c r="C147" i="40" s="1"/>
  <c r="C144" i="40"/>
  <c r="C127" i="40"/>
  <c r="C125" i="40"/>
  <c r="C123" i="40"/>
  <c r="C121" i="40"/>
  <c r="C118" i="40"/>
  <c r="C115" i="40"/>
  <c r="C111" i="40"/>
  <c r="C105" i="40"/>
  <c r="C103" i="40"/>
  <c r="C100" i="40"/>
  <c r="C97" i="40"/>
  <c r="C95" i="40"/>
  <c r="C83" i="40"/>
  <c r="C73" i="40"/>
  <c r="C71" i="40"/>
  <c r="C67" i="40"/>
  <c r="C63" i="40"/>
  <c r="C59" i="40"/>
  <c r="C38" i="40"/>
  <c r="C35" i="40"/>
  <c r="C30" i="40"/>
  <c r="C26" i="40"/>
  <c r="C22" i="40"/>
  <c r="C11" i="40"/>
  <c r="C6" i="40"/>
  <c r="F10" i="51" l="1"/>
  <c r="E125" i="40"/>
  <c r="D104" i="51"/>
  <c r="F104" i="51" s="1"/>
  <c r="G126" i="40" s="1"/>
  <c r="E71" i="40"/>
  <c r="D63" i="51"/>
  <c r="F63" i="51" s="1"/>
  <c r="G72" i="40" s="1"/>
  <c r="Q3" i="42"/>
  <c r="F100" i="40"/>
  <c r="F144" i="40"/>
  <c r="D148" i="40"/>
  <c r="D147" i="40" s="1"/>
  <c r="E138" i="40"/>
  <c r="D115" i="51" s="1"/>
  <c r="F115" i="51" s="1"/>
  <c r="G138" i="40" s="1"/>
  <c r="H138" i="40" s="1"/>
  <c r="I138" i="40" s="1"/>
  <c r="E42" i="40"/>
  <c r="D37" i="51" s="1"/>
  <c r="F37" i="51" s="1"/>
  <c r="G42" i="40" s="1"/>
  <c r="E84" i="40"/>
  <c r="D73" i="51" s="1"/>
  <c r="F73" i="51" s="1"/>
  <c r="G84" i="40" s="1"/>
  <c r="E113" i="40"/>
  <c r="D96" i="51" s="1"/>
  <c r="F96" i="51" s="1"/>
  <c r="G113" i="40" s="1"/>
  <c r="E27" i="40"/>
  <c r="D25" i="51" s="1"/>
  <c r="F25" i="51" s="1"/>
  <c r="G27" i="40" s="1"/>
  <c r="E114" i="40"/>
  <c r="D97" i="51" s="1"/>
  <c r="F97" i="51" s="1"/>
  <c r="G114" i="40" s="1"/>
  <c r="E13" i="40"/>
  <c r="D13" i="51" s="1"/>
  <c r="F13" i="51" s="1"/>
  <c r="G13" i="40" s="1"/>
  <c r="E54" i="40"/>
  <c r="D49" i="51" s="1"/>
  <c r="F49" i="51" s="1"/>
  <c r="G54" i="40" s="1"/>
  <c r="E69" i="40"/>
  <c r="D61" i="51" s="1"/>
  <c r="F61" i="51" s="1"/>
  <c r="G69" i="40" s="1"/>
  <c r="E8" i="40"/>
  <c r="E24" i="40"/>
  <c r="D23" i="51" s="1"/>
  <c r="F23" i="51" s="1"/>
  <c r="G24" i="40" s="1"/>
  <c r="E52" i="40"/>
  <c r="D47" i="51" s="1"/>
  <c r="F47" i="51" s="1"/>
  <c r="G52" i="40" s="1"/>
  <c r="E66" i="40"/>
  <c r="D59" i="51" s="1"/>
  <c r="F59" i="51" s="1"/>
  <c r="G66" i="40" s="1"/>
  <c r="E112" i="40"/>
  <c r="D95" i="51" s="1"/>
  <c r="F95" i="51" s="1"/>
  <c r="G112" i="40" s="1"/>
  <c r="F97" i="40"/>
  <c r="F115" i="40"/>
  <c r="F6" i="40"/>
  <c r="F5" i="40" s="1"/>
  <c r="D115" i="40"/>
  <c r="E122" i="40"/>
  <c r="F111" i="40"/>
  <c r="D118" i="40"/>
  <c r="D144" i="40"/>
  <c r="D71" i="40"/>
  <c r="C10" i="40"/>
  <c r="C9" i="40" s="1"/>
  <c r="F105" i="40"/>
  <c r="F22" i="40"/>
  <c r="F63" i="40"/>
  <c r="F118" i="40"/>
  <c r="F127" i="40"/>
  <c r="F83" i="40"/>
  <c r="F38" i="40"/>
  <c r="F73" i="40"/>
  <c r="F35" i="40"/>
  <c r="E129" i="40"/>
  <c r="D106" i="51" s="1"/>
  <c r="F106" i="51" s="1"/>
  <c r="G129" i="40" s="1"/>
  <c r="H129" i="40" s="1"/>
  <c r="E100" i="40"/>
  <c r="D123" i="40"/>
  <c r="E40" i="40"/>
  <c r="D35" i="51" s="1"/>
  <c r="F35" i="51" s="1"/>
  <c r="G40" i="40" s="1"/>
  <c r="H40" i="40" s="1"/>
  <c r="E119" i="40"/>
  <c r="D100" i="51" s="1"/>
  <c r="F100" i="51" s="1"/>
  <c r="G119" i="40" s="1"/>
  <c r="E33" i="40"/>
  <c r="D30" i="51" s="1"/>
  <c r="F30" i="51" s="1"/>
  <c r="G33" i="40" s="1"/>
  <c r="H33" i="40" s="1"/>
  <c r="I33" i="40" s="1"/>
  <c r="E41" i="40"/>
  <c r="D36" i="51" s="1"/>
  <c r="F36" i="51" s="1"/>
  <c r="G41" i="40" s="1"/>
  <c r="H41" i="40" s="1"/>
  <c r="E76" i="40"/>
  <c r="D66" i="51" s="1"/>
  <c r="F66" i="51" s="1"/>
  <c r="G76" i="40" s="1"/>
  <c r="H76" i="40" s="1"/>
  <c r="D6" i="40"/>
  <c r="D67" i="40"/>
  <c r="D125" i="40"/>
  <c r="E133" i="40"/>
  <c r="D110" i="51" s="1"/>
  <c r="F110" i="51" s="1"/>
  <c r="G133" i="40" s="1"/>
  <c r="H133" i="40" s="1"/>
  <c r="E43" i="40"/>
  <c r="D38" i="51" s="1"/>
  <c r="F38" i="51" s="1"/>
  <c r="G43" i="40" s="1"/>
  <c r="H43" i="40" s="1"/>
  <c r="E86" i="40"/>
  <c r="D75" i="51" s="1"/>
  <c r="F75" i="51" s="1"/>
  <c r="G86" i="40" s="1"/>
  <c r="H86" i="40" s="1"/>
  <c r="E98" i="40"/>
  <c r="D85" i="51" s="1"/>
  <c r="F85" i="51" s="1"/>
  <c r="G98" i="40" s="1"/>
  <c r="E57" i="40"/>
  <c r="D52" i="51" s="1"/>
  <c r="F52" i="51" s="1"/>
  <c r="G57" i="40" s="1"/>
  <c r="H57" i="40" s="1"/>
  <c r="E18" i="40"/>
  <c r="D18" i="51" s="1"/>
  <c r="F18" i="51" s="1"/>
  <c r="G18" i="40" s="1"/>
  <c r="H18" i="40" s="1"/>
  <c r="D127" i="40"/>
  <c r="E131" i="40"/>
  <c r="D108" i="51" s="1"/>
  <c r="F108" i="51" s="1"/>
  <c r="G131" i="40" s="1"/>
  <c r="H131" i="40" s="1"/>
  <c r="E94" i="40"/>
  <c r="D83" i="51" s="1"/>
  <c r="F83" i="51" s="1"/>
  <c r="G94" i="40" s="1"/>
  <c r="H94" i="40" s="1"/>
  <c r="E146" i="40"/>
  <c r="D122" i="51" s="1"/>
  <c r="F122" i="51" s="1"/>
  <c r="G146" i="40" s="1"/>
  <c r="H146" i="40" s="1"/>
  <c r="C5" i="40"/>
  <c r="C4" i="40" s="1"/>
  <c r="E12" i="40"/>
  <c r="D12" i="51" s="1"/>
  <c r="F12" i="51" s="1"/>
  <c r="G12" i="40" s="1"/>
  <c r="H12" i="40" s="1"/>
  <c r="D11" i="40"/>
  <c r="F26" i="40"/>
  <c r="D38" i="40"/>
  <c r="F59" i="40"/>
  <c r="D63" i="40"/>
  <c r="E64" i="40"/>
  <c r="D57" i="51" s="1"/>
  <c r="F57" i="51" s="1"/>
  <c r="G64" i="40" s="1"/>
  <c r="H64" i="40" s="1"/>
  <c r="D103" i="40"/>
  <c r="E104" i="40"/>
  <c r="D111" i="40"/>
  <c r="E25" i="40"/>
  <c r="D24" i="51" s="1"/>
  <c r="F24" i="51" s="1"/>
  <c r="G25" i="40" s="1"/>
  <c r="H25" i="40" s="1"/>
  <c r="D30" i="40"/>
  <c r="E31" i="40"/>
  <c r="D28" i="51" s="1"/>
  <c r="F28" i="51" s="1"/>
  <c r="G31" i="40" s="1"/>
  <c r="H31" i="40" s="1"/>
  <c r="E141" i="40"/>
  <c r="D118" i="51" s="1"/>
  <c r="F118" i="51" s="1"/>
  <c r="G141" i="40" s="1"/>
  <c r="H141" i="40" s="1"/>
  <c r="E108" i="40"/>
  <c r="D92" i="51" s="1"/>
  <c r="F92" i="51" s="1"/>
  <c r="G108" i="40" s="1"/>
  <c r="H108" i="40" s="1"/>
  <c r="D35" i="40"/>
  <c r="E36" i="40"/>
  <c r="E21" i="40"/>
  <c r="D21" i="51" s="1"/>
  <c r="F21" i="51" s="1"/>
  <c r="G21" i="40" s="1"/>
  <c r="H21" i="40" s="1"/>
  <c r="E123" i="40"/>
  <c r="E74" i="40"/>
  <c r="D64" i="51" s="1"/>
  <c r="F64" i="51" s="1"/>
  <c r="G74" i="40" s="1"/>
  <c r="H74" i="40" s="1"/>
  <c r="D73" i="40"/>
  <c r="E75" i="40"/>
  <c r="D65" i="51" s="1"/>
  <c r="F65" i="51" s="1"/>
  <c r="G75" i="40" s="1"/>
  <c r="H75" i="40" s="1"/>
  <c r="E79" i="40"/>
  <c r="D69" i="51" s="1"/>
  <c r="F69" i="51" s="1"/>
  <c r="G79" i="40" s="1"/>
  <c r="H79" i="40" s="1"/>
  <c r="F11" i="40"/>
  <c r="D100" i="40"/>
  <c r="E93" i="40"/>
  <c r="D82" i="51" s="1"/>
  <c r="F82" i="51" s="1"/>
  <c r="G93" i="40" s="1"/>
  <c r="H93" i="40" s="1"/>
  <c r="E14" i="40"/>
  <c r="D14" i="51" s="1"/>
  <c r="F14" i="51" s="1"/>
  <c r="G14" i="40" s="1"/>
  <c r="H14" i="40" s="1"/>
  <c r="E53" i="40"/>
  <c r="D48" i="51" s="1"/>
  <c r="F48" i="51" s="1"/>
  <c r="G53" i="40" s="1"/>
  <c r="H53" i="40" s="1"/>
  <c r="E58" i="40"/>
  <c r="D53" i="51" s="1"/>
  <c r="F53" i="51" s="1"/>
  <c r="G58" i="40" s="1"/>
  <c r="H58" i="40" s="1"/>
  <c r="E82" i="40"/>
  <c r="D72" i="51" s="1"/>
  <c r="F72" i="51" s="1"/>
  <c r="G82" i="40" s="1"/>
  <c r="H82" i="40" s="1"/>
  <c r="E136" i="40"/>
  <c r="D113" i="51" s="1"/>
  <c r="F113" i="51" s="1"/>
  <c r="G136" i="40" s="1"/>
  <c r="H136" i="40" s="1"/>
  <c r="E32" i="40"/>
  <c r="D29" i="51" s="1"/>
  <c r="F29" i="51" s="1"/>
  <c r="G32" i="40" s="1"/>
  <c r="H32" i="40" s="1"/>
  <c r="E81" i="40"/>
  <c r="D71" i="51" s="1"/>
  <c r="F71" i="51" s="1"/>
  <c r="G81" i="40" s="1"/>
  <c r="H81" i="40" s="1"/>
  <c r="D97" i="40"/>
  <c r="E115" i="40"/>
  <c r="E46" i="40"/>
  <c r="D41" i="51" s="1"/>
  <c r="F41" i="51" s="1"/>
  <c r="G46" i="40" s="1"/>
  <c r="H46" i="40" s="1"/>
  <c r="E60" i="40"/>
  <c r="D54" i="51" s="1"/>
  <c r="F54" i="51" s="1"/>
  <c r="G60" i="40" s="1"/>
  <c r="E143" i="40"/>
  <c r="D120" i="51" s="1"/>
  <c r="F120" i="51" s="1"/>
  <c r="G143" i="40" s="1"/>
  <c r="H143" i="40" s="1"/>
  <c r="E28" i="40"/>
  <c r="D26" i="51" s="1"/>
  <c r="F26" i="51" s="1"/>
  <c r="G28" i="40" s="1"/>
  <c r="H28" i="40" s="1"/>
  <c r="E68" i="40"/>
  <c r="D60" i="51" s="1"/>
  <c r="F60" i="51" s="1"/>
  <c r="G68" i="40" s="1"/>
  <c r="H68" i="40" s="1"/>
  <c r="D83" i="40"/>
  <c r="E130" i="40"/>
  <c r="D107" i="51" s="1"/>
  <c r="F107" i="51" s="1"/>
  <c r="G130" i="40" s="1"/>
  <c r="H130" i="40" s="1"/>
  <c r="D22" i="40"/>
  <c r="F30" i="40"/>
  <c r="F67" i="40"/>
  <c r="D105" i="40"/>
  <c r="E137" i="40"/>
  <c r="D114" i="51" s="1"/>
  <c r="F114" i="51" s="1"/>
  <c r="G137" i="40" s="1"/>
  <c r="H137" i="40" s="1"/>
  <c r="E16" i="40"/>
  <c r="D16" i="51" s="1"/>
  <c r="F16" i="51" s="1"/>
  <c r="G16" i="40" s="1"/>
  <c r="H16" i="40" s="1"/>
  <c r="E45" i="40"/>
  <c r="D40" i="51" s="1"/>
  <c r="F40" i="51" s="1"/>
  <c r="G45" i="40" s="1"/>
  <c r="H45" i="40" s="1"/>
  <c r="E96" i="40"/>
  <c r="E99" i="40"/>
  <c r="D86" i="51" s="1"/>
  <c r="F86" i="51" s="1"/>
  <c r="G99" i="40" s="1"/>
  <c r="E145" i="40"/>
  <c r="D121" i="51" s="1"/>
  <c r="F121" i="51" s="1"/>
  <c r="G145" i="40" s="1"/>
  <c r="H145" i="40" s="1"/>
  <c r="D59" i="40"/>
  <c r="D26" i="40"/>
  <c r="E62" i="40"/>
  <c r="D56" i="51" s="1"/>
  <c r="F56" i="51" s="1"/>
  <c r="G62" i="40" s="1"/>
  <c r="H62" i="40" s="1"/>
  <c r="E80" i="40"/>
  <c r="D70" i="51" s="1"/>
  <c r="F70" i="51" s="1"/>
  <c r="G80" i="40" s="1"/>
  <c r="H80" i="40" s="1"/>
  <c r="E132" i="40"/>
  <c r="D109" i="51" s="1"/>
  <c r="F109" i="51" s="1"/>
  <c r="G132" i="40" s="1"/>
  <c r="H132" i="40" s="1"/>
  <c r="E149" i="40"/>
  <c r="E142" i="40"/>
  <c r="D119" i="51" s="1"/>
  <c r="F119" i="51" s="1"/>
  <c r="G142" i="40" s="1"/>
  <c r="H142" i="40" s="1"/>
  <c r="E152" i="40"/>
  <c r="S21" i="38"/>
  <c r="T21" i="38" s="1"/>
  <c r="H18" i="34" s="1"/>
  <c r="S20" i="38"/>
  <c r="T20" i="38" s="1"/>
  <c r="S19" i="38"/>
  <c r="T19" i="38" s="1"/>
  <c r="I20" i="49" s="1"/>
  <c r="S18" i="38"/>
  <c r="T18" i="38" s="1"/>
  <c r="S17" i="38"/>
  <c r="T17" i="38" s="1"/>
  <c r="I18" i="49" s="1"/>
  <c r="S16" i="38"/>
  <c r="T16" i="38" s="1"/>
  <c r="I15" i="49" s="1"/>
  <c r="S15" i="38"/>
  <c r="T15" i="38" s="1"/>
  <c r="I16" i="49" s="1"/>
  <c r="S14" i="38"/>
  <c r="T14" i="38" s="1"/>
  <c r="S13" i="38"/>
  <c r="T13" i="38" s="1"/>
  <c r="S12" i="38"/>
  <c r="T12" i="38" s="1"/>
  <c r="H21" i="34" s="1"/>
  <c r="S11" i="38"/>
  <c r="T11" i="38" s="1"/>
  <c r="S10" i="38"/>
  <c r="T10" i="38" s="1"/>
  <c r="S9" i="38"/>
  <c r="T9" i="38" s="1"/>
  <c r="S39" i="38"/>
  <c r="T39" i="38" s="1"/>
  <c r="I29" i="49" s="1"/>
  <c r="S38" i="38"/>
  <c r="T38" i="38" s="1"/>
  <c r="S37" i="38"/>
  <c r="T37" i="38" s="1"/>
  <c r="I28" i="49" s="1"/>
  <c r="S36" i="38"/>
  <c r="T36" i="38" s="1"/>
  <c r="S35" i="38"/>
  <c r="T35" i="38" s="1"/>
  <c r="S34" i="38"/>
  <c r="T34" i="38" s="1"/>
  <c r="S33" i="38"/>
  <c r="T33" i="38" s="1"/>
  <c r="S32" i="38"/>
  <c r="T32" i="38" s="1"/>
  <c r="S31" i="38"/>
  <c r="T31" i="38" s="1"/>
  <c r="S30" i="38"/>
  <c r="T30" i="38" s="1"/>
  <c r="S29" i="38"/>
  <c r="T29" i="38" s="1"/>
  <c r="S28" i="38"/>
  <c r="T28" i="38" s="1"/>
  <c r="H247" i="34" s="1"/>
  <c r="S27" i="38"/>
  <c r="T27" i="38" s="1"/>
  <c r="S26" i="38"/>
  <c r="T26" i="38" s="1"/>
  <c r="S25" i="38"/>
  <c r="T25" i="38" s="1"/>
  <c r="S24" i="38"/>
  <c r="T24" i="38" s="1"/>
  <c r="I23" i="49" s="1"/>
  <c r="S23" i="38"/>
  <c r="T23" i="38" s="1"/>
  <c r="H118" i="34" s="1"/>
  <c r="S22" i="38"/>
  <c r="T22" i="38" s="1"/>
  <c r="E121" i="40" l="1"/>
  <c r="D102" i="51"/>
  <c r="F102" i="51" s="1"/>
  <c r="G122" i="40" s="1"/>
  <c r="E35" i="40"/>
  <c r="D32" i="51"/>
  <c r="F32" i="51" s="1"/>
  <c r="G36" i="40" s="1"/>
  <c r="H36" i="40" s="1"/>
  <c r="E103" i="40"/>
  <c r="D89" i="51"/>
  <c r="F89" i="51" s="1"/>
  <c r="G104" i="40" s="1"/>
  <c r="H104" i="40" s="1"/>
  <c r="I104" i="40" s="1"/>
  <c r="I103" i="40" s="1"/>
  <c r="E151" i="40"/>
  <c r="E150" i="40" s="1"/>
  <c r="D124" i="51"/>
  <c r="F124" i="51" s="1"/>
  <c r="G152" i="40" s="1"/>
  <c r="E6" i="40"/>
  <c r="D11" i="51"/>
  <c r="E95" i="40"/>
  <c r="D84" i="51"/>
  <c r="F84" i="51" s="1"/>
  <c r="G96" i="40" s="1"/>
  <c r="E148" i="40"/>
  <c r="E147" i="40" s="1"/>
  <c r="D123" i="51"/>
  <c r="F123" i="51" s="1"/>
  <c r="G149" i="40" s="1"/>
  <c r="H149" i="40" s="1"/>
  <c r="H148" i="40" s="1"/>
  <c r="H147" i="40" s="1"/>
  <c r="G7" i="40"/>
  <c r="H246" i="34"/>
  <c r="I14" i="49"/>
  <c r="H11" i="34"/>
  <c r="H10" i="34"/>
  <c r="H253" i="34"/>
  <c r="H14" i="34"/>
  <c r="H250" i="34"/>
  <c r="T6" i="38"/>
  <c r="H48" i="40"/>
  <c r="I48" i="40" s="1"/>
  <c r="H92" i="40"/>
  <c r="I92" i="40" s="1"/>
  <c r="H87" i="40"/>
  <c r="I87" i="40" s="1"/>
  <c r="H114" i="40"/>
  <c r="I114" i="40" s="1"/>
  <c r="H117" i="40"/>
  <c r="I117" i="40" s="1"/>
  <c r="H109" i="40"/>
  <c r="I109" i="40" s="1"/>
  <c r="H66" i="40"/>
  <c r="I66" i="40" s="1"/>
  <c r="H139" i="40"/>
  <c r="I139" i="40" s="1"/>
  <c r="H42" i="40"/>
  <c r="I42" i="40" s="1"/>
  <c r="H13" i="40"/>
  <c r="I13" i="40" s="1"/>
  <c r="H56" i="40"/>
  <c r="I56" i="40" s="1"/>
  <c r="H140" i="40"/>
  <c r="I140" i="40" s="1"/>
  <c r="H51" i="40"/>
  <c r="I51" i="40" s="1"/>
  <c r="H29" i="40"/>
  <c r="I29" i="40" s="1"/>
  <c r="H20" i="40"/>
  <c r="I20" i="40" s="1"/>
  <c r="H110" i="40"/>
  <c r="I110" i="40" s="1"/>
  <c r="H47" i="40"/>
  <c r="I47" i="40" s="1"/>
  <c r="H89" i="40"/>
  <c r="I89" i="40" s="1"/>
  <c r="H49" i="40"/>
  <c r="I49" i="40" s="1"/>
  <c r="H55" i="40"/>
  <c r="I55" i="40" s="1"/>
  <c r="H88" i="40"/>
  <c r="I88" i="40" s="1"/>
  <c r="H135" i="40"/>
  <c r="I135" i="40" s="1"/>
  <c r="H107" i="40"/>
  <c r="I107" i="40" s="1"/>
  <c r="H44" i="40"/>
  <c r="I44" i="40" s="1"/>
  <c r="H91" i="40"/>
  <c r="I91" i="40" s="1"/>
  <c r="H70" i="40"/>
  <c r="I70" i="40" s="1"/>
  <c r="H113" i="40"/>
  <c r="I113" i="40" s="1"/>
  <c r="H17" i="40"/>
  <c r="I17" i="40" s="1"/>
  <c r="H19" i="40"/>
  <c r="I19" i="40" s="1"/>
  <c r="H102" i="40"/>
  <c r="I102" i="40" s="1"/>
  <c r="H15" i="40"/>
  <c r="I15" i="40" s="1"/>
  <c r="H50" i="40"/>
  <c r="I50" i="40" s="1"/>
  <c r="H90" i="40"/>
  <c r="I90" i="40" s="1"/>
  <c r="H134" i="40"/>
  <c r="I134" i="40" s="1"/>
  <c r="H52" i="40"/>
  <c r="I52" i="40" s="1"/>
  <c r="H23" i="40"/>
  <c r="H78" i="40"/>
  <c r="I78" i="40" s="1"/>
  <c r="H85" i="40"/>
  <c r="I85" i="40" s="1"/>
  <c r="H54" i="40"/>
  <c r="I54" i="40" s="1"/>
  <c r="S6" i="38"/>
  <c r="I129" i="40"/>
  <c r="I146" i="40"/>
  <c r="G148" i="40"/>
  <c r="G147" i="40" s="1"/>
  <c r="I79" i="40"/>
  <c r="E63" i="40"/>
  <c r="E26" i="40"/>
  <c r="I21" i="40"/>
  <c r="I43" i="40"/>
  <c r="I143" i="40"/>
  <c r="I137" i="40"/>
  <c r="I132" i="40"/>
  <c r="I131" i="40"/>
  <c r="I76" i="40"/>
  <c r="I93" i="40"/>
  <c r="I18" i="40"/>
  <c r="I82" i="40"/>
  <c r="I94" i="40"/>
  <c r="I62" i="40"/>
  <c r="I41" i="40"/>
  <c r="I58" i="40"/>
  <c r="I53" i="40"/>
  <c r="I40" i="40"/>
  <c r="E111" i="40"/>
  <c r="I86" i="40"/>
  <c r="I142" i="40"/>
  <c r="I141" i="40"/>
  <c r="G144" i="40"/>
  <c r="I16" i="40"/>
  <c r="I14" i="40"/>
  <c r="I80" i="40"/>
  <c r="H98" i="40"/>
  <c r="I45" i="40"/>
  <c r="I108" i="40"/>
  <c r="I57" i="40"/>
  <c r="H60" i="40"/>
  <c r="I81" i="40"/>
  <c r="I32" i="40"/>
  <c r="I25" i="40"/>
  <c r="I133" i="40"/>
  <c r="H119" i="40"/>
  <c r="I119" i="40" s="1"/>
  <c r="I75" i="40"/>
  <c r="I136" i="40"/>
  <c r="E144" i="40"/>
  <c r="E97" i="40"/>
  <c r="E59" i="40"/>
  <c r="E127" i="40"/>
  <c r="E118" i="40"/>
  <c r="E105" i="40"/>
  <c r="I130" i="40"/>
  <c r="E38" i="40"/>
  <c r="E30" i="40"/>
  <c r="I46" i="40"/>
  <c r="D10" i="40"/>
  <c r="D9" i="40" s="1"/>
  <c r="C3" i="40"/>
  <c r="E11" i="40"/>
  <c r="E83" i="40"/>
  <c r="D5" i="40"/>
  <c r="E67" i="40"/>
  <c r="I12" i="40"/>
  <c r="E22" i="40"/>
  <c r="E73" i="40"/>
  <c r="F10" i="40"/>
  <c r="F9" i="40" s="1"/>
  <c r="F4" i="40"/>
  <c r="G103" i="40" l="1"/>
  <c r="F11" i="51"/>
  <c r="D7" i="51"/>
  <c r="H27" i="40"/>
  <c r="I27" i="40" s="1"/>
  <c r="G26" i="40"/>
  <c r="H77" i="40"/>
  <c r="I77" i="40" s="1"/>
  <c r="G73" i="40"/>
  <c r="H120" i="40"/>
  <c r="I120" i="40" s="1"/>
  <c r="I118" i="40" s="1"/>
  <c r="G118" i="40"/>
  <c r="H128" i="40"/>
  <c r="I128" i="40" s="1"/>
  <c r="I127" i="40" s="1"/>
  <c r="G127" i="40"/>
  <c r="H99" i="40"/>
  <c r="I99" i="40" s="1"/>
  <c r="G97" i="40"/>
  <c r="G71" i="40"/>
  <c r="H72" i="40"/>
  <c r="H71" i="40" s="1"/>
  <c r="H96" i="40"/>
  <c r="I96" i="40" s="1"/>
  <c r="I95" i="40" s="1"/>
  <c r="G95" i="40"/>
  <c r="H84" i="40"/>
  <c r="G83" i="40"/>
  <c r="H34" i="40"/>
  <c r="I34" i="40" s="1"/>
  <c r="G30" i="40"/>
  <c r="H24" i="40"/>
  <c r="I24" i="40" s="1"/>
  <c r="G22" i="40"/>
  <c r="G151" i="40"/>
  <c r="G150" i="40" s="1"/>
  <c r="H152" i="40"/>
  <c r="I152" i="40" s="1"/>
  <c r="I151" i="40" s="1"/>
  <c r="I150" i="40" s="1"/>
  <c r="H126" i="40"/>
  <c r="I126" i="40" s="1"/>
  <c r="I125" i="40" s="1"/>
  <c r="G125" i="40"/>
  <c r="H116" i="40"/>
  <c r="H115" i="40" s="1"/>
  <c r="G115" i="40"/>
  <c r="G123" i="40"/>
  <c r="H124" i="40"/>
  <c r="I124" i="40" s="1"/>
  <c r="I123" i="40" s="1"/>
  <c r="H39" i="40"/>
  <c r="I39" i="40" s="1"/>
  <c r="I38" i="40" s="1"/>
  <c r="G38" i="40"/>
  <c r="H61" i="40"/>
  <c r="I61" i="40" s="1"/>
  <c r="G59" i="40"/>
  <c r="G105" i="40"/>
  <c r="H106" i="40"/>
  <c r="H105" i="40" s="1"/>
  <c r="H37" i="40"/>
  <c r="I37" i="40" s="1"/>
  <c r="G35" i="40"/>
  <c r="G111" i="40"/>
  <c r="H112" i="40"/>
  <c r="I112" i="40" s="1"/>
  <c r="I111" i="40" s="1"/>
  <c r="H69" i="40"/>
  <c r="I69" i="40" s="1"/>
  <c r="G67" i="40"/>
  <c r="G100" i="40"/>
  <c r="H101" i="40"/>
  <c r="I101" i="40" s="1"/>
  <c r="I100" i="40" s="1"/>
  <c r="G121" i="40"/>
  <c r="H122" i="40"/>
  <c r="H121" i="40" s="1"/>
  <c r="H65" i="40"/>
  <c r="I65" i="40" s="1"/>
  <c r="G63" i="40"/>
  <c r="G11" i="40"/>
  <c r="H11" i="40"/>
  <c r="I11" i="40"/>
  <c r="I23" i="40"/>
  <c r="E5" i="40"/>
  <c r="E4" i="40" s="1"/>
  <c r="D4" i="40"/>
  <c r="D3" i="40" s="1"/>
  <c r="H103" i="40"/>
  <c r="I149" i="40"/>
  <c r="I148" i="40" s="1"/>
  <c r="I147" i="40" s="1"/>
  <c r="I36" i="40"/>
  <c r="I31" i="40"/>
  <c r="F3" i="40"/>
  <c r="I68" i="40"/>
  <c r="E10" i="40"/>
  <c r="E9" i="40" s="1"/>
  <c r="I60" i="40"/>
  <c r="I98" i="40"/>
  <c r="I74" i="40"/>
  <c r="I28" i="40"/>
  <c r="I64" i="40"/>
  <c r="H144" i="40"/>
  <c r="I145" i="40"/>
  <c r="I144" i="40" s="1"/>
  <c r="H95" i="40" l="1"/>
  <c r="H73" i="40"/>
  <c r="I116" i="40"/>
  <c r="I115" i="40" s="1"/>
  <c r="G8" i="40"/>
  <c r="H8" i="40" s="1"/>
  <c r="I8" i="40" s="1"/>
  <c r="F7" i="51"/>
  <c r="H22" i="40"/>
  <c r="G10" i="40"/>
  <c r="G9" i="40" s="1"/>
  <c r="H26" i="40"/>
  <c r="I26" i="40"/>
  <c r="I72" i="40"/>
  <c r="I71" i="40" s="1"/>
  <c r="I67" i="40"/>
  <c r="H67" i="40"/>
  <c r="H118" i="40"/>
  <c r="H63" i="40"/>
  <c r="H111" i="40"/>
  <c r="I73" i="40"/>
  <c r="H125" i="40"/>
  <c r="I59" i="40"/>
  <c r="H127" i="40"/>
  <c r="I22" i="40"/>
  <c r="H100" i="40"/>
  <c r="H38" i="40"/>
  <c r="I63" i="40"/>
  <c r="I30" i="40"/>
  <c r="I97" i="40"/>
  <c r="H30" i="40"/>
  <c r="H123" i="40"/>
  <c r="H35" i="40"/>
  <c r="I106" i="40"/>
  <c r="I105" i="40" s="1"/>
  <c r="H97" i="40"/>
  <c r="H83" i="40"/>
  <c r="I84" i="40"/>
  <c r="I83" i="40" s="1"/>
  <c r="I35" i="40"/>
  <c r="H151" i="40"/>
  <c r="H150" i="40" s="1"/>
  <c r="H59" i="40"/>
  <c r="I122" i="40"/>
  <c r="I121" i="40" s="1"/>
  <c r="E3" i="40"/>
  <c r="D8" i="51" s="1"/>
  <c r="H10" i="40" l="1"/>
  <c r="H9" i="40" s="1"/>
  <c r="I10" i="40"/>
  <c r="I9" i="40" s="1"/>
  <c r="H7" i="40"/>
  <c r="G6" i="40"/>
  <c r="G5" i="40" s="1"/>
  <c r="G4" i="40" s="1"/>
  <c r="G3" i="40" s="1"/>
  <c r="F8" i="51" s="1"/>
  <c r="I7" i="40" l="1"/>
  <c r="I6" i="40" s="1"/>
  <c r="I5" i="40" s="1"/>
  <c r="I4" i="40" s="1"/>
  <c r="I3" i="40" s="1"/>
  <c r="H6" i="40"/>
  <c r="H5" i="40" s="1"/>
  <c r="H4" i="40" s="1"/>
  <c r="H3" i="40" s="1"/>
  <c r="G11" i="26"/>
  <c r="I11" i="26" s="1"/>
  <c r="H252" i="34" l="1"/>
  <c r="H251" i="34" s="1"/>
  <c r="C252" i="34"/>
  <c r="C251" i="34" s="1"/>
  <c r="C184" i="34"/>
  <c r="G253" i="34" l="1"/>
  <c r="G252" i="34" l="1"/>
  <c r="G251" i="34" s="1"/>
  <c r="C20" i="34"/>
  <c r="C228" i="34"/>
  <c r="G244" i="34" l="1"/>
  <c r="D197" i="50" l="1"/>
  <c r="F197" i="50" s="1"/>
  <c r="I244" i="34" s="1"/>
  <c r="J244" i="34" s="1"/>
  <c r="K244" i="34" s="1"/>
  <c r="G246" i="34"/>
  <c r="C245" i="34"/>
  <c r="H245" i="34" l="1"/>
  <c r="G247" i="34"/>
  <c r="G245" i="34" l="1"/>
  <c r="G53" i="34" l="1"/>
  <c r="G54" i="34" l="1"/>
  <c r="H226" i="34" l="1"/>
  <c r="H224" i="34"/>
  <c r="H204" i="34"/>
  <c r="H196" i="34"/>
  <c r="H84" i="34"/>
  <c r="H82" i="34"/>
  <c r="H71" i="34"/>
  <c r="H68" i="34"/>
  <c r="C249" i="34"/>
  <c r="C226" i="34"/>
  <c r="C224" i="34"/>
  <c r="C222" i="34"/>
  <c r="C219" i="34"/>
  <c r="C216" i="34"/>
  <c r="C212" i="34"/>
  <c r="C206" i="34"/>
  <c r="C204" i="34"/>
  <c r="C201" i="34"/>
  <c r="C198" i="34"/>
  <c r="C196" i="34"/>
  <c r="C174" i="34"/>
  <c r="C172" i="34"/>
  <c r="C168" i="34"/>
  <c r="C164" i="34"/>
  <c r="C160" i="34"/>
  <c r="C139" i="34"/>
  <c r="C136" i="34"/>
  <c r="C131" i="34"/>
  <c r="C127" i="34"/>
  <c r="C123" i="34"/>
  <c r="C112" i="34"/>
  <c r="C93" i="34"/>
  <c r="C87" i="34"/>
  <c r="C84" i="34"/>
  <c r="C82" i="34"/>
  <c r="C79" i="34"/>
  <c r="C76" i="34"/>
  <c r="C73" i="34"/>
  <c r="C71" i="34"/>
  <c r="C68" i="34"/>
  <c r="C61" i="34"/>
  <c r="C58" i="34"/>
  <c r="C49" i="34"/>
  <c r="C46" i="34"/>
  <c r="C35" i="34"/>
  <c r="C12" i="34"/>
  <c r="C9" i="34"/>
  <c r="C111" i="34" l="1"/>
  <c r="G29" i="34"/>
  <c r="G27" i="34"/>
  <c r="G28" i="34"/>
  <c r="H58" i="34"/>
  <c r="G36" i="34"/>
  <c r="G44" i="34"/>
  <c r="G47" i="34"/>
  <c r="G39" i="34"/>
  <c r="G31" i="34"/>
  <c r="G40" i="34"/>
  <c r="G50" i="34"/>
  <c r="G16" i="34"/>
  <c r="G24" i="34"/>
  <c r="G51" i="34"/>
  <c r="G25" i="34"/>
  <c r="G33" i="34"/>
  <c r="G42" i="34"/>
  <c r="H73" i="34"/>
  <c r="H131" i="34"/>
  <c r="H219" i="34"/>
  <c r="H216" i="34"/>
  <c r="H87" i="34"/>
  <c r="H212" i="34"/>
  <c r="H168" i="34"/>
  <c r="H184" i="34"/>
  <c r="H93" i="34"/>
  <c r="H76" i="34"/>
  <c r="H79" i="34"/>
  <c r="H201" i="34"/>
  <c r="H206" i="34"/>
  <c r="C248" i="34"/>
  <c r="C57" i="34"/>
  <c r="C86" i="34"/>
  <c r="C8" i="34"/>
  <c r="C70" i="34"/>
  <c r="C7" i="34" l="1"/>
  <c r="C110" i="34"/>
  <c r="G190" i="34"/>
  <c r="G157" i="34"/>
  <c r="G158" i="34"/>
  <c r="G78" i="34"/>
  <c r="G179" i="34"/>
  <c r="G221" i="34"/>
  <c r="G26" i="34"/>
  <c r="G92" i="34"/>
  <c r="G143" i="34"/>
  <c r="G188" i="34"/>
  <c r="G241" i="34"/>
  <c r="G43" i="34"/>
  <c r="G94" i="34"/>
  <c r="G144" i="34"/>
  <c r="G189" i="34"/>
  <c r="G242" i="34"/>
  <c r="G38" i="34"/>
  <c r="G95" i="34"/>
  <c r="G60" i="34"/>
  <c r="G62" i="34"/>
  <c r="G208" i="34"/>
  <c r="G23" i="34"/>
  <c r="G59" i="34"/>
  <c r="G103" i="34"/>
  <c r="G155" i="34"/>
  <c r="G203" i="34"/>
  <c r="G128" i="34"/>
  <c r="G72" i="34"/>
  <c r="G124" i="34"/>
  <c r="G170" i="34"/>
  <c r="G215" i="34"/>
  <c r="G99" i="34"/>
  <c r="G74" i="34"/>
  <c r="G125" i="34"/>
  <c r="G171" i="34"/>
  <c r="G236" i="34"/>
  <c r="G19" i="34"/>
  <c r="G75" i="34"/>
  <c r="G175" i="34"/>
  <c r="G218" i="34"/>
  <c r="G90" i="34"/>
  <c r="G145" i="34"/>
  <c r="G113" i="34"/>
  <c r="G142" i="34"/>
  <c r="G187" i="34"/>
  <c r="G239" i="34"/>
  <c r="G55" i="34"/>
  <c r="G101" i="34"/>
  <c r="G153" i="34"/>
  <c r="G197" i="34"/>
  <c r="G102" i="34"/>
  <c r="G154" i="34"/>
  <c r="G202" i="34"/>
  <c r="G243" i="34"/>
  <c r="G217" i="34"/>
  <c r="G91" i="34"/>
  <c r="G15" i="34"/>
  <c r="G69" i="34"/>
  <c r="G122" i="34"/>
  <c r="G169" i="34"/>
  <c r="G214" i="34"/>
  <c r="G209" i="34"/>
  <c r="G85" i="34"/>
  <c r="G135" i="34"/>
  <c r="G183" i="34"/>
  <c r="G234" i="34"/>
  <c r="G176" i="34"/>
  <c r="G88" i="34"/>
  <c r="G137" i="34"/>
  <c r="G192" i="34"/>
  <c r="G45" i="34"/>
  <c r="G141" i="34"/>
  <c r="G89" i="34"/>
  <c r="G140" i="34"/>
  <c r="G185" i="34"/>
  <c r="G237" i="34"/>
  <c r="G159" i="34"/>
  <c r="G205" i="34"/>
  <c r="G63" i="34"/>
  <c r="G152" i="34"/>
  <c r="G195" i="34"/>
  <c r="G77" i="34"/>
  <c r="G66" i="34"/>
  <c r="G211" i="34"/>
  <c r="G41" i="34"/>
  <c r="G67" i="34"/>
  <c r="G121" i="34"/>
  <c r="G166" i="34"/>
  <c r="G213" i="34"/>
  <c r="G156" i="34"/>
  <c r="G83" i="34"/>
  <c r="G134" i="34"/>
  <c r="G182" i="34"/>
  <c r="G96" i="34"/>
  <c r="G147" i="34"/>
  <c r="G191" i="34"/>
  <c r="G238" i="34"/>
  <c r="G97" i="34"/>
  <c r="G148" i="34"/>
  <c r="G207" i="34"/>
  <c r="G220" i="34"/>
  <c r="G98" i="34"/>
  <c r="G149" i="34"/>
  <c r="G193" i="34"/>
  <c r="G34" i="34"/>
  <c r="G30" i="34"/>
  <c r="G194" i="34"/>
  <c r="G104" i="34"/>
  <c r="G13" i="34"/>
  <c r="G100" i="34"/>
  <c r="G65" i="34"/>
  <c r="G116" i="34"/>
  <c r="G162" i="34"/>
  <c r="G210" i="34"/>
  <c r="G186" i="34"/>
  <c r="G80" i="34"/>
  <c r="G132" i="34"/>
  <c r="G180" i="34"/>
  <c r="G225" i="34"/>
  <c r="G32" i="34"/>
  <c r="G150" i="34"/>
  <c r="G81" i="34"/>
  <c r="G133" i="34"/>
  <c r="G181" i="34"/>
  <c r="G227" i="34"/>
  <c r="H70" i="34"/>
  <c r="H86" i="34"/>
  <c r="C6" i="34" l="1"/>
  <c r="G82" i="34"/>
  <c r="G71" i="34"/>
  <c r="G226" i="34"/>
  <c r="G196" i="34"/>
  <c r="G68" i="34"/>
  <c r="G204" i="34"/>
  <c r="G224" i="34"/>
  <c r="G84" i="34"/>
  <c r="G201" i="34"/>
  <c r="G219" i="34"/>
  <c r="G216" i="34"/>
  <c r="G73" i="34"/>
  <c r="G76" i="34"/>
  <c r="G87" i="34"/>
  <c r="G168" i="34"/>
  <c r="G93" i="34"/>
  <c r="G206" i="34"/>
  <c r="G184" i="34"/>
  <c r="G79" i="34"/>
  <c r="G212" i="34"/>
  <c r="G86" i="34" l="1"/>
  <c r="G70" i="34"/>
  <c r="E30" i="16" l="1"/>
  <c r="E3" i="16"/>
  <c r="D11" i="16" l="1"/>
  <c r="D13" i="16"/>
  <c r="D14" i="16"/>
  <c r="D16" i="16"/>
  <c r="D18" i="16"/>
  <c r="D20" i="16"/>
  <c r="D22" i="16"/>
  <c r="D24" i="16"/>
  <c r="D27" i="16"/>
  <c r="D29" i="16"/>
  <c r="D37" i="16"/>
  <c r="D38" i="16"/>
  <c r="D41" i="16"/>
  <c r="D47" i="16"/>
  <c r="G49" i="14"/>
  <c r="F49" i="14"/>
  <c r="G42" i="14"/>
  <c r="F42" i="14"/>
  <c r="G39" i="14"/>
  <c r="F39" i="14"/>
  <c r="H123" i="34" l="1"/>
  <c r="H20" i="34"/>
  <c r="H61" i="34"/>
  <c r="H57" i="34" s="1"/>
  <c r="H222" i="34"/>
  <c r="H249" i="34"/>
  <c r="F41" i="14"/>
  <c r="H46" i="34"/>
  <c r="F43" i="14"/>
  <c r="I7" i="16"/>
  <c r="E7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4" s="1"/>
  <c r="C39" i="16"/>
  <c r="C40" i="14" s="1"/>
  <c r="C40" i="16"/>
  <c r="C41" i="14" s="1"/>
  <c r="C41" i="16"/>
  <c r="C42" i="14" s="1"/>
  <c r="C42" i="16"/>
  <c r="C43" i="14" s="1"/>
  <c r="C43" i="16"/>
  <c r="C44" i="16"/>
  <c r="C45" i="16"/>
  <c r="C46" i="16"/>
  <c r="C47" i="16"/>
  <c r="C49" i="14" s="1"/>
  <c r="C48" i="16"/>
  <c r="C10" i="16"/>
  <c r="F47" i="16"/>
  <c r="F41" i="16"/>
  <c r="D42" i="14" s="1"/>
  <c r="F38" i="16"/>
  <c r="D39" i="14" s="1"/>
  <c r="F37" i="16"/>
  <c r="F18" i="16"/>
  <c r="H49" i="34" l="1"/>
  <c r="H127" i="34"/>
  <c r="H136" i="34"/>
  <c r="H174" i="34"/>
  <c r="H160" i="34"/>
  <c r="H172" i="34"/>
  <c r="H164" i="34"/>
  <c r="H139" i="34"/>
  <c r="H198" i="34"/>
  <c r="G43" i="14"/>
  <c r="C7" i="16"/>
  <c r="F40" i="14"/>
  <c r="G40" i="14"/>
  <c r="G41" i="14"/>
  <c r="G47" i="16"/>
  <c r="H47" i="16" s="1"/>
  <c r="H49" i="14" s="1"/>
  <c r="D49" i="14"/>
  <c r="E42" i="14"/>
  <c r="E39" i="14"/>
  <c r="G41" i="16"/>
  <c r="H41" i="16" s="1"/>
  <c r="H42" i="14" s="1"/>
  <c r="I42" i="14" s="1"/>
  <c r="J42" i="14" s="1"/>
  <c r="G18" i="16"/>
  <c r="H18" i="16" s="1"/>
  <c r="G38" i="16"/>
  <c r="H38" i="16" s="1"/>
  <c r="H39" i="14" s="1"/>
  <c r="I39" i="14" s="1"/>
  <c r="J39" i="14" s="1"/>
  <c r="G37" i="16"/>
  <c r="H37" i="16" s="1"/>
  <c r="F30" i="14"/>
  <c r="G30" i="14"/>
  <c r="F31" i="14"/>
  <c r="G31" i="14"/>
  <c r="F35" i="14"/>
  <c r="G35" i="14"/>
  <c r="F37" i="14"/>
  <c r="G37" i="14"/>
  <c r="F26" i="14"/>
  <c r="G5" i="11" s="1"/>
  <c r="G26" i="14"/>
  <c r="H5" i="11" s="1"/>
  <c r="F19" i="14"/>
  <c r="G19" i="14"/>
  <c r="F20" i="14"/>
  <c r="G20" i="14"/>
  <c r="F21" i="14"/>
  <c r="G21" i="14"/>
  <c r="F22" i="14"/>
  <c r="G22" i="14"/>
  <c r="F23" i="14"/>
  <c r="G23" i="14"/>
  <c r="F9" i="14"/>
  <c r="G9" i="14"/>
  <c r="F10" i="14"/>
  <c r="G10" i="14"/>
  <c r="F11" i="14"/>
  <c r="G11" i="14"/>
  <c r="F12" i="14"/>
  <c r="G12" i="14"/>
  <c r="F13" i="14"/>
  <c r="G13" i="14"/>
  <c r="H228" i="34" l="1"/>
  <c r="H9" i="34"/>
  <c r="H35" i="34"/>
  <c r="H12" i="34" s="1"/>
  <c r="H112" i="34"/>
  <c r="I49" i="14"/>
  <c r="J49" i="14" s="1"/>
  <c r="E49" i="14"/>
  <c r="H111" i="34" l="1"/>
  <c r="H8" i="34"/>
  <c r="H7" i="34" s="1"/>
  <c r="H248" i="34"/>
  <c r="H110" i="34" l="1"/>
  <c r="H6" i="34" s="1"/>
  <c r="D26" i="16" l="1"/>
  <c r="D15" i="16"/>
  <c r="C8" i="14"/>
  <c r="C9" i="14"/>
  <c r="C10" i="14"/>
  <c r="C11" i="14"/>
  <c r="C12" i="14"/>
  <c r="C13" i="14"/>
  <c r="C14" i="14"/>
  <c r="C15" i="14"/>
  <c r="C20" i="14"/>
  <c r="C22" i="14"/>
  <c r="C23" i="14"/>
  <c r="C25" i="14"/>
  <c r="D6" i="11" s="1"/>
  <c r="C26" i="14"/>
  <c r="D5" i="11" s="1"/>
  <c r="C29" i="14"/>
  <c r="C30" i="14"/>
  <c r="C31" i="14"/>
  <c r="C32" i="14"/>
  <c r="C33" i="14"/>
  <c r="C34" i="14"/>
  <c r="C35" i="14"/>
  <c r="C36" i="14"/>
  <c r="C37" i="14"/>
  <c r="C38" i="14"/>
  <c r="C45" i="14"/>
  <c r="C46" i="14"/>
  <c r="C47" i="14"/>
  <c r="C48" i="14"/>
  <c r="C50" i="14"/>
  <c r="C19" i="14"/>
  <c r="C7" i="14"/>
  <c r="D19" i="16" l="1"/>
  <c r="D12" i="16"/>
  <c r="D23" i="16"/>
  <c r="D21" i="16"/>
  <c r="D46" i="16"/>
  <c r="D43" i="16"/>
  <c r="D28" i="16"/>
  <c r="D44" i="16"/>
  <c r="D36" i="16"/>
  <c r="D48" i="16"/>
  <c r="D45" i="16"/>
  <c r="D25" i="16"/>
  <c r="D33" i="16"/>
  <c r="D40" i="16"/>
  <c r="F40" i="16" s="1"/>
  <c r="D41" i="14" s="1"/>
  <c r="E41" i="14" s="1"/>
  <c r="D42" i="16"/>
  <c r="F42" i="16" s="1"/>
  <c r="D43" i="14" s="1"/>
  <c r="E43" i="14" s="1"/>
  <c r="D35" i="16"/>
  <c r="D31" i="16"/>
  <c r="D30" i="16"/>
  <c r="D39" i="16"/>
  <c r="D32" i="16"/>
  <c r="D34" i="16"/>
  <c r="C28" i="14"/>
  <c r="C24" i="14"/>
  <c r="C6" i="14"/>
  <c r="C21" i="14"/>
  <c r="C18" i="14"/>
  <c r="G126" i="34" l="1"/>
  <c r="G22" i="34"/>
  <c r="G52" i="34"/>
  <c r="G56" i="34"/>
  <c r="G115" i="34"/>
  <c r="G21" i="34"/>
  <c r="G117" i="34"/>
  <c r="G114" i="34"/>
  <c r="G48" i="34"/>
  <c r="G129" i="34"/>
  <c r="G120" i="34"/>
  <c r="G163" i="34"/>
  <c r="G138" i="34"/>
  <c r="G250" i="34"/>
  <c r="G199" i="34"/>
  <c r="G200" i="34"/>
  <c r="G177" i="34"/>
  <c r="G151" i="34"/>
  <c r="G230" i="34"/>
  <c r="G161" i="34"/>
  <c r="G40" i="16"/>
  <c r="H40" i="16" s="1"/>
  <c r="H41" i="14" s="1"/>
  <c r="I41" i="14" s="1"/>
  <c r="J41" i="14" s="1"/>
  <c r="G42" i="16"/>
  <c r="H42" i="16" s="1"/>
  <c r="H43" i="14" s="1"/>
  <c r="I43" i="14" s="1"/>
  <c r="J43" i="14" s="1"/>
  <c r="C17" i="14"/>
  <c r="G249" i="34" l="1"/>
  <c r="G46" i="34"/>
  <c r="G136" i="34"/>
  <c r="G123" i="34"/>
  <c r="G17" i="34"/>
  <c r="G18" i="34"/>
  <c r="G20" i="34"/>
  <c r="G49" i="34"/>
  <c r="G64" i="34"/>
  <c r="G146" i="34"/>
  <c r="G160" i="34"/>
  <c r="G173" i="34"/>
  <c r="G223" i="34"/>
  <c r="G130" i="34"/>
  <c r="G37" i="34"/>
  <c r="G167" i="34"/>
  <c r="G235" i="34"/>
  <c r="G178" i="34"/>
  <c r="G240" i="34"/>
  <c r="G231" i="34"/>
  <c r="G232" i="34"/>
  <c r="G119" i="34"/>
  <c r="G165" i="34"/>
  <c r="G198" i="34"/>
  <c r="G233" i="34"/>
  <c r="G229" i="34"/>
  <c r="G118" i="34"/>
  <c r="C16" i="14"/>
  <c r="C5" i="14" s="1"/>
  <c r="C4" i="14" s="1"/>
  <c r="D4" i="11"/>
  <c r="H53" i="33"/>
  <c r="H52" i="33" s="1"/>
  <c r="H51" i="33"/>
  <c r="H50" i="33"/>
  <c r="H49" i="33"/>
  <c r="H48" i="33"/>
  <c r="H47" i="33"/>
  <c r="H46" i="33"/>
  <c r="H45" i="33"/>
  <c r="H44" i="33"/>
  <c r="H43" i="33"/>
  <c r="H41" i="33"/>
  <c r="H40" i="33"/>
  <c r="H39" i="33"/>
  <c r="H37" i="33"/>
  <c r="H36" i="33"/>
  <c r="H35" i="33"/>
  <c r="H34" i="33"/>
  <c r="H33" i="33" s="1"/>
  <c r="H32" i="33" s="1"/>
  <c r="G31" i="33"/>
  <c r="H31" i="33" s="1"/>
  <c r="H30" i="33" s="1"/>
  <c r="H29" i="33"/>
  <c r="H28" i="33"/>
  <c r="H27" i="33" s="1"/>
  <c r="H26" i="33"/>
  <c r="H25" i="33"/>
  <c r="G25" i="33"/>
  <c r="H24" i="33"/>
  <c r="H23" i="33"/>
  <c r="H22" i="33" s="1"/>
  <c r="H21" i="33"/>
  <c r="H20" i="33"/>
  <c r="H19" i="33" s="1"/>
  <c r="G20" i="33"/>
  <c r="H18" i="33"/>
  <c r="H17" i="33"/>
  <c r="H16" i="33"/>
  <c r="H6" i="33" s="1"/>
  <c r="H15" i="33"/>
  <c r="H14" i="33"/>
  <c r="H13" i="33"/>
  <c r="H12" i="33"/>
  <c r="H11" i="33"/>
  <c r="H10" i="33"/>
  <c r="H9" i="33"/>
  <c r="H8" i="33"/>
  <c r="H7" i="33"/>
  <c r="H5" i="33"/>
  <c r="H4" i="33"/>
  <c r="H3" i="33"/>
  <c r="H2" i="33"/>
  <c r="G222" i="34" l="1"/>
  <c r="G174" i="34"/>
  <c r="G127" i="34"/>
  <c r="G139" i="34"/>
  <c r="G172" i="34"/>
  <c r="G61" i="34"/>
  <c r="G35" i="34"/>
  <c r="G228" i="34"/>
  <c r="G164" i="34"/>
  <c r="H42" i="33"/>
  <c r="H1" i="33"/>
  <c r="F33" i="14" l="1"/>
  <c r="G38" i="14"/>
  <c r="G32" i="14" l="1"/>
  <c r="F38" i="14"/>
  <c r="G34" i="14"/>
  <c r="G33" i="14" l="1"/>
  <c r="F34" i="14"/>
  <c r="F36" i="14"/>
  <c r="G36" i="14"/>
  <c r="F32" i="14"/>
  <c r="G45" i="14" l="1"/>
  <c r="F45" i="14"/>
  <c r="G25" i="14"/>
  <c r="F25" i="14"/>
  <c r="G18" i="14"/>
  <c r="G17" i="14" s="1"/>
  <c r="F18" i="14"/>
  <c r="F17" i="14" s="1"/>
  <c r="G15" i="14"/>
  <c r="F15" i="14"/>
  <c r="G8" i="14"/>
  <c r="F8" i="14"/>
  <c r="G24" i="14" l="1"/>
  <c r="G16" i="14" s="1"/>
  <c r="H6" i="11"/>
  <c r="F24" i="14"/>
  <c r="F16" i="14" s="1"/>
  <c r="G6" i="11"/>
  <c r="G50" i="14"/>
  <c r="F50" i="14"/>
  <c r="D2" i="27" l="1"/>
  <c r="D11" i="27" l="1"/>
  <c r="D10" i="27"/>
  <c r="D9" i="27"/>
  <c r="F48" i="14" l="1"/>
  <c r="G48" i="14"/>
  <c r="D3" i="27"/>
  <c r="D4" i="27" l="1"/>
  <c r="D5" i="27"/>
  <c r="D6" i="27"/>
  <c r="D7" i="27"/>
  <c r="D8" i="27"/>
  <c r="D1" i="27"/>
  <c r="F47" i="14" l="1"/>
  <c r="G47" i="14"/>
  <c r="F29" i="14"/>
  <c r="F28" i="14" s="1"/>
  <c r="F46" i="14"/>
  <c r="G46" i="14"/>
  <c r="G29" i="14"/>
  <c r="G28" i="14" s="1"/>
  <c r="G44" i="14" l="1"/>
  <c r="G27" i="14" s="1"/>
  <c r="F44" i="14"/>
  <c r="F27" i="14" s="1"/>
  <c r="C44" i="14"/>
  <c r="C27" i="14" l="1"/>
  <c r="D3" i="11" s="1"/>
  <c r="D7" i="11" s="1"/>
  <c r="F13" i="16" l="1"/>
  <c r="F16" i="16"/>
  <c r="D13" i="14" s="1"/>
  <c r="F21" i="16"/>
  <c r="F22" i="16"/>
  <c r="F23" i="16"/>
  <c r="F24" i="16"/>
  <c r="F28" i="16"/>
  <c r="D30" i="14" s="1"/>
  <c r="F32" i="16"/>
  <c r="D34" i="14" s="1"/>
  <c r="F33" i="16"/>
  <c r="D35" i="14" s="1"/>
  <c r="F35" i="16"/>
  <c r="D37" i="14" s="1"/>
  <c r="E37" i="14" l="1"/>
  <c r="E30" i="14"/>
  <c r="E34" i="14"/>
  <c r="E35" i="14"/>
  <c r="E13" i="14"/>
  <c r="D10" i="14"/>
  <c r="E10" i="14" l="1"/>
  <c r="F14" i="14" l="1"/>
  <c r="G14" i="14"/>
  <c r="G7" i="14"/>
  <c r="F7" i="14"/>
  <c r="F6" i="14" l="1"/>
  <c r="G4" i="11" s="1"/>
  <c r="G6" i="14"/>
  <c r="H4" i="11" s="1"/>
  <c r="G3" i="11" l="1"/>
  <c r="D17" i="16" l="1"/>
  <c r="F30" i="16"/>
  <c r="D32" i="14" s="1"/>
  <c r="F31" i="16"/>
  <c r="D33" i="14" s="1"/>
  <c r="F46" i="16"/>
  <c r="F34" i="16"/>
  <c r="D36" i="14" s="1"/>
  <c r="F25" i="16"/>
  <c r="E33" i="14" l="1"/>
  <c r="E36" i="14"/>
  <c r="E32" i="14"/>
  <c r="F5" i="14"/>
  <c r="F4" i="14" s="1"/>
  <c r="F3" i="14" s="1"/>
  <c r="F17" i="16"/>
  <c r="F19" i="16"/>
  <c r="F29" i="16"/>
  <c r="F26" i="16"/>
  <c r="D26" i="14" s="1"/>
  <c r="E5" i="11" s="1"/>
  <c r="F27" i="16"/>
  <c r="D20" i="14"/>
  <c r="F39" i="16"/>
  <c r="D40" i="14" s="1"/>
  <c r="F43" i="16"/>
  <c r="D45" i="14" s="1"/>
  <c r="D23" i="14"/>
  <c r="F45" i="16"/>
  <c r="D21" i="14"/>
  <c r="F11" i="16"/>
  <c r="D8" i="14" s="1"/>
  <c r="D22" i="14"/>
  <c r="F48" i="16"/>
  <c r="F14" i="16"/>
  <c r="F36" i="16"/>
  <c r="D38" i="14" s="1"/>
  <c r="F12" i="16"/>
  <c r="F15" i="16"/>
  <c r="D12" i="14" s="1"/>
  <c r="F20" i="16"/>
  <c r="F9" i="34" l="1"/>
  <c r="G112" i="34"/>
  <c r="G131" i="34"/>
  <c r="G58" i="34"/>
  <c r="D19" i="14"/>
  <c r="E19" i="14" s="1"/>
  <c r="D31" i="14"/>
  <c r="E31" i="14" s="1"/>
  <c r="E40" i="14"/>
  <c r="D14" i="14"/>
  <c r="D50" i="14"/>
  <c r="E50" i="14" s="1"/>
  <c r="D47" i="14"/>
  <c r="E47" i="14" s="1"/>
  <c r="E38" i="14"/>
  <c r="D29" i="14"/>
  <c r="E26" i="14"/>
  <c r="E20" i="14"/>
  <c r="E21" i="14"/>
  <c r="E23" i="14"/>
  <c r="E22" i="14"/>
  <c r="E12" i="14"/>
  <c r="D25" i="14"/>
  <c r="E6" i="11" s="1"/>
  <c r="D11" i="14"/>
  <c r="D15" i="14"/>
  <c r="E15" i="14" s="1"/>
  <c r="D9" i="14"/>
  <c r="G7" i="11"/>
  <c r="E8" i="14"/>
  <c r="E45" i="14"/>
  <c r="D10" i="16"/>
  <c r="D18" i="14"/>
  <c r="D48" i="14"/>
  <c r="F44" i="16"/>
  <c r="D46" i="14" s="1"/>
  <c r="G111" i="34" l="1"/>
  <c r="D28" i="14"/>
  <c r="G57" i="34"/>
  <c r="F10" i="16"/>
  <c r="F7" i="16" s="1"/>
  <c r="D7" i="16"/>
  <c r="F5" i="11"/>
  <c r="D44" i="14"/>
  <c r="E14" i="14"/>
  <c r="E29" i="14"/>
  <c r="E28" i="14" s="1"/>
  <c r="E18" i="14"/>
  <c r="D17" i="14"/>
  <c r="E25" i="14"/>
  <c r="F6" i="11" s="1"/>
  <c r="D24" i="14"/>
  <c r="E11" i="14"/>
  <c r="E9" i="14"/>
  <c r="E48" i="14"/>
  <c r="E46" i="14"/>
  <c r="G248" i="34" l="1"/>
  <c r="G110" i="34" s="1"/>
  <c r="D7" i="14"/>
  <c r="E7" i="14" s="1"/>
  <c r="E24" i="14"/>
  <c r="E17" i="14"/>
  <c r="D27" i="14"/>
  <c r="E44" i="14"/>
  <c r="D16" i="14"/>
  <c r="E16" i="14" l="1"/>
  <c r="E27" i="14"/>
  <c r="E6" i="14"/>
  <c r="F4" i="11" s="1"/>
  <c r="D6" i="14"/>
  <c r="E4" i="11" s="1"/>
  <c r="G11" i="16"/>
  <c r="G12" i="16"/>
  <c r="G13" i="16"/>
  <c r="G14" i="16"/>
  <c r="G15" i="16"/>
  <c r="G16" i="16"/>
  <c r="G17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9" i="16"/>
  <c r="G43" i="16"/>
  <c r="G44" i="16"/>
  <c r="G45" i="16"/>
  <c r="G46" i="16"/>
  <c r="G48" i="16"/>
  <c r="G10" i="16"/>
  <c r="H10" i="16" l="1"/>
  <c r="H7" i="14" s="1"/>
  <c r="G7" i="16"/>
  <c r="H34" i="16"/>
  <c r="H36" i="14" s="1"/>
  <c r="I36" i="14" s="1"/>
  <c r="J36" i="14" s="1"/>
  <c r="H22" i="16"/>
  <c r="H33" i="16"/>
  <c r="H35" i="14" s="1"/>
  <c r="I35" i="14" s="1"/>
  <c r="J35" i="14" s="1"/>
  <c r="H21" i="16"/>
  <c r="H32" i="16"/>
  <c r="H34" i="14" s="1"/>
  <c r="I34" i="14" s="1"/>
  <c r="J34" i="14" s="1"/>
  <c r="H20" i="16"/>
  <c r="H48" i="16"/>
  <c r="H31" i="16"/>
  <c r="H33" i="14" s="1"/>
  <c r="I33" i="14" s="1"/>
  <c r="J33" i="14" s="1"/>
  <c r="H19" i="16"/>
  <c r="H46" i="16"/>
  <c r="H48" i="14" s="1"/>
  <c r="H30" i="16"/>
  <c r="H32" i="14" s="1"/>
  <c r="I32" i="14" s="1"/>
  <c r="J32" i="14" s="1"/>
  <c r="H17" i="16"/>
  <c r="H15" i="14" s="1"/>
  <c r="H45" i="16"/>
  <c r="H47" i="14" s="1"/>
  <c r="H29" i="16"/>
  <c r="H44" i="16"/>
  <c r="H46" i="14" s="1"/>
  <c r="H28" i="16"/>
  <c r="H30" i="14" s="1"/>
  <c r="I30" i="14" s="1"/>
  <c r="J30" i="14" s="1"/>
  <c r="H16" i="16"/>
  <c r="H13" i="14" s="1"/>
  <c r="I13" i="14" s="1"/>
  <c r="J13" i="14" s="1"/>
  <c r="H43" i="16"/>
  <c r="H45" i="14" s="1"/>
  <c r="H27" i="16"/>
  <c r="H15" i="16"/>
  <c r="H12" i="14" s="1"/>
  <c r="I12" i="14" s="1"/>
  <c r="J12" i="14" s="1"/>
  <c r="H39" i="16"/>
  <c r="H40" i="14" s="1"/>
  <c r="I40" i="14" s="1"/>
  <c r="J40" i="14" s="1"/>
  <c r="H26" i="16"/>
  <c r="H26" i="14" s="1"/>
  <c r="H14" i="16"/>
  <c r="H11" i="14" s="1"/>
  <c r="I11" i="14" s="1"/>
  <c r="J11" i="14" s="1"/>
  <c r="H25" i="16"/>
  <c r="H25" i="14" s="1"/>
  <c r="H13" i="16"/>
  <c r="H10" i="14" s="1"/>
  <c r="I10" i="14" s="1"/>
  <c r="J10" i="14" s="1"/>
  <c r="H36" i="16"/>
  <c r="H38" i="14" s="1"/>
  <c r="I38" i="14" s="1"/>
  <c r="J38" i="14" s="1"/>
  <c r="H24" i="16"/>
  <c r="H12" i="16"/>
  <c r="H35" i="16"/>
  <c r="H37" i="14" s="1"/>
  <c r="I37" i="14" s="1"/>
  <c r="J37" i="14" s="1"/>
  <c r="H23" i="16"/>
  <c r="H11" i="16"/>
  <c r="H8" i="14" s="1"/>
  <c r="H9" i="14" l="1"/>
  <c r="I9" i="14" s="1"/>
  <c r="J9" i="14" s="1"/>
  <c r="H20" i="14"/>
  <c r="I20" i="14" s="1"/>
  <c r="J20" i="14" s="1"/>
  <c r="H22" i="14"/>
  <c r="I22" i="14" s="1"/>
  <c r="J22" i="14" s="1"/>
  <c r="H31" i="14"/>
  <c r="I31" i="14" s="1"/>
  <c r="J31" i="14" s="1"/>
  <c r="H19" i="14"/>
  <c r="I19" i="14" s="1"/>
  <c r="J19" i="14" s="1"/>
  <c r="H21" i="14"/>
  <c r="I21" i="14" s="1"/>
  <c r="J21" i="14" s="1"/>
  <c r="H18" i="14"/>
  <c r="H29" i="14"/>
  <c r="H23" i="14"/>
  <c r="I23" i="14" s="1"/>
  <c r="J23" i="14" s="1"/>
  <c r="H50" i="14"/>
  <c r="H14" i="14"/>
  <c r="I14" i="14" s="1"/>
  <c r="J14" i="14" s="1"/>
  <c r="H7" i="16"/>
  <c r="I6" i="11"/>
  <c r="H24" i="14"/>
  <c r="I5" i="11"/>
  <c r="I26" i="14"/>
  <c r="H3" i="11"/>
  <c r="H28" i="14" l="1"/>
  <c r="J26" i="14"/>
  <c r="K5" i="11" s="1"/>
  <c r="J5" i="11"/>
  <c r="L5" i="11" s="1"/>
  <c r="G5" i="14"/>
  <c r="H7" i="11" s="1"/>
  <c r="G4" i="14" l="1"/>
  <c r="G3" i="14" s="1"/>
  <c r="D5" i="14" l="1"/>
  <c r="D4" i="14" l="1"/>
  <c r="C3" i="14"/>
  <c r="E5" i="14"/>
  <c r="E4" i="14" l="1"/>
  <c r="F3" i="11" l="1"/>
  <c r="F7" i="11" s="1"/>
  <c r="E3" i="14"/>
  <c r="D3" i="14"/>
  <c r="E3" i="11"/>
  <c r="E7" i="11" s="1"/>
  <c r="I29" i="14" l="1"/>
  <c r="I28" i="14" s="1"/>
  <c r="J29" i="14" l="1"/>
  <c r="J28" i="14" s="1"/>
  <c r="H44" i="14" l="1"/>
  <c r="H27" i="14" s="1"/>
  <c r="I46" i="14"/>
  <c r="J46" i="14" s="1"/>
  <c r="I8" i="14"/>
  <c r="J8" i="14" s="1"/>
  <c r="I45" i="14" l="1"/>
  <c r="I7" i="14"/>
  <c r="H17" i="14"/>
  <c r="H16" i="14" s="1"/>
  <c r="I15" i="14"/>
  <c r="J15" i="14" s="1"/>
  <c r="I25" i="14" l="1"/>
  <c r="H6" i="14"/>
  <c r="I4" i="11" s="1"/>
  <c r="I6" i="14"/>
  <c r="J7" i="14"/>
  <c r="I18" i="14"/>
  <c r="I17" i="14" s="1"/>
  <c r="J45" i="14"/>
  <c r="J4" i="11" l="1"/>
  <c r="L4" i="11" s="1"/>
  <c r="I24" i="14"/>
  <c r="I16" i="14" s="1"/>
  <c r="J6" i="11"/>
  <c r="J25" i="14"/>
  <c r="J6" i="14"/>
  <c r="J18" i="14"/>
  <c r="J17" i="14" s="1"/>
  <c r="J24" i="14" l="1"/>
  <c r="J16" i="14" s="1"/>
  <c r="K6" i="11"/>
  <c r="M6" i="11"/>
  <c r="L6" i="11"/>
  <c r="K4" i="11"/>
  <c r="I48" i="14"/>
  <c r="J48" i="14" s="1"/>
  <c r="I47" i="14" l="1"/>
  <c r="J47" i="14" l="1"/>
  <c r="I50" i="14" l="1"/>
  <c r="I5" i="14"/>
  <c r="I44" i="14" l="1"/>
  <c r="I27" i="14" s="1"/>
  <c r="J50" i="14"/>
  <c r="J44" i="14" l="1"/>
  <c r="J27" i="14" s="1"/>
  <c r="H5" i="14"/>
  <c r="H4" i="14" s="1"/>
  <c r="J5" i="14"/>
  <c r="I3" i="11"/>
  <c r="M4" i="11"/>
  <c r="I7" i="11" l="1"/>
  <c r="H3" i="14"/>
  <c r="J3" i="11"/>
  <c r="J7" i="11" s="1"/>
  <c r="L7" i="11" s="1"/>
  <c r="I4" i="14"/>
  <c r="J4" i="14"/>
  <c r="I3" i="14" l="1"/>
  <c r="K3" i="11"/>
  <c r="K7" i="11" s="1"/>
  <c r="M5" i="11"/>
  <c r="L3" i="11"/>
  <c r="M3" i="11"/>
  <c r="M7" i="11" l="1"/>
  <c r="J3" i="14"/>
  <c r="G10" i="34" l="1"/>
  <c r="G9" i="34" l="1"/>
  <c r="G14" i="34" l="1"/>
  <c r="G12" i="34" l="1"/>
  <c r="G8" i="34" s="1"/>
  <c r="G7" i="34" s="1"/>
  <c r="F8" i="34"/>
  <c r="F7" i="34" s="1"/>
  <c r="F6" i="34" l="1"/>
  <c r="G6" i="34"/>
  <c r="I7" i="41" l="1"/>
  <c r="D105" i="34" l="1"/>
  <c r="E105" i="34" s="1"/>
  <c r="D106" i="34"/>
  <c r="E106" i="34" s="1"/>
  <c r="D253" i="34" l="1"/>
  <c r="E253" i="34" s="1"/>
  <c r="D201" i="50" s="1"/>
  <c r="F201" i="50" s="1"/>
  <c r="I253" i="34" s="1"/>
  <c r="D250" i="34"/>
  <c r="E250" i="34" s="1"/>
  <c r="D200" i="50" s="1"/>
  <c r="F200" i="50" s="1"/>
  <c r="I250" i="34" s="1"/>
  <c r="D247" i="34"/>
  <c r="E247" i="34" s="1"/>
  <c r="D199" i="50" s="1"/>
  <c r="F199" i="50" s="1"/>
  <c r="I247" i="34" s="1"/>
  <c r="J247" i="34" s="1"/>
  <c r="K247" i="34" s="1"/>
  <c r="D246" i="34"/>
  <c r="E246" i="34" s="1"/>
  <c r="D198" i="50" s="1"/>
  <c r="F198" i="50" s="1"/>
  <c r="I246" i="34" s="1"/>
  <c r="D243" i="34"/>
  <c r="E243" i="34" s="1"/>
  <c r="D196" i="50" s="1"/>
  <c r="F196" i="50" s="1"/>
  <c r="I243" i="34" s="1"/>
  <c r="J243" i="34" s="1"/>
  <c r="K243" i="34" s="1"/>
  <c r="D242" i="34"/>
  <c r="E242" i="34" s="1"/>
  <c r="D195" i="50" s="1"/>
  <c r="F195" i="50" s="1"/>
  <c r="I242" i="34" s="1"/>
  <c r="J242" i="34" s="1"/>
  <c r="K242" i="34" s="1"/>
  <c r="D241" i="34"/>
  <c r="E241" i="34" s="1"/>
  <c r="D194" i="50" s="1"/>
  <c r="F194" i="50" s="1"/>
  <c r="I241" i="34" s="1"/>
  <c r="J241" i="34" s="1"/>
  <c r="K241" i="34" s="1"/>
  <c r="D240" i="34"/>
  <c r="E240" i="34" s="1"/>
  <c r="D193" i="50" s="1"/>
  <c r="F193" i="50" s="1"/>
  <c r="I240" i="34" s="1"/>
  <c r="J240" i="34" s="1"/>
  <c r="K240" i="34" s="1"/>
  <c r="D239" i="34"/>
  <c r="E239" i="34" s="1"/>
  <c r="D192" i="50" s="1"/>
  <c r="F192" i="50" s="1"/>
  <c r="I239" i="34" s="1"/>
  <c r="J239" i="34" s="1"/>
  <c r="K239" i="34" s="1"/>
  <c r="D238" i="34"/>
  <c r="E238" i="34" s="1"/>
  <c r="D191" i="50" s="1"/>
  <c r="F191" i="50" s="1"/>
  <c r="I238" i="34" s="1"/>
  <c r="J238" i="34" s="1"/>
  <c r="K238" i="34" s="1"/>
  <c r="D237" i="34"/>
  <c r="E237" i="34" s="1"/>
  <c r="D190" i="50" s="1"/>
  <c r="F190" i="50" s="1"/>
  <c r="I237" i="34" s="1"/>
  <c r="J237" i="34" s="1"/>
  <c r="K237" i="34" s="1"/>
  <c r="D236" i="34"/>
  <c r="E236" i="34" s="1"/>
  <c r="D189" i="50" s="1"/>
  <c r="F189" i="50" s="1"/>
  <c r="I236" i="34" s="1"/>
  <c r="J236" i="34" s="1"/>
  <c r="K236" i="34" s="1"/>
  <c r="D235" i="34"/>
  <c r="E235" i="34" s="1"/>
  <c r="D188" i="50" s="1"/>
  <c r="F188" i="50" s="1"/>
  <c r="I235" i="34" s="1"/>
  <c r="J235" i="34" s="1"/>
  <c r="K235" i="34" s="1"/>
  <c r="D234" i="34"/>
  <c r="E234" i="34" s="1"/>
  <c r="D187" i="50" s="1"/>
  <c r="F187" i="50" s="1"/>
  <c r="I234" i="34" s="1"/>
  <c r="J234" i="34" s="1"/>
  <c r="K234" i="34" s="1"/>
  <c r="D233" i="34"/>
  <c r="E233" i="34" s="1"/>
  <c r="D186" i="50" s="1"/>
  <c r="F186" i="50" s="1"/>
  <c r="I233" i="34" s="1"/>
  <c r="J233" i="34" s="1"/>
  <c r="K233" i="34" s="1"/>
  <c r="D232" i="34"/>
  <c r="E232" i="34" s="1"/>
  <c r="D185" i="50" s="1"/>
  <c r="F185" i="50" s="1"/>
  <c r="I232" i="34" s="1"/>
  <c r="J232" i="34" s="1"/>
  <c r="K232" i="34" s="1"/>
  <c r="D231" i="34"/>
  <c r="E231" i="34" s="1"/>
  <c r="D184" i="50" s="1"/>
  <c r="F184" i="50" s="1"/>
  <c r="I231" i="34" s="1"/>
  <c r="J231" i="34" s="1"/>
  <c r="K231" i="34" s="1"/>
  <c r="D230" i="34"/>
  <c r="E230" i="34" s="1"/>
  <c r="D183" i="50" s="1"/>
  <c r="F183" i="50" s="1"/>
  <c r="I230" i="34" s="1"/>
  <c r="J230" i="34" s="1"/>
  <c r="K230" i="34" s="1"/>
  <c r="D229" i="34"/>
  <c r="E229" i="34" s="1"/>
  <c r="D182" i="50" s="1"/>
  <c r="F182" i="50" s="1"/>
  <c r="I229" i="34" s="1"/>
  <c r="D227" i="34"/>
  <c r="E227" i="34" s="1"/>
  <c r="D181" i="50" s="1"/>
  <c r="F181" i="50" s="1"/>
  <c r="I227" i="34" s="1"/>
  <c r="D225" i="34"/>
  <c r="E225" i="34" s="1"/>
  <c r="D180" i="50" s="1"/>
  <c r="F180" i="50" s="1"/>
  <c r="I225" i="34" s="1"/>
  <c r="D223" i="34"/>
  <c r="E223" i="34" s="1"/>
  <c r="D179" i="50" s="1"/>
  <c r="F179" i="50" s="1"/>
  <c r="I223" i="34" s="1"/>
  <c r="D221" i="34"/>
  <c r="E221" i="34" s="1"/>
  <c r="D178" i="50" s="1"/>
  <c r="F178" i="50" s="1"/>
  <c r="I221" i="34" s="1"/>
  <c r="J221" i="34" s="1"/>
  <c r="K221" i="34" s="1"/>
  <c r="D220" i="34"/>
  <c r="E220" i="34" s="1"/>
  <c r="D177" i="50" s="1"/>
  <c r="F177" i="50" s="1"/>
  <c r="I220" i="34" s="1"/>
  <c r="D218" i="34"/>
  <c r="E218" i="34" s="1"/>
  <c r="D176" i="50" s="1"/>
  <c r="F176" i="50" s="1"/>
  <c r="I218" i="34" s="1"/>
  <c r="J218" i="34" s="1"/>
  <c r="K218" i="34" s="1"/>
  <c r="D217" i="34"/>
  <c r="E217" i="34" s="1"/>
  <c r="D175" i="50" s="1"/>
  <c r="F175" i="50" s="1"/>
  <c r="I217" i="34" s="1"/>
  <c r="D215" i="34"/>
  <c r="E215" i="34" s="1"/>
  <c r="D174" i="50" s="1"/>
  <c r="F174" i="50" s="1"/>
  <c r="I215" i="34" s="1"/>
  <c r="J215" i="34" s="1"/>
  <c r="K215" i="34" s="1"/>
  <c r="D214" i="34"/>
  <c r="E214" i="34" s="1"/>
  <c r="D173" i="50" s="1"/>
  <c r="F173" i="50" s="1"/>
  <c r="I214" i="34" s="1"/>
  <c r="J214" i="34" s="1"/>
  <c r="K214" i="34" s="1"/>
  <c r="D213" i="34"/>
  <c r="E213" i="34" s="1"/>
  <c r="D172" i="50" s="1"/>
  <c r="F172" i="50" s="1"/>
  <c r="I213" i="34" s="1"/>
  <c r="D211" i="34"/>
  <c r="E211" i="34" s="1"/>
  <c r="D171" i="50" s="1"/>
  <c r="F171" i="50" s="1"/>
  <c r="I211" i="34" s="1"/>
  <c r="J211" i="34" s="1"/>
  <c r="K211" i="34" s="1"/>
  <c r="D210" i="34"/>
  <c r="E210" i="34" s="1"/>
  <c r="D170" i="50" s="1"/>
  <c r="F170" i="50" s="1"/>
  <c r="I210" i="34" s="1"/>
  <c r="J210" i="34" s="1"/>
  <c r="K210" i="34" s="1"/>
  <c r="D209" i="34"/>
  <c r="E209" i="34" s="1"/>
  <c r="D169" i="50" s="1"/>
  <c r="F169" i="50" s="1"/>
  <c r="I209" i="34" s="1"/>
  <c r="J209" i="34" s="1"/>
  <c r="K209" i="34" s="1"/>
  <c r="D208" i="34"/>
  <c r="E208" i="34" s="1"/>
  <c r="D168" i="50" s="1"/>
  <c r="F168" i="50" s="1"/>
  <c r="I208" i="34" s="1"/>
  <c r="J208" i="34" s="1"/>
  <c r="K208" i="34" s="1"/>
  <c r="D207" i="34"/>
  <c r="E207" i="34" s="1"/>
  <c r="D167" i="50" s="1"/>
  <c r="F167" i="50" s="1"/>
  <c r="I207" i="34" s="1"/>
  <c r="D205" i="34"/>
  <c r="E205" i="34" s="1"/>
  <c r="D166" i="50" s="1"/>
  <c r="F166" i="50" s="1"/>
  <c r="I205" i="34" s="1"/>
  <c r="D203" i="34"/>
  <c r="E203" i="34" s="1"/>
  <c r="D165" i="50" s="1"/>
  <c r="F165" i="50" s="1"/>
  <c r="I203" i="34" s="1"/>
  <c r="J203" i="34" s="1"/>
  <c r="K203" i="34" s="1"/>
  <c r="D202" i="34"/>
  <c r="E202" i="34" s="1"/>
  <c r="D164" i="50" s="1"/>
  <c r="F164" i="50" s="1"/>
  <c r="I202" i="34" s="1"/>
  <c r="D200" i="34"/>
  <c r="E200" i="34" s="1"/>
  <c r="D163" i="50" s="1"/>
  <c r="F163" i="50" s="1"/>
  <c r="I200" i="34" s="1"/>
  <c r="J200" i="34" s="1"/>
  <c r="K200" i="34" s="1"/>
  <c r="D199" i="34"/>
  <c r="E199" i="34" s="1"/>
  <c r="D162" i="50" s="1"/>
  <c r="F162" i="50" s="1"/>
  <c r="I199" i="34" s="1"/>
  <c r="D197" i="34"/>
  <c r="E197" i="34" s="1"/>
  <c r="D161" i="50" s="1"/>
  <c r="F161" i="50" s="1"/>
  <c r="I197" i="34" s="1"/>
  <c r="D195" i="34"/>
  <c r="E195" i="34" s="1"/>
  <c r="D160" i="50" s="1"/>
  <c r="F160" i="50" s="1"/>
  <c r="I195" i="34" s="1"/>
  <c r="J195" i="34" s="1"/>
  <c r="K195" i="34" s="1"/>
  <c r="D194" i="34"/>
  <c r="E194" i="34" s="1"/>
  <c r="D159" i="50" s="1"/>
  <c r="F159" i="50" s="1"/>
  <c r="I194" i="34" s="1"/>
  <c r="J194" i="34" s="1"/>
  <c r="K194" i="34" s="1"/>
  <c r="D193" i="34"/>
  <c r="E193" i="34" s="1"/>
  <c r="D158" i="50" s="1"/>
  <c r="F158" i="50" s="1"/>
  <c r="I193" i="34" s="1"/>
  <c r="J193" i="34" s="1"/>
  <c r="K193" i="34" s="1"/>
  <c r="D192" i="34"/>
  <c r="E192" i="34" s="1"/>
  <c r="D157" i="50" s="1"/>
  <c r="F157" i="50" s="1"/>
  <c r="I192" i="34" s="1"/>
  <c r="J192" i="34" s="1"/>
  <c r="K192" i="34" s="1"/>
  <c r="D191" i="34"/>
  <c r="E191" i="34" s="1"/>
  <c r="D156" i="50" s="1"/>
  <c r="F156" i="50" s="1"/>
  <c r="I191" i="34" s="1"/>
  <c r="J191" i="34" s="1"/>
  <c r="K191" i="34" s="1"/>
  <c r="D190" i="34"/>
  <c r="E190" i="34" s="1"/>
  <c r="D155" i="50" s="1"/>
  <c r="F155" i="50" s="1"/>
  <c r="I190" i="34" s="1"/>
  <c r="J190" i="34" s="1"/>
  <c r="K190" i="34" s="1"/>
  <c r="D189" i="34"/>
  <c r="E189" i="34" s="1"/>
  <c r="D154" i="50" s="1"/>
  <c r="F154" i="50" s="1"/>
  <c r="I189" i="34" s="1"/>
  <c r="J189" i="34" s="1"/>
  <c r="K189" i="34" s="1"/>
  <c r="D188" i="34"/>
  <c r="E188" i="34" s="1"/>
  <c r="D153" i="50" s="1"/>
  <c r="F153" i="50" s="1"/>
  <c r="I188" i="34" s="1"/>
  <c r="J188" i="34" s="1"/>
  <c r="K188" i="34" s="1"/>
  <c r="D187" i="34"/>
  <c r="E187" i="34" s="1"/>
  <c r="D152" i="50" s="1"/>
  <c r="F152" i="50" s="1"/>
  <c r="I187" i="34" s="1"/>
  <c r="J187" i="34" s="1"/>
  <c r="K187" i="34" s="1"/>
  <c r="D186" i="34"/>
  <c r="E186" i="34" s="1"/>
  <c r="D151" i="50" s="1"/>
  <c r="F151" i="50" s="1"/>
  <c r="I186" i="34" s="1"/>
  <c r="J186" i="34" s="1"/>
  <c r="K186" i="34" s="1"/>
  <c r="D185" i="34"/>
  <c r="E185" i="34" s="1"/>
  <c r="D150" i="50" s="1"/>
  <c r="F150" i="50" s="1"/>
  <c r="I185" i="34" s="1"/>
  <c r="D183" i="34"/>
  <c r="E183" i="34" s="1"/>
  <c r="D149" i="50" s="1"/>
  <c r="F149" i="50" s="1"/>
  <c r="I183" i="34" s="1"/>
  <c r="J183" i="34" s="1"/>
  <c r="K183" i="34" s="1"/>
  <c r="D182" i="34"/>
  <c r="E182" i="34" s="1"/>
  <c r="D148" i="50" s="1"/>
  <c r="F148" i="50" s="1"/>
  <c r="I182" i="34" s="1"/>
  <c r="J182" i="34" s="1"/>
  <c r="K182" i="34" s="1"/>
  <c r="D181" i="34"/>
  <c r="E181" i="34" s="1"/>
  <c r="D147" i="50" s="1"/>
  <c r="F147" i="50" s="1"/>
  <c r="I181" i="34" s="1"/>
  <c r="J181" i="34" s="1"/>
  <c r="K181" i="34" s="1"/>
  <c r="D180" i="34"/>
  <c r="E180" i="34" s="1"/>
  <c r="D146" i="50" s="1"/>
  <c r="F146" i="50" s="1"/>
  <c r="I180" i="34" s="1"/>
  <c r="J180" i="34" s="1"/>
  <c r="K180" i="34" s="1"/>
  <c r="D179" i="34"/>
  <c r="E179" i="34" s="1"/>
  <c r="D145" i="50" s="1"/>
  <c r="F145" i="50" s="1"/>
  <c r="I179" i="34" s="1"/>
  <c r="J179" i="34" s="1"/>
  <c r="K179" i="34" s="1"/>
  <c r="D178" i="34"/>
  <c r="E178" i="34" s="1"/>
  <c r="D144" i="50" s="1"/>
  <c r="F144" i="50" s="1"/>
  <c r="I178" i="34" s="1"/>
  <c r="J178" i="34" s="1"/>
  <c r="K178" i="34" s="1"/>
  <c r="D177" i="34"/>
  <c r="E177" i="34" s="1"/>
  <c r="D143" i="50" s="1"/>
  <c r="F143" i="50" s="1"/>
  <c r="I177" i="34" s="1"/>
  <c r="J177" i="34" s="1"/>
  <c r="K177" i="34" s="1"/>
  <c r="D176" i="34"/>
  <c r="E176" i="34" s="1"/>
  <c r="D142" i="50" s="1"/>
  <c r="F142" i="50" s="1"/>
  <c r="I176" i="34" s="1"/>
  <c r="J176" i="34" s="1"/>
  <c r="K176" i="34" s="1"/>
  <c r="D175" i="34"/>
  <c r="E175" i="34" s="1"/>
  <c r="D141" i="50" s="1"/>
  <c r="F141" i="50" s="1"/>
  <c r="I175" i="34" s="1"/>
  <c r="D173" i="34"/>
  <c r="E173" i="34" s="1"/>
  <c r="D140" i="50" s="1"/>
  <c r="F140" i="50" s="1"/>
  <c r="I173" i="34" s="1"/>
  <c r="D171" i="34"/>
  <c r="E171" i="34" s="1"/>
  <c r="D139" i="50" s="1"/>
  <c r="F139" i="50" s="1"/>
  <c r="I171" i="34" s="1"/>
  <c r="J171" i="34" s="1"/>
  <c r="K171" i="34" s="1"/>
  <c r="D170" i="34"/>
  <c r="E170" i="34" s="1"/>
  <c r="D138" i="50" s="1"/>
  <c r="F138" i="50" s="1"/>
  <c r="I170" i="34" s="1"/>
  <c r="J170" i="34" s="1"/>
  <c r="K170" i="34" s="1"/>
  <c r="D169" i="34"/>
  <c r="E169" i="34" s="1"/>
  <c r="D137" i="50" s="1"/>
  <c r="F137" i="50" s="1"/>
  <c r="I169" i="34" s="1"/>
  <c r="D167" i="34"/>
  <c r="E167" i="34" s="1"/>
  <c r="D136" i="50" s="1"/>
  <c r="F136" i="50" s="1"/>
  <c r="I167" i="34" s="1"/>
  <c r="J167" i="34" s="1"/>
  <c r="K167" i="34" s="1"/>
  <c r="D166" i="34"/>
  <c r="E166" i="34" s="1"/>
  <c r="D135" i="50" s="1"/>
  <c r="F135" i="50" s="1"/>
  <c r="I166" i="34" s="1"/>
  <c r="J166" i="34" s="1"/>
  <c r="K166" i="34" s="1"/>
  <c r="D165" i="34"/>
  <c r="E165" i="34" s="1"/>
  <c r="D134" i="50" s="1"/>
  <c r="F134" i="50" s="1"/>
  <c r="I165" i="34" s="1"/>
  <c r="D163" i="34"/>
  <c r="E163" i="34" s="1"/>
  <c r="D133" i="50" s="1"/>
  <c r="F133" i="50" s="1"/>
  <c r="I163" i="34" s="1"/>
  <c r="J163" i="34" s="1"/>
  <c r="K163" i="34" s="1"/>
  <c r="D162" i="34"/>
  <c r="E162" i="34" s="1"/>
  <c r="D132" i="50" s="1"/>
  <c r="F132" i="50" s="1"/>
  <c r="I162" i="34" s="1"/>
  <c r="J162" i="34" s="1"/>
  <c r="K162" i="34" s="1"/>
  <c r="D161" i="34"/>
  <c r="E161" i="34" s="1"/>
  <c r="D131" i="50" s="1"/>
  <c r="F131" i="50" s="1"/>
  <c r="I161" i="34" s="1"/>
  <c r="D159" i="34"/>
  <c r="E159" i="34" s="1"/>
  <c r="D130" i="50" s="1"/>
  <c r="F130" i="50" s="1"/>
  <c r="I159" i="34" s="1"/>
  <c r="J159" i="34" s="1"/>
  <c r="K159" i="34" s="1"/>
  <c r="D158" i="34"/>
  <c r="E158" i="34" s="1"/>
  <c r="D129" i="50" s="1"/>
  <c r="F129" i="50" s="1"/>
  <c r="I158" i="34" s="1"/>
  <c r="J158" i="34" s="1"/>
  <c r="K158" i="34" s="1"/>
  <c r="D157" i="34"/>
  <c r="E157" i="34" s="1"/>
  <c r="D128" i="50" s="1"/>
  <c r="F128" i="50" s="1"/>
  <c r="I157" i="34" s="1"/>
  <c r="J157" i="34" s="1"/>
  <c r="K157" i="34" s="1"/>
  <c r="D156" i="34"/>
  <c r="E156" i="34" s="1"/>
  <c r="D127" i="50" s="1"/>
  <c r="F127" i="50" s="1"/>
  <c r="I156" i="34" s="1"/>
  <c r="J156" i="34" s="1"/>
  <c r="K156" i="34" s="1"/>
  <c r="D155" i="34"/>
  <c r="E155" i="34" s="1"/>
  <c r="D126" i="50" s="1"/>
  <c r="F126" i="50" s="1"/>
  <c r="I155" i="34" s="1"/>
  <c r="J155" i="34" s="1"/>
  <c r="K155" i="34" s="1"/>
  <c r="D154" i="34"/>
  <c r="E154" i="34" s="1"/>
  <c r="D125" i="50" s="1"/>
  <c r="F125" i="50" s="1"/>
  <c r="I154" i="34" s="1"/>
  <c r="J154" i="34" s="1"/>
  <c r="K154" i="34" s="1"/>
  <c r="D153" i="34"/>
  <c r="E153" i="34" s="1"/>
  <c r="D124" i="50" s="1"/>
  <c r="F124" i="50" s="1"/>
  <c r="I153" i="34" s="1"/>
  <c r="J153" i="34" s="1"/>
  <c r="K153" i="34" s="1"/>
  <c r="D152" i="34"/>
  <c r="E152" i="34" s="1"/>
  <c r="D123" i="50" s="1"/>
  <c r="F123" i="50" s="1"/>
  <c r="I152" i="34" s="1"/>
  <c r="J152" i="34" s="1"/>
  <c r="K152" i="34" s="1"/>
  <c r="D151" i="34"/>
  <c r="E151" i="34" s="1"/>
  <c r="D122" i="50" s="1"/>
  <c r="F122" i="50" s="1"/>
  <c r="I151" i="34" s="1"/>
  <c r="J151" i="34" s="1"/>
  <c r="K151" i="34" s="1"/>
  <c r="D150" i="34"/>
  <c r="E150" i="34" s="1"/>
  <c r="D121" i="50" s="1"/>
  <c r="F121" i="50" s="1"/>
  <c r="I150" i="34" s="1"/>
  <c r="J150" i="34" s="1"/>
  <c r="K150" i="34" s="1"/>
  <c r="D149" i="34"/>
  <c r="E149" i="34" s="1"/>
  <c r="D120" i="50" s="1"/>
  <c r="F120" i="50" s="1"/>
  <c r="I149" i="34" s="1"/>
  <c r="J149" i="34" s="1"/>
  <c r="K149" i="34" s="1"/>
  <c r="D148" i="34"/>
  <c r="E148" i="34" s="1"/>
  <c r="D119" i="50" s="1"/>
  <c r="F119" i="50" s="1"/>
  <c r="I148" i="34" s="1"/>
  <c r="J148" i="34" s="1"/>
  <c r="K148" i="34" s="1"/>
  <c r="D147" i="34"/>
  <c r="E147" i="34" s="1"/>
  <c r="D118" i="50" s="1"/>
  <c r="F118" i="50" s="1"/>
  <c r="I147" i="34" s="1"/>
  <c r="J147" i="34" s="1"/>
  <c r="K147" i="34" s="1"/>
  <c r="D146" i="34"/>
  <c r="E146" i="34" s="1"/>
  <c r="D117" i="50" s="1"/>
  <c r="F117" i="50" s="1"/>
  <c r="I146" i="34" s="1"/>
  <c r="J146" i="34" s="1"/>
  <c r="K146" i="34" s="1"/>
  <c r="D145" i="34"/>
  <c r="E145" i="34" s="1"/>
  <c r="D116" i="50" s="1"/>
  <c r="F116" i="50" s="1"/>
  <c r="I145" i="34" s="1"/>
  <c r="J145" i="34" s="1"/>
  <c r="K145" i="34" s="1"/>
  <c r="D144" i="34"/>
  <c r="E144" i="34" s="1"/>
  <c r="D115" i="50" s="1"/>
  <c r="F115" i="50" s="1"/>
  <c r="I144" i="34" s="1"/>
  <c r="J144" i="34" s="1"/>
  <c r="K144" i="34" s="1"/>
  <c r="D143" i="34"/>
  <c r="E143" i="34" s="1"/>
  <c r="D114" i="50" s="1"/>
  <c r="F114" i="50" s="1"/>
  <c r="I143" i="34" s="1"/>
  <c r="J143" i="34" s="1"/>
  <c r="K143" i="34" s="1"/>
  <c r="D142" i="34"/>
  <c r="E142" i="34" s="1"/>
  <c r="D113" i="50" s="1"/>
  <c r="F113" i="50" s="1"/>
  <c r="I142" i="34" s="1"/>
  <c r="J142" i="34" s="1"/>
  <c r="K142" i="34" s="1"/>
  <c r="D141" i="34"/>
  <c r="E141" i="34" s="1"/>
  <c r="D112" i="50" s="1"/>
  <c r="F112" i="50" s="1"/>
  <c r="I141" i="34" s="1"/>
  <c r="J141" i="34" s="1"/>
  <c r="K141" i="34" s="1"/>
  <c r="D140" i="34"/>
  <c r="E140" i="34" s="1"/>
  <c r="D111" i="50" s="1"/>
  <c r="F111" i="50" s="1"/>
  <c r="I140" i="34" s="1"/>
  <c r="D138" i="34"/>
  <c r="E138" i="34" s="1"/>
  <c r="D110" i="50" s="1"/>
  <c r="F110" i="50" s="1"/>
  <c r="I138" i="34" s="1"/>
  <c r="J138" i="34" s="1"/>
  <c r="K138" i="34" s="1"/>
  <c r="D137" i="34"/>
  <c r="E137" i="34" s="1"/>
  <c r="D109" i="50" s="1"/>
  <c r="F109" i="50" s="1"/>
  <c r="I137" i="34" s="1"/>
  <c r="D135" i="34"/>
  <c r="E135" i="34" s="1"/>
  <c r="D108" i="50" s="1"/>
  <c r="F108" i="50" s="1"/>
  <c r="I135" i="34" s="1"/>
  <c r="J135" i="34" s="1"/>
  <c r="K135" i="34" s="1"/>
  <c r="D134" i="34"/>
  <c r="E134" i="34" s="1"/>
  <c r="D107" i="50" s="1"/>
  <c r="F107" i="50" s="1"/>
  <c r="I134" i="34" s="1"/>
  <c r="J134" i="34" s="1"/>
  <c r="K134" i="34" s="1"/>
  <c r="D133" i="34"/>
  <c r="E133" i="34" s="1"/>
  <c r="D106" i="50" s="1"/>
  <c r="F106" i="50" s="1"/>
  <c r="I133" i="34" s="1"/>
  <c r="J133" i="34" s="1"/>
  <c r="K133" i="34" s="1"/>
  <c r="D132" i="34"/>
  <c r="E132" i="34" s="1"/>
  <c r="D105" i="50" s="1"/>
  <c r="F105" i="50" s="1"/>
  <c r="I132" i="34" s="1"/>
  <c r="D130" i="34"/>
  <c r="E130" i="34" s="1"/>
  <c r="D104" i="50" s="1"/>
  <c r="F104" i="50" s="1"/>
  <c r="I130" i="34" s="1"/>
  <c r="J130" i="34" s="1"/>
  <c r="K130" i="34" s="1"/>
  <c r="D129" i="34"/>
  <c r="E129" i="34" s="1"/>
  <c r="D103" i="50" s="1"/>
  <c r="F103" i="50" s="1"/>
  <c r="I129" i="34" s="1"/>
  <c r="J129" i="34" s="1"/>
  <c r="K129" i="34" s="1"/>
  <c r="D128" i="34"/>
  <c r="E128" i="34" s="1"/>
  <c r="D102" i="50" s="1"/>
  <c r="F102" i="50" s="1"/>
  <c r="I128" i="34" s="1"/>
  <c r="D126" i="34"/>
  <c r="E126" i="34" s="1"/>
  <c r="D101" i="50" s="1"/>
  <c r="F101" i="50" s="1"/>
  <c r="I126" i="34" s="1"/>
  <c r="J126" i="34" s="1"/>
  <c r="D125" i="34"/>
  <c r="E125" i="34" s="1"/>
  <c r="D100" i="50" s="1"/>
  <c r="F100" i="50" s="1"/>
  <c r="I125" i="34" s="1"/>
  <c r="J125" i="34" s="1"/>
  <c r="K125" i="34" s="1"/>
  <c r="D124" i="34"/>
  <c r="E124" i="34" s="1"/>
  <c r="D99" i="50" s="1"/>
  <c r="F99" i="50" s="1"/>
  <c r="I124" i="34" s="1"/>
  <c r="D122" i="34"/>
  <c r="E122" i="34" s="1"/>
  <c r="D98" i="50" s="1"/>
  <c r="F98" i="50" s="1"/>
  <c r="I122" i="34" s="1"/>
  <c r="J122" i="34" s="1"/>
  <c r="K122" i="34" s="1"/>
  <c r="D121" i="34"/>
  <c r="E121" i="34" s="1"/>
  <c r="D97" i="50" s="1"/>
  <c r="F97" i="50" s="1"/>
  <c r="I121" i="34" s="1"/>
  <c r="J121" i="34" s="1"/>
  <c r="K121" i="34" s="1"/>
  <c r="D120" i="34"/>
  <c r="E120" i="34" s="1"/>
  <c r="D96" i="50" s="1"/>
  <c r="F96" i="50" s="1"/>
  <c r="I120" i="34" s="1"/>
  <c r="J120" i="34" s="1"/>
  <c r="K120" i="34" s="1"/>
  <c r="D119" i="34"/>
  <c r="E119" i="34" s="1"/>
  <c r="D95" i="50" s="1"/>
  <c r="F95" i="50" s="1"/>
  <c r="I119" i="34" s="1"/>
  <c r="J119" i="34" s="1"/>
  <c r="K119" i="34" s="1"/>
  <c r="D118" i="34"/>
  <c r="E118" i="34" s="1"/>
  <c r="D94" i="50" s="1"/>
  <c r="F94" i="50" s="1"/>
  <c r="I118" i="34" s="1"/>
  <c r="J118" i="34" s="1"/>
  <c r="K118" i="34" s="1"/>
  <c r="D117" i="34"/>
  <c r="E117" i="34" s="1"/>
  <c r="D93" i="50" s="1"/>
  <c r="F93" i="50" s="1"/>
  <c r="I117" i="34" s="1"/>
  <c r="J117" i="34" s="1"/>
  <c r="K117" i="34" s="1"/>
  <c r="D116" i="34"/>
  <c r="E116" i="34" s="1"/>
  <c r="D92" i="50" s="1"/>
  <c r="F92" i="50" s="1"/>
  <c r="I116" i="34" s="1"/>
  <c r="J116" i="34" s="1"/>
  <c r="K116" i="34" s="1"/>
  <c r="D115" i="34"/>
  <c r="E115" i="34" s="1"/>
  <c r="D91" i="50" s="1"/>
  <c r="F91" i="50" s="1"/>
  <c r="I115" i="34" s="1"/>
  <c r="J115" i="34" s="1"/>
  <c r="K115" i="34" s="1"/>
  <c r="D114" i="34"/>
  <c r="E114" i="34" s="1"/>
  <c r="D90" i="50" s="1"/>
  <c r="F90" i="50" s="1"/>
  <c r="I114" i="34" s="1"/>
  <c r="J114" i="34" s="1"/>
  <c r="K114" i="34" s="1"/>
  <c r="D113" i="34"/>
  <c r="E113" i="34" s="1"/>
  <c r="D89" i="50" s="1"/>
  <c r="F89" i="50" s="1"/>
  <c r="I113" i="34" s="1"/>
  <c r="D104" i="34"/>
  <c r="E104" i="34" s="1"/>
  <c r="D85" i="50" s="1"/>
  <c r="F85" i="50" s="1"/>
  <c r="I104" i="34" s="1"/>
  <c r="J104" i="34" s="1"/>
  <c r="K104" i="34" s="1"/>
  <c r="D103" i="34"/>
  <c r="E103" i="34" s="1"/>
  <c r="D84" i="50" s="1"/>
  <c r="F84" i="50" s="1"/>
  <c r="I103" i="34" s="1"/>
  <c r="J103" i="34" s="1"/>
  <c r="K103" i="34" s="1"/>
  <c r="D102" i="34"/>
  <c r="E102" i="34" s="1"/>
  <c r="D83" i="50" s="1"/>
  <c r="F83" i="50" s="1"/>
  <c r="I102" i="34" s="1"/>
  <c r="J102" i="34" s="1"/>
  <c r="K102" i="34" s="1"/>
  <c r="D101" i="34"/>
  <c r="E101" i="34" s="1"/>
  <c r="D82" i="50" s="1"/>
  <c r="F82" i="50" s="1"/>
  <c r="I101" i="34" s="1"/>
  <c r="J101" i="34" s="1"/>
  <c r="K101" i="34" s="1"/>
  <c r="D100" i="34"/>
  <c r="E100" i="34" s="1"/>
  <c r="D81" i="50" s="1"/>
  <c r="F81" i="50" s="1"/>
  <c r="I100" i="34" s="1"/>
  <c r="J100" i="34" s="1"/>
  <c r="K100" i="34" s="1"/>
  <c r="D99" i="34"/>
  <c r="E99" i="34" s="1"/>
  <c r="D80" i="50" s="1"/>
  <c r="F80" i="50" s="1"/>
  <c r="I99" i="34" s="1"/>
  <c r="J99" i="34" s="1"/>
  <c r="K99" i="34" s="1"/>
  <c r="D98" i="34"/>
  <c r="E98" i="34" s="1"/>
  <c r="D79" i="50" s="1"/>
  <c r="F79" i="50" s="1"/>
  <c r="I98" i="34" s="1"/>
  <c r="J98" i="34" s="1"/>
  <c r="K98" i="34" s="1"/>
  <c r="D97" i="34"/>
  <c r="E97" i="34" s="1"/>
  <c r="D78" i="50" s="1"/>
  <c r="F78" i="50" s="1"/>
  <c r="I97" i="34" s="1"/>
  <c r="J97" i="34" s="1"/>
  <c r="K97" i="34" s="1"/>
  <c r="D96" i="34"/>
  <c r="E96" i="34" s="1"/>
  <c r="D77" i="50" s="1"/>
  <c r="F77" i="50" s="1"/>
  <c r="I96" i="34" s="1"/>
  <c r="J96" i="34" s="1"/>
  <c r="K96" i="34" s="1"/>
  <c r="D95" i="34"/>
  <c r="E95" i="34" s="1"/>
  <c r="D76" i="50" s="1"/>
  <c r="F76" i="50" s="1"/>
  <c r="I95" i="34" s="1"/>
  <c r="J95" i="34" s="1"/>
  <c r="K95" i="34" s="1"/>
  <c r="D94" i="34"/>
  <c r="E94" i="34" s="1"/>
  <c r="D75" i="50" s="1"/>
  <c r="F75" i="50" s="1"/>
  <c r="I94" i="34" s="1"/>
  <c r="D92" i="34"/>
  <c r="E92" i="34" s="1"/>
  <c r="D74" i="50" s="1"/>
  <c r="F74" i="50" s="1"/>
  <c r="I92" i="34" s="1"/>
  <c r="J92" i="34" s="1"/>
  <c r="K92" i="34" s="1"/>
  <c r="D91" i="34"/>
  <c r="E91" i="34" s="1"/>
  <c r="D73" i="50" s="1"/>
  <c r="F73" i="50" s="1"/>
  <c r="I91" i="34" s="1"/>
  <c r="J91" i="34" s="1"/>
  <c r="K91" i="34" s="1"/>
  <c r="D90" i="34"/>
  <c r="E90" i="34" s="1"/>
  <c r="D72" i="50" s="1"/>
  <c r="F72" i="50" s="1"/>
  <c r="I90" i="34" s="1"/>
  <c r="J90" i="34" s="1"/>
  <c r="K90" i="34" s="1"/>
  <c r="D89" i="34"/>
  <c r="E89" i="34" s="1"/>
  <c r="D71" i="50" s="1"/>
  <c r="F71" i="50" s="1"/>
  <c r="I89" i="34" s="1"/>
  <c r="J89" i="34" s="1"/>
  <c r="K89" i="34" s="1"/>
  <c r="D88" i="34"/>
  <c r="E88" i="34" s="1"/>
  <c r="D70" i="50" s="1"/>
  <c r="F70" i="50" s="1"/>
  <c r="I88" i="34" s="1"/>
  <c r="D85" i="34"/>
  <c r="E85" i="34" s="1"/>
  <c r="D69" i="50" s="1"/>
  <c r="F69" i="50" s="1"/>
  <c r="I85" i="34" s="1"/>
  <c r="D83" i="34"/>
  <c r="E83" i="34" s="1"/>
  <c r="D68" i="50" s="1"/>
  <c r="F68" i="50" s="1"/>
  <c r="I83" i="34" s="1"/>
  <c r="D81" i="34"/>
  <c r="E81" i="34" s="1"/>
  <c r="D67" i="50" s="1"/>
  <c r="F67" i="50" s="1"/>
  <c r="I81" i="34" s="1"/>
  <c r="J81" i="34" s="1"/>
  <c r="K81" i="34" s="1"/>
  <c r="D80" i="34"/>
  <c r="E80" i="34" s="1"/>
  <c r="D66" i="50" s="1"/>
  <c r="F66" i="50" s="1"/>
  <c r="I80" i="34" s="1"/>
  <c r="D78" i="34"/>
  <c r="E78" i="34" s="1"/>
  <c r="D65" i="50" s="1"/>
  <c r="F65" i="50" s="1"/>
  <c r="I78" i="34" s="1"/>
  <c r="J78" i="34" s="1"/>
  <c r="K78" i="34" s="1"/>
  <c r="D77" i="34"/>
  <c r="E77" i="34" s="1"/>
  <c r="D64" i="50" s="1"/>
  <c r="F64" i="50" s="1"/>
  <c r="I77" i="34" s="1"/>
  <c r="D75" i="34"/>
  <c r="E75" i="34" s="1"/>
  <c r="D63" i="50" s="1"/>
  <c r="F63" i="50" s="1"/>
  <c r="I75" i="34" s="1"/>
  <c r="J75" i="34" s="1"/>
  <c r="K75" i="34" s="1"/>
  <c r="D74" i="34"/>
  <c r="E74" i="34" s="1"/>
  <c r="D62" i="50" s="1"/>
  <c r="F62" i="50" s="1"/>
  <c r="I74" i="34" s="1"/>
  <c r="D72" i="34"/>
  <c r="E72" i="34" s="1"/>
  <c r="D61" i="50" s="1"/>
  <c r="F61" i="50" s="1"/>
  <c r="I72" i="34" s="1"/>
  <c r="D69" i="34"/>
  <c r="E69" i="34" s="1"/>
  <c r="D60" i="50" s="1"/>
  <c r="F60" i="50" s="1"/>
  <c r="I69" i="34" s="1"/>
  <c r="D67" i="34"/>
  <c r="E67" i="34" s="1"/>
  <c r="D59" i="50" s="1"/>
  <c r="F59" i="50" s="1"/>
  <c r="I67" i="34" s="1"/>
  <c r="J67" i="34" s="1"/>
  <c r="K67" i="34" s="1"/>
  <c r="D66" i="34"/>
  <c r="E66" i="34" s="1"/>
  <c r="D58" i="50" s="1"/>
  <c r="F58" i="50" s="1"/>
  <c r="I66" i="34" s="1"/>
  <c r="J66" i="34" s="1"/>
  <c r="K66" i="34" s="1"/>
  <c r="D65" i="34"/>
  <c r="E65" i="34" s="1"/>
  <c r="D57" i="50" s="1"/>
  <c r="F57" i="50" s="1"/>
  <c r="I65" i="34" s="1"/>
  <c r="J65" i="34" s="1"/>
  <c r="K65" i="34" s="1"/>
  <c r="D64" i="34"/>
  <c r="E64" i="34" s="1"/>
  <c r="D56" i="50" s="1"/>
  <c r="F56" i="50" s="1"/>
  <c r="I64" i="34" s="1"/>
  <c r="J64" i="34" s="1"/>
  <c r="K64" i="34" s="1"/>
  <c r="D63" i="34"/>
  <c r="E63" i="34" s="1"/>
  <c r="D55" i="50" s="1"/>
  <c r="F55" i="50" s="1"/>
  <c r="I63" i="34" s="1"/>
  <c r="J63" i="34" s="1"/>
  <c r="K63" i="34" s="1"/>
  <c r="D62" i="34"/>
  <c r="E62" i="34" s="1"/>
  <c r="D54" i="50" s="1"/>
  <c r="F54" i="50" s="1"/>
  <c r="I62" i="34" s="1"/>
  <c r="D60" i="34"/>
  <c r="E60" i="34" s="1"/>
  <c r="D53" i="50" s="1"/>
  <c r="F53" i="50" s="1"/>
  <c r="I60" i="34" s="1"/>
  <c r="J60" i="34" s="1"/>
  <c r="K60" i="34" s="1"/>
  <c r="D59" i="34"/>
  <c r="E59" i="34" s="1"/>
  <c r="D52" i="50" s="1"/>
  <c r="F52" i="50" s="1"/>
  <c r="I59" i="34" s="1"/>
  <c r="D56" i="34"/>
  <c r="E56" i="34" s="1"/>
  <c r="D51" i="50" s="1"/>
  <c r="F51" i="50" s="1"/>
  <c r="I56" i="34" s="1"/>
  <c r="J56" i="34" s="1"/>
  <c r="K56" i="34" s="1"/>
  <c r="D55" i="34"/>
  <c r="E55" i="34" s="1"/>
  <c r="D50" i="50" s="1"/>
  <c r="F50" i="50" s="1"/>
  <c r="I55" i="34" s="1"/>
  <c r="J55" i="34" s="1"/>
  <c r="K55" i="34" s="1"/>
  <c r="D54" i="34"/>
  <c r="E54" i="34" s="1"/>
  <c r="D49" i="50" s="1"/>
  <c r="F49" i="50" s="1"/>
  <c r="I54" i="34" s="1"/>
  <c r="J54" i="34" s="1"/>
  <c r="K54" i="34" s="1"/>
  <c r="D53" i="34"/>
  <c r="E53" i="34" s="1"/>
  <c r="D48" i="50" s="1"/>
  <c r="F48" i="50" s="1"/>
  <c r="I53" i="34" s="1"/>
  <c r="J53" i="34" s="1"/>
  <c r="K53" i="34" s="1"/>
  <c r="D52" i="34"/>
  <c r="E52" i="34" s="1"/>
  <c r="D47" i="50" s="1"/>
  <c r="F47" i="50" s="1"/>
  <c r="I52" i="34" s="1"/>
  <c r="J52" i="34" s="1"/>
  <c r="K52" i="34" s="1"/>
  <c r="D51" i="34"/>
  <c r="E51" i="34" s="1"/>
  <c r="D46" i="50" s="1"/>
  <c r="F46" i="50" s="1"/>
  <c r="I51" i="34" s="1"/>
  <c r="J51" i="34" s="1"/>
  <c r="K51" i="34" s="1"/>
  <c r="D50" i="34"/>
  <c r="E50" i="34" s="1"/>
  <c r="D45" i="50" s="1"/>
  <c r="F45" i="50" s="1"/>
  <c r="I50" i="34" s="1"/>
  <c r="D48" i="34"/>
  <c r="E48" i="34" s="1"/>
  <c r="D44" i="50" s="1"/>
  <c r="F44" i="50" s="1"/>
  <c r="I48" i="34" s="1"/>
  <c r="J48" i="34" s="1"/>
  <c r="K48" i="34" s="1"/>
  <c r="D47" i="34"/>
  <c r="E47" i="34" s="1"/>
  <c r="D43" i="50" s="1"/>
  <c r="F43" i="50" s="1"/>
  <c r="I47" i="34" s="1"/>
  <c r="D45" i="34"/>
  <c r="E45" i="34" s="1"/>
  <c r="D42" i="50" s="1"/>
  <c r="F42" i="50" s="1"/>
  <c r="I45" i="34" s="1"/>
  <c r="J45" i="34" s="1"/>
  <c r="K45" i="34" s="1"/>
  <c r="D44" i="34"/>
  <c r="E44" i="34" s="1"/>
  <c r="D41" i="50" s="1"/>
  <c r="F41" i="50" s="1"/>
  <c r="I44" i="34" s="1"/>
  <c r="J44" i="34" s="1"/>
  <c r="K44" i="34" s="1"/>
  <c r="D43" i="34"/>
  <c r="E43" i="34" s="1"/>
  <c r="D40" i="50" s="1"/>
  <c r="F40" i="50" s="1"/>
  <c r="I43" i="34" s="1"/>
  <c r="J43" i="34" s="1"/>
  <c r="K43" i="34" s="1"/>
  <c r="D42" i="34"/>
  <c r="E42" i="34" s="1"/>
  <c r="D39" i="50" s="1"/>
  <c r="F39" i="50" s="1"/>
  <c r="I42" i="34" s="1"/>
  <c r="J42" i="34" s="1"/>
  <c r="K42" i="34" s="1"/>
  <c r="D41" i="34"/>
  <c r="E41" i="34" s="1"/>
  <c r="D38" i="50" s="1"/>
  <c r="F38" i="50" s="1"/>
  <c r="I41" i="34" s="1"/>
  <c r="J41" i="34" s="1"/>
  <c r="K41" i="34" s="1"/>
  <c r="D40" i="34"/>
  <c r="E40" i="34" s="1"/>
  <c r="D37" i="50" s="1"/>
  <c r="F37" i="50" s="1"/>
  <c r="I40" i="34" s="1"/>
  <c r="J40" i="34" s="1"/>
  <c r="K40" i="34" s="1"/>
  <c r="D39" i="34"/>
  <c r="E39" i="34" s="1"/>
  <c r="D36" i="50" s="1"/>
  <c r="F36" i="50" s="1"/>
  <c r="I39" i="34" s="1"/>
  <c r="J39" i="34" s="1"/>
  <c r="K39" i="34" s="1"/>
  <c r="D38" i="34"/>
  <c r="E38" i="34" s="1"/>
  <c r="D35" i="50" s="1"/>
  <c r="F35" i="50" s="1"/>
  <c r="I38" i="34" s="1"/>
  <c r="J38" i="34" s="1"/>
  <c r="K38" i="34" s="1"/>
  <c r="D37" i="34"/>
  <c r="E37" i="34" s="1"/>
  <c r="D34" i="50" s="1"/>
  <c r="F34" i="50" s="1"/>
  <c r="I37" i="34" s="1"/>
  <c r="J37" i="34" s="1"/>
  <c r="K37" i="34" s="1"/>
  <c r="D36" i="34"/>
  <c r="E36" i="34" s="1"/>
  <c r="D33" i="50" s="1"/>
  <c r="F33" i="50" s="1"/>
  <c r="I36" i="34" s="1"/>
  <c r="D34" i="34"/>
  <c r="E34" i="34" s="1"/>
  <c r="D32" i="50" s="1"/>
  <c r="F32" i="50" s="1"/>
  <c r="I34" i="34" s="1"/>
  <c r="J34" i="34" s="1"/>
  <c r="K34" i="34" s="1"/>
  <c r="D33" i="34"/>
  <c r="E33" i="34" s="1"/>
  <c r="D31" i="50" s="1"/>
  <c r="F31" i="50" s="1"/>
  <c r="I33" i="34" s="1"/>
  <c r="J33" i="34" s="1"/>
  <c r="K33" i="34" s="1"/>
  <c r="D32" i="34"/>
  <c r="E32" i="34" s="1"/>
  <c r="D30" i="50" s="1"/>
  <c r="F30" i="50" s="1"/>
  <c r="I32" i="34" s="1"/>
  <c r="J32" i="34" s="1"/>
  <c r="K32" i="34" s="1"/>
  <c r="D31" i="34"/>
  <c r="E31" i="34" s="1"/>
  <c r="D29" i="50" s="1"/>
  <c r="F29" i="50" s="1"/>
  <c r="I31" i="34" s="1"/>
  <c r="J31" i="34" s="1"/>
  <c r="K31" i="34" s="1"/>
  <c r="D30" i="34"/>
  <c r="E30" i="34" s="1"/>
  <c r="D28" i="50" s="1"/>
  <c r="F28" i="50" s="1"/>
  <c r="I30" i="34" s="1"/>
  <c r="J30" i="34" s="1"/>
  <c r="K30" i="34" s="1"/>
  <c r="D29" i="34"/>
  <c r="E29" i="34" s="1"/>
  <c r="D27" i="50" s="1"/>
  <c r="F27" i="50" s="1"/>
  <c r="I29" i="34" s="1"/>
  <c r="J29" i="34" s="1"/>
  <c r="K29" i="34" s="1"/>
  <c r="D28" i="34"/>
  <c r="E28" i="34" s="1"/>
  <c r="D26" i="50" s="1"/>
  <c r="F26" i="50" s="1"/>
  <c r="I28" i="34" s="1"/>
  <c r="J28" i="34" s="1"/>
  <c r="K28" i="34" s="1"/>
  <c r="D27" i="34"/>
  <c r="E27" i="34" s="1"/>
  <c r="D25" i="50" s="1"/>
  <c r="F25" i="50" s="1"/>
  <c r="I27" i="34" s="1"/>
  <c r="J27" i="34" s="1"/>
  <c r="K27" i="34" s="1"/>
  <c r="D26" i="34"/>
  <c r="E26" i="34" s="1"/>
  <c r="D24" i="50" s="1"/>
  <c r="F24" i="50" s="1"/>
  <c r="I26" i="34" s="1"/>
  <c r="J26" i="34" s="1"/>
  <c r="K26" i="34" s="1"/>
  <c r="D25" i="34"/>
  <c r="E25" i="34" s="1"/>
  <c r="D23" i="50" s="1"/>
  <c r="F23" i="50" s="1"/>
  <c r="I25" i="34" s="1"/>
  <c r="J25" i="34" s="1"/>
  <c r="K25" i="34" s="1"/>
  <c r="D24" i="34"/>
  <c r="E24" i="34" s="1"/>
  <c r="D22" i="50" s="1"/>
  <c r="F22" i="50" s="1"/>
  <c r="I24" i="34" s="1"/>
  <c r="J24" i="34" s="1"/>
  <c r="K24" i="34" s="1"/>
  <c r="D23" i="34"/>
  <c r="E23" i="34" s="1"/>
  <c r="D21" i="50" s="1"/>
  <c r="F21" i="50" s="1"/>
  <c r="I23" i="34" s="1"/>
  <c r="J23" i="34" s="1"/>
  <c r="K23" i="34" s="1"/>
  <c r="D22" i="34"/>
  <c r="E22" i="34" s="1"/>
  <c r="D20" i="50" s="1"/>
  <c r="F20" i="50" s="1"/>
  <c r="I22" i="34" s="1"/>
  <c r="J22" i="34" s="1"/>
  <c r="K22" i="34" s="1"/>
  <c r="D21" i="34"/>
  <c r="E21" i="34" s="1"/>
  <c r="D19" i="50" s="1"/>
  <c r="F19" i="50" s="1"/>
  <c r="I21" i="34" s="1"/>
  <c r="D19" i="34"/>
  <c r="E19" i="34" s="1"/>
  <c r="D18" i="50" s="1"/>
  <c r="F18" i="50" s="1"/>
  <c r="I19" i="34" s="1"/>
  <c r="J19" i="34" s="1"/>
  <c r="K19" i="34" s="1"/>
  <c r="D18" i="34"/>
  <c r="E18" i="34" s="1"/>
  <c r="D17" i="50" s="1"/>
  <c r="F17" i="50" s="1"/>
  <c r="I18" i="34" s="1"/>
  <c r="J18" i="34" s="1"/>
  <c r="K18" i="34" s="1"/>
  <c r="D17" i="34"/>
  <c r="E17" i="34" s="1"/>
  <c r="D16" i="50" s="1"/>
  <c r="F16" i="50" s="1"/>
  <c r="I17" i="34" s="1"/>
  <c r="J17" i="34" s="1"/>
  <c r="K17" i="34" s="1"/>
  <c r="D16" i="34"/>
  <c r="E16" i="34" s="1"/>
  <c r="D15" i="50" s="1"/>
  <c r="F15" i="50" s="1"/>
  <c r="I16" i="34" s="1"/>
  <c r="J16" i="34" s="1"/>
  <c r="K16" i="34" s="1"/>
  <c r="D15" i="34"/>
  <c r="E15" i="34" s="1"/>
  <c r="D14" i="50" s="1"/>
  <c r="F14" i="50" s="1"/>
  <c r="I15" i="34" s="1"/>
  <c r="J15" i="34" s="1"/>
  <c r="K15" i="34" s="1"/>
  <c r="D14" i="34"/>
  <c r="E14" i="34" s="1"/>
  <c r="D13" i="50" s="1"/>
  <c r="F13" i="50" s="1"/>
  <c r="I14" i="34" s="1"/>
  <c r="D13" i="34"/>
  <c r="E13" i="34" s="1"/>
  <c r="D12" i="50" s="1"/>
  <c r="F12" i="50" s="1"/>
  <c r="I13" i="34" s="1"/>
  <c r="J13" i="34" s="1"/>
  <c r="D11" i="34"/>
  <c r="E11" i="34" s="1"/>
  <c r="D11" i="50" s="1"/>
  <c r="F11" i="50" s="1"/>
  <c r="I11" i="34" s="1"/>
  <c r="J11" i="34" s="1"/>
  <c r="K11" i="34" s="1"/>
  <c r="D10" i="34"/>
  <c r="E10" i="34" s="1"/>
  <c r="D10" i="50" s="1"/>
  <c r="J175" i="34" l="1"/>
  <c r="I174" i="34"/>
  <c r="J227" i="34"/>
  <c r="I226" i="34"/>
  <c r="J62" i="34"/>
  <c r="I61" i="34"/>
  <c r="J132" i="34"/>
  <c r="I131" i="34"/>
  <c r="J220" i="34"/>
  <c r="I219" i="34"/>
  <c r="J36" i="34"/>
  <c r="I35" i="34"/>
  <c r="I172" i="34"/>
  <c r="J173" i="34"/>
  <c r="I201" i="34"/>
  <c r="J202" i="34"/>
  <c r="J213" i="34"/>
  <c r="I212" i="34"/>
  <c r="J225" i="34"/>
  <c r="I224" i="34"/>
  <c r="J80" i="34"/>
  <c r="I79" i="34"/>
  <c r="K126" i="34"/>
  <c r="J246" i="34"/>
  <c r="I245" i="34"/>
  <c r="J47" i="34"/>
  <c r="I46" i="34"/>
  <c r="J128" i="34"/>
  <c r="I127" i="34"/>
  <c r="J165" i="34"/>
  <c r="I164" i="34"/>
  <c r="J229" i="34"/>
  <c r="I228" i="34"/>
  <c r="K13" i="34"/>
  <c r="J59" i="34"/>
  <c r="I58" i="34"/>
  <c r="J69" i="34"/>
  <c r="I68" i="34"/>
  <c r="J83" i="34"/>
  <c r="I82" i="34"/>
  <c r="J140" i="34"/>
  <c r="I139" i="34"/>
  <c r="I206" i="34"/>
  <c r="J207" i="34"/>
  <c r="J217" i="34"/>
  <c r="I216" i="34"/>
  <c r="I249" i="34"/>
  <c r="I248" i="34" s="1"/>
  <c r="J250" i="34"/>
  <c r="F10" i="50"/>
  <c r="D7" i="50"/>
  <c r="D8" i="50" s="1"/>
  <c r="J137" i="34"/>
  <c r="I136" i="34"/>
  <c r="J21" i="34"/>
  <c r="I20" i="34"/>
  <c r="J94" i="34"/>
  <c r="I93" i="34"/>
  <c r="J185" i="34"/>
  <c r="I184" i="34"/>
  <c r="I204" i="34"/>
  <c r="J205" i="34"/>
  <c r="I12" i="34"/>
  <c r="J14" i="34"/>
  <c r="K14" i="34" s="1"/>
  <c r="J50" i="34"/>
  <c r="I49" i="34"/>
  <c r="J72" i="34"/>
  <c r="I71" i="34"/>
  <c r="J85" i="34"/>
  <c r="I84" i="34"/>
  <c r="I252" i="34"/>
  <c r="I251" i="34" s="1"/>
  <c r="J253" i="34"/>
  <c r="I73" i="34"/>
  <c r="J74" i="34"/>
  <c r="J113" i="34"/>
  <c r="I112" i="34"/>
  <c r="J169" i="34"/>
  <c r="I168" i="34"/>
  <c r="J197" i="34"/>
  <c r="I196" i="34"/>
  <c r="J199" i="34"/>
  <c r="I198" i="34"/>
  <c r="J88" i="34"/>
  <c r="I87" i="34"/>
  <c r="J77" i="34"/>
  <c r="I76" i="34"/>
  <c r="J124" i="34"/>
  <c r="K124" i="34" s="1"/>
  <c r="I123" i="34"/>
  <c r="J161" i="34"/>
  <c r="I160" i="34"/>
  <c r="J223" i="34"/>
  <c r="I222" i="34"/>
  <c r="D87" i="34"/>
  <c r="E87" i="34" s="1"/>
  <c r="I86" i="34" l="1"/>
  <c r="K12" i="34"/>
  <c r="J222" i="34"/>
  <c r="K223" i="34"/>
  <c r="K222" i="34" s="1"/>
  <c r="K169" i="34"/>
  <c r="K168" i="34" s="1"/>
  <c r="J168" i="34"/>
  <c r="I111" i="34"/>
  <c r="I110" i="34" s="1"/>
  <c r="J73" i="34"/>
  <c r="K74" i="34"/>
  <c r="K73" i="34" s="1"/>
  <c r="J84" i="34"/>
  <c r="K85" i="34"/>
  <c r="K84" i="34" s="1"/>
  <c r="K207" i="34"/>
  <c r="K206" i="34" s="1"/>
  <c r="J206" i="34"/>
  <c r="I57" i="34"/>
  <c r="K165" i="34"/>
  <c r="K164" i="34" s="1"/>
  <c r="J164" i="34"/>
  <c r="K123" i="34"/>
  <c r="J201" i="34"/>
  <c r="K202" i="34"/>
  <c r="K201" i="34" s="1"/>
  <c r="J93" i="34"/>
  <c r="K94" i="34"/>
  <c r="K93" i="34" s="1"/>
  <c r="K199" i="34"/>
  <c r="K198" i="34" s="1"/>
  <c r="J198" i="34"/>
  <c r="I70" i="34"/>
  <c r="K137" i="34"/>
  <c r="K136" i="34" s="1"/>
  <c r="J136" i="34"/>
  <c r="K59" i="34"/>
  <c r="K58" i="34" s="1"/>
  <c r="J58" i="34"/>
  <c r="J123" i="34"/>
  <c r="K132" i="34"/>
  <c r="K131" i="34" s="1"/>
  <c r="J131" i="34"/>
  <c r="K128" i="34"/>
  <c r="K127" i="34" s="1"/>
  <c r="J127" i="34"/>
  <c r="J172" i="34"/>
  <c r="K173" i="34"/>
  <c r="K172" i="34" s="1"/>
  <c r="J76" i="34"/>
  <c r="K77" i="34"/>
  <c r="K76" i="34" s="1"/>
  <c r="K197" i="34"/>
  <c r="K196" i="34" s="1"/>
  <c r="J196" i="34"/>
  <c r="K253" i="34"/>
  <c r="K252" i="34" s="1"/>
  <c r="K251" i="34" s="1"/>
  <c r="J252" i="34"/>
  <c r="J251" i="34" s="1"/>
  <c r="I10" i="34"/>
  <c r="F7" i="50"/>
  <c r="K140" i="34"/>
  <c r="K139" i="34" s="1"/>
  <c r="J139" i="34"/>
  <c r="J12" i="34"/>
  <c r="J79" i="34"/>
  <c r="K80" i="34"/>
  <c r="K79" i="34" s="1"/>
  <c r="K62" i="34"/>
  <c r="K61" i="34" s="1"/>
  <c r="J61" i="34"/>
  <c r="J184" i="34"/>
  <c r="K185" i="34"/>
  <c r="K184" i="34" s="1"/>
  <c r="K50" i="34"/>
  <c r="K49" i="34" s="1"/>
  <c r="J49" i="34"/>
  <c r="K250" i="34"/>
  <c r="K249" i="34" s="1"/>
  <c r="K248" i="34" s="1"/>
  <c r="J249" i="34"/>
  <c r="J248" i="34" s="1"/>
  <c r="K47" i="34"/>
  <c r="K46" i="34" s="1"/>
  <c r="J46" i="34"/>
  <c r="J71" i="34"/>
  <c r="K72" i="34"/>
  <c r="K71" i="34" s="1"/>
  <c r="K225" i="34"/>
  <c r="K224" i="34" s="1"/>
  <c r="J224" i="34"/>
  <c r="K36" i="34"/>
  <c r="K35" i="34" s="1"/>
  <c r="J35" i="34"/>
  <c r="K227" i="34"/>
  <c r="K226" i="34" s="1"/>
  <c r="J226" i="34"/>
  <c r="J82" i="34"/>
  <c r="K83" i="34"/>
  <c r="K82" i="34" s="1"/>
  <c r="K88" i="34"/>
  <c r="K87" i="34" s="1"/>
  <c r="K86" i="34" s="1"/>
  <c r="J87" i="34"/>
  <c r="K229" i="34"/>
  <c r="K228" i="34" s="1"/>
  <c r="J228" i="34"/>
  <c r="K246" i="34"/>
  <c r="K245" i="34" s="1"/>
  <c r="J245" i="34"/>
  <c r="K161" i="34"/>
  <c r="K160" i="34" s="1"/>
  <c r="J160" i="34"/>
  <c r="K113" i="34"/>
  <c r="K112" i="34" s="1"/>
  <c r="J112" i="34"/>
  <c r="K205" i="34"/>
  <c r="K204" i="34" s="1"/>
  <c r="J204" i="34"/>
  <c r="K21" i="34"/>
  <c r="K20" i="34" s="1"/>
  <c r="J20" i="34"/>
  <c r="J216" i="34"/>
  <c r="K217" i="34"/>
  <c r="K216" i="34" s="1"/>
  <c r="K69" i="34"/>
  <c r="K68" i="34" s="1"/>
  <c r="J68" i="34"/>
  <c r="K213" i="34"/>
  <c r="K212" i="34" s="1"/>
  <c r="J212" i="34"/>
  <c r="K220" i="34"/>
  <c r="K219" i="34" s="1"/>
  <c r="J219" i="34"/>
  <c r="K175" i="34"/>
  <c r="K174" i="34" s="1"/>
  <c r="J174" i="34"/>
  <c r="J86" i="34" l="1"/>
  <c r="J70" i="34"/>
  <c r="J111" i="34"/>
  <c r="J110" i="34" s="1"/>
  <c r="K111" i="34"/>
  <c r="K110" i="34" s="1"/>
  <c r="K70" i="34"/>
  <c r="J57" i="34"/>
  <c r="K57" i="34"/>
  <c r="J10" i="34"/>
  <c r="I9" i="34"/>
  <c r="I8" i="34" s="1"/>
  <c r="I7" i="34" s="1"/>
  <c r="I6" i="34" s="1"/>
  <c r="F8" i="50" s="1"/>
  <c r="J9" i="34" l="1"/>
  <c r="J8" i="34" s="1"/>
  <c r="J7" i="34" s="1"/>
  <c r="J6" i="34" s="1"/>
  <c r="K10" i="34"/>
  <c r="K9" i="34" s="1"/>
  <c r="K8" i="34" s="1"/>
  <c r="K7" i="34" s="1"/>
  <c r="K6" i="34" s="1"/>
  <c r="D228" i="34" l="1"/>
  <c r="E228" i="34" s="1"/>
  <c r="D84" i="34"/>
  <c r="E84" i="34" s="1"/>
  <c r="D82" i="34"/>
  <c r="E82" i="34" s="1"/>
  <c r="D79" i="34"/>
  <c r="E79" i="34" s="1"/>
  <c r="D76" i="34"/>
  <c r="E76" i="34" s="1"/>
  <c r="D73" i="34"/>
  <c r="E73" i="34" s="1"/>
  <c r="D71" i="34"/>
  <c r="E71" i="34" s="1"/>
  <c r="D68" i="34"/>
  <c r="E68" i="34" s="1"/>
  <c r="D61" i="34"/>
  <c r="E61" i="34" s="1"/>
  <c r="D58" i="34"/>
  <c r="E58" i="34" s="1"/>
  <c r="D245" i="34"/>
  <c r="E245" i="34" s="1"/>
  <c r="D226" i="34"/>
  <c r="E226" i="34" s="1"/>
  <c r="D224" i="34"/>
  <c r="E224" i="34" s="1"/>
  <c r="D222" i="34"/>
  <c r="E222" i="34" s="1"/>
  <c r="D219" i="34"/>
  <c r="E219" i="34" s="1"/>
  <c r="D216" i="34"/>
  <c r="E216" i="34" s="1"/>
  <c r="D212" i="34"/>
  <c r="E212" i="34" s="1"/>
  <c r="D206" i="34"/>
  <c r="E206" i="34" s="1"/>
  <c r="D204" i="34"/>
  <c r="E204" i="34" s="1"/>
  <c r="D201" i="34"/>
  <c r="E201" i="34" s="1"/>
  <c r="D198" i="34"/>
  <c r="E198" i="34" s="1"/>
  <c r="D196" i="34"/>
  <c r="E196" i="34" s="1"/>
  <c r="D184" i="34"/>
  <c r="E184" i="34" s="1"/>
  <c r="D174" i="34"/>
  <c r="E174" i="34" s="1"/>
  <c r="D172" i="34"/>
  <c r="E172" i="34" s="1"/>
  <c r="D168" i="34"/>
  <c r="E168" i="34" s="1"/>
  <c r="D164" i="34"/>
  <c r="E164" i="34" s="1"/>
  <c r="D160" i="34"/>
  <c r="E160" i="34" s="1"/>
  <c r="D139" i="34"/>
  <c r="E139" i="34" s="1"/>
  <c r="D136" i="34"/>
  <c r="E136" i="34" s="1"/>
  <c r="D131" i="34"/>
  <c r="E131" i="34" s="1"/>
  <c r="D127" i="34"/>
  <c r="E127" i="34" s="1"/>
  <c r="D123" i="34"/>
  <c r="E123" i="34" s="1"/>
  <c r="D112" i="34"/>
  <c r="E112" i="34" s="1"/>
  <c r="D49" i="34"/>
  <c r="E49" i="34" s="1"/>
  <c r="D46" i="34"/>
  <c r="E46" i="34" s="1"/>
  <c r="D35" i="34"/>
  <c r="E35" i="34" s="1"/>
  <c r="D20" i="34"/>
  <c r="E20" i="34" s="1"/>
  <c r="D12" i="34"/>
  <c r="E12" i="34" s="1"/>
  <c r="D9" i="34"/>
  <c r="E9" i="34" s="1"/>
  <c r="D248" i="34" l="1"/>
  <c r="E248" i="34" s="1"/>
  <c r="D249" i="34"/>
  <c r="E249" i="34" s="1"/>
  <c r="D86" i="34"/>
  <c r="E86" i="34" s="1"/>
  <c r="D93" i="34"/>
  <c r="E93" i="34" s="1"/>
  <c r="D251" i="34"/>
  <c r="E251" i="34" s="1"/>
  <c r="D252" i="34"/>
  <c r="E252" i="34" s="1"/>
  <c r="D8" i="34"/>
  <c r="E8" i="34" s="1"/>
  <c r="D57" i="34"/>
  <c r="E57" i="34" s="1"/>
  <c r="D70" i="34"/>
  <c r="E70" i="34" s="1"/>
  <c r="D110" i="34" l="1"/>
  <c r="E110" i="34" s="1"/>
  <c r="D111" i="34"/>
  <c r="E111" i="34" s="1"/>
  <c r="D7" i="34"/>
  <c r="E7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Maurício Barbosa</author>
  </authors>
  <commentList>
    <comment ref="F173" authorId="0" shapeId="0" xr:uid="{AFFAC3CD-1467-44A4-B43E-1A3401A5D4B0}">
      <text>
        <r>
          <rPr>
            <b/>
            <sz val="9"/>
            <color indexed="81"/>
            <rFont val="Segoe UI"/>
            <family val="2"/>
          </rPr>
          <t>Maurício Barbosa:</t>
        </r>
        <r>
          <rPr>
            <sz val="9"/>
            <color indexed="81"/>
            <rFont val="Segoe UI"/>
            <family val="2"/>
          </rPr>
          <t xml:space="preserve">
Valor a ser debitado na medição da Magalhães.</t>
        </r>
      </text>
    </comment>
    <comment ref="G207" authorId="0" shapeId="0" xr:uid="{BB057C36-84BE-4C24-AE85-034C79087FCA}">
      <text>
        <r>
          <rPr>
            <b/>
            <sz val="9"/>
            <color indexed="81"/>
            <rFont val="Segoe UI"/>
            <family val="2"/>
          </rPr>
          <t>Maurício Barbosa:</t>
        </r>
        <r>
          <rPr>
            <sz val="9"/>
            <color indexed="81"/>
            <rFont val="Segoe UI"/>
            <family val="2"/>
          </rPr>
          <t xml:space="preserve">
Aguardando contrato subir no Sienge.</t>
        </r>
      </text>
    </comment>
    <comment ref="G208" authorId="0" shapeId="0" xr:uid="{228DFF06-4C5F-418F-841D-71A12FE7CFF8}">
      <text>
        <r>
          <rPr>
            <b/>
            <sz val="9"/>
            <color indexed="81"/>
            <rFont val="Segoe UI"/>
            <family val="2"/>
          </rPr>
          <t>Maurício Barbosa:</t>
        </r>
        <r>
          <rPr>
            <sz val="9"/>
            <color indexed="81"/>
            <rFont val="Segoe UI"/>
            <family val="2"/>
          </rPr>
          <t xml:space="preserve">
Aguardando contrato subir no Sienge.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<sst xmlns="http://schemas.openxmlformats.org/spreadsheetml/2006/main" count="4083" uniqueCount="1123">
  <si>
    <t>CÓDIGO</t>
  </si>
  <si>
    <t>DESCRIÇÃO</t>
  </si>
  <si>
    <t>VALOR ORÇADO</t>
  </si>
  <si>
    <t>VALOR COMPROMETIDO</t>
  </si>
  <si>
    <t>SALDO DO COMPROMETIDO</t>
  </si>
  <si>
    <t>VALOR REALIZADO</t>
  </si>
  <si>
    <t>PROJEÇÕES</t>
  </si>
  <si>
    <t>TENDÊNCIA</t>
  </si>
  <si>
    <t>VARIAÇÃO</t>
  </si>
  <si>
    <t>TOTAL OBRA</t>
  </si>
  <si>
    <t>DESPESAS DIRETAS</t>
  </si>
  <si>
    <t>GALPÃO G200</t>
  </si>
  <si>
    <t>PROJETOS E CONSULTORIAS</t>
  </si>
  <si>
    <t>PROJETOS</t>
  </si>
  <si>
    <t>ENSAIOS E CONSULTORIAS</t>
  </si>
  <si>
    <t>TERRAPLENAGEM, CONTENÇÃO E DRENAGEM</t>
  </si>
  <si>
    <t>MOVIMENTO DE TERRA - ESCOPO MÍNIMO</t>
  </si>
  <si>
    <t>MOVIMENTAÇÃO DE TERRA</t>
  </si>
  <si>
    <t>LINHA DE VIDA MOVEL PARA TALUDES</t>
  </si>
  <si>
    <t>HIDROSSEMEADURA</t>
  </si>
  <si>
    <t>CONTENÇÕES</t>
  </si>
  <si>
    <t>ESCAVAÇÃO NO TARDOZ</t>
  </si>
  <si>
    <t>DRENAGEM</t>
  </si>
  <si>
    <t>GALPÃO PRINCIPAL</t>
  </si>
  <si>
    <t>FUNDAÇÃO GALPÃO</t>
  </si>
  <si>
    <t>SUPERESTRUTURA GALPÃO</t>
  </si>
  <si>
    <t>COBERTURA E FECHAMENTO METALICO</t>
  </si>
  <si>
    <t>PISO DE CONCRETO</t>
  </si>
  <si>
    <t>ESQUADRIAS E CAIXILHOS</t>
  </si>
  <si>
    <t>IMPERMEABILIZAÇÃO</t>
  </si>
  <si>
    <t>REVESTIMENTOS</t>
  </si>
  <si>
    <t>FORRO</t>
  </si>
  <si>
    <t>LOUÇAS, METAIS E INSTALAÇÕES DE BANHEIRO</t>
  </si>
  <si>
    <t>SERRALHERIA GALPÃO</t>
  </si>
  <si>
    <t>EQUIPAMENTOS GALPÃO</t>
  </si>
  <si>
    <t>PINTURA GALPÃO</t>
  </si>
  <si>
    <t>LIMPEZA GALPÃO</t>
  </si>
  <si>
    <t>COMUNICAÇÃO VISUAL GALPÃO</t>
  </si>
  <si>
    <t>OUTRAS EDIFICAÇÕES</t>
  </si>
  <si>
    <t>PORTARIA / COBERTURA DA ECLUSA</t>
  </si>
  <si>
    <t>APOIO (VESTIÁRIO + REFEITÓRIO)</t>
  </si>
  <si>
    <t>COBERTURA PEDESTRES</t>
  </si>
  <si>
    <t>APOIO MOTORISTA</t>
  </si>
  <si>
    <t>UTILIDADES</t>
  </si>
  <si>
    <t>SANITÁRIOS EXTERNOS AO GALPÃO</t>
  </si>
  <si>
    <t>PASSARELA DE PEDESTRES / COBERTURA DE ESTACIONAMENTO</t>
  </si>
  <si>
    <t>BICICLETÁRIO</t>
  </si>
  <si>
    <t>LIXO</t>
  </si>
  <si>
    <t>ÁREA DE LAZER</t>
  </si>
  <si>
    <t>ELETRICA, HIDRÁULICA E COMBATE A INCÊNDIO - MEP</t>
  </si>
  <si>
    <t>SISTEMA DE AR CONDICIONADO E EXAUSTÃO</t>
  </si>
  <si>
    <t>SERVIÇOS EXTERNOS</t>
  </si>
  <si>
    <t>PAVIMENTAÇÃO EXTERNA</t>
  </si>
  <si>
    <t>FECHAMENTO PERIMETRAL E PAISAGISMO</t>
  </si>
  <si>
    <t>POÇO ARTESIANO</t>
  </si>
  <si>
    <t>RESERVATÓRIO METÁLICO</t>
  </si>
  <si>
    <t>FUNDAÇÃO PARA RESERVATÓRIO METÁLICO</t>
  </si>
  <si>
    <t>ETE</t>
  </si>
  <si>
    <t>DIVERSOS</t>
  </si>
  <si>
    <t>MEZANINO GERAL</t>
  </si>
  <si>
    <t>PROJETO E CONSULTORIA</t>
  </si>
  <si>
    <t>PROJETO</t>
  </si>
  <si>
    <t>ENSAIO E CONSULTORIA</t>
  </si>
  <si>
    <t>MEZANINO</t>
  </si>
  <si>
    <t>FUNDAÇÃO</t>
  </si>
  <si>
    <t>SUPERESTRUTURA</t>
  </si>
  <si>
    <t>CAPEAMENTO</t>
  </si>
  <si>
    <t>SERRALHERIA</t>
  </si>
  <si>
    <t>PINTURA</t>
  </si>
  <si>
    <t>LIMPEZA</t>
  </si>
  <si>
    <t>INSTALAÇÕES GERAIS</t>
  </si>
  <si>
    <t>ELETRICA, HIDRÁULICA E COMBATE A INCÊNDIO</t>
  </si>
  <si>
    <t>HVAC - GALPÃO E MEZANINO</t>
  </si>
  <si>
    <t>EQUIPAMENTOS</t>
  </si>
  <si>
    <t>EQUIPAMENTO</t>
  </si>
  <si>
    <t>REDES HIDRÁULICAS</t>
  </si>
  <si>
    <t>CAVALETES HIDRÁULICOS E VÁLVULAS</t>
  </si>
  <si>
    <t>REDE HIDRÁULICA</t>
  </si>
  <si>
    <t>REDES ELÉTRICAS</t>
  </si>
  <si>
    <t>QUADROS ELÉTRICOS E AUTOMAÇÃO</t>
  </si>
  <si>
    <t>INTERLIGAÇÕES ELÉTRICAS</t>
  </si>
  <si>
    <t>REDES DE DUTOS E DIFUSÃO</t>
  </si>
  <si>
    <t>REDES DE DUTOS</t>
  </si>
  <si>
    <t>DIFUSÃO</t>
  </si>
  <si>
    <t>SERVIÇOS CIVIS</t>
  </si>
  <si>
    <t>SERVIÇO CIVIL</t>
  </si>
  <si>
    <t>PROJETOS, CQPS E ASBUILT</t>
  </si>
  <si>
    <t>PROJETOS, CQPS E AS BUILT</t>
  </si>
  <si>
    <t>CAPEX</t>
  </si>
  <si>
    <t>CAPEX MELI</t>
  </si>
  <si>
    <t>POÇO E ALVENARIAS PERIFÉRICAS - ELEVADOR</t>
  </si>
  <si>
    <t>ELEVADOR MEZANINO</t>
  </si>
  <si>
    <t>AUMENTO DO LUX DA ÁREA EXTERNA</t>
  </si>
  <si>
    <t>HVAC - COZINHA E REFEITÓRIO</t>
  </si>
  <si>
    <t>CÂMARA FRIA - COZINHA INDUSTRIAL</t>
  </si>
  <si>
    <t>ESPECIFIDADES LYON</t>
  </si>
  <si>
    <t>INCLUSÃO DE JUNTAS EPÓXIS SEMIRRÍGIDAS EM 100% DAS JUNTAS SERRADAS</t>
  </si>
  <si>
    <t>AUMENTO DA LARGURA DA RAMPA DE ACESSO DE EMPILHADEIRA DE 4,00 PARA 5,00 M</t>
  </si>
  <si>
    <t>BOLLARDS DE PROTEÇÃO PARA QUADROS (2 POR QUADRO)</t>
  </si>
  <si>
    <t>MARQUISE DE ENTRADA MELI - TESTEIRA ACM</t>
  </si>
  <si>
    <t>MARQUISE DE ENTRADA MELI - FORRO ACM</t>
  </si>
  <si>
    <t>PASSARELAS DE PEDESTRE/ÔNIBUS - TESTEIRA RAL 5022</t>
  </si>
  <si>
    <t>PASSARELAS DE PEDESTRE/ÔNIBUS - CALHA</t>
  </si>
  <si>
    <t>PASSARELAS DE PEDESTRE/ÔNIBUS - SISTEMA DE DRENAGEM</t>
  </si>
  <si>
    <t>INCLUSÃO DE EXAUSTÃO E INSUFLAMENTO PARA ÁREAS DE UTENSÍLIOS</t>
  </si>
  <si>
    <t>SUBSTITUIÇÃO DA PAVIMENTAÇÃO EXTERNA (VEÍCULOS LEVES E PESADOS) DE INTERTRAVADO PARA CONCRETO</t>
  </si>
  <si>
    <t>DIVISÓRIA EM LONA ENTRE FASES - DIVISÃO FASE 1 E FASE 2</t>
  </si>
  <si>
    <t>DESPESAS INDIRETAS</t>
  </si>
  <si>
    <t>CONDIÇÕES GERAIS</t>
  </si>
  <si>
    <t>CANTEIRO</t>
  </si>
  <si>
    <t>BASE DE OPERACIONAL</t>
  </si>
  <si>
    <t>IMPLANTAÇÃO DE CANTEIRO - ELETRICA</t>
  </si>
  <si>
    <t>GERADOR BACK-UP</t>
  </si>
  <si>
    <t>LOCAÇÃO DE CONTAINER</t>
  </si>
  <si>
    <t>IMPLANTAÇÃO DE CANTEIRO -  HIDRÁULICA</t>
  </si>
  <si>
    <t>IMPLANTAÇÃO DE CANTEIRO - CIVIL</t>
  </si>
  <si>
    <t>LOCAÇÃO DE TOLDO</t>
  </si>
  <si>
    <t>MOBILIARIO</t>
  </si>
  <si>
    <t>LAVA RODAS</t>
  </si>
  <si>
    <t>MANUTENÇÃO DE CANTEIRO</t>
  </si>
  <si>
    <t>SEGURANÇA PATRIMONIAL</t>
  </si>
  <si>
    <t>SEGURANÇA PATRIMONIAL - VIGILÂNCIA</t>
  </si>
  <si>
    <t>MONITORAMENTO TIME LAPSE</t>
  </si>
  <si>
    <t>CÂMERA DE MONITORAMENTO</t>
  </si>
  <si>
    <t>LOCAÇÃO DE VEÍCULOS</t>
  </si>
  <si>
    <t>TRANSPORTE SSA-LSF</t>
  </si>
  <si>
    <t>LOCAÇÃO DE CARRO OBRA</t>
  </si>
  <si>
    <t>GASOLINA CARRO OBRA</t>
  </si>
  <si>
    <t>LOCAÇÃO DE MÁQUINAS</t>
  </si>
  <si>
    <t>LOCAÇÃO DE MUNCK</t>
  </si>
  <si>
    <t>LOCAÇÃO DE BOBCAT</t>
  </si>
  <si>
    <t>LOCAÇÃO DE CAMINHÃO PIPA</t>
  </si>
  <si>
    <t>DIESEL</t>
  </si>
  <si>
    <t>EPC - EQUIPAMENTOS DE PROTEÇÃO COLETIVA</t>
  </si>
  <si>
    <t>GUARDA CORPO</t>
  </si>
  <si>
    <t>EPC GERAL E COMUNICAÇÃO VISUAL</t>
  </si>
  <si>
    <t>MEIO AMBIENTE</t>
  </si>
  <si>
    <t>DESCARTE DOS RESÍDUOS</t>
  </si>
  <si>
    <t>LIMPA FOSSA</t>
  </si>
  <si>
    <t>MONITORAMENTO DE ÁGUA - POÇO E BEBEDOUROS</t>
  </si>
  <si>
    <t>PROGRAMA DE EDUCAÇÃO AMBIENTAL</t>
  </si>
  <si>
    <t>RELATÓRIO DE LAIA</t>
  </si>
  <si>
    <t>BOMBONAS PLÁSTICAS</t>
  </si>
  <si>
    <t>NOVA ESTAÇÃO METEOROLÓGICA</t>
  </si>
  <si>
    <t>PLANO DE EMERGÊNCIA AMBIENTAL</t>
  </si>
  <si>
    <t>PLANO DE GERENCIAMENTO DE RESÍDUOS</t>
  </si>
  <si>
    <t>KIT CONTENÇÃO VAZAMENTO DE ÓLEO</t>
  </si>
  <si>
    <t>MONITORAMENTO DE RUIDO / MATERIAL PARTICULADO</t>
  </si>
  <si>
    <t>DESRATIZAÇÃO</t>
  </si>
  <si>
    <t>BIG BAG</t>
  </si>
  <si>
    <t>PROGRAMA DE CONTROLE DE EMISSÕES ATMOSFÉRICAS</t>
  </si>
  <si>
    <t>PROGRAMA DE CONTROLE DE PROCESSOS EROSIVOS</t>
  </si>
  <si>
    <t>CONJUNTO LIXEIRAS COLETA SELETIVA</t>
  </si>
  <si>
    <t>SEMANA DO MEIO AMBIENTE</t>
  </si>
  <si>
    <t>KIT DE EMERGÊNCIA ANIMAIS PEÇONHENTOS</t>
  </si>
  <si>
    <t>TREINAMENTO DE EMERGÊNCIA AMBIENTAL</t>
  </si>
  <si>
    <t>ESCALA RINGELMANN (TESTE DE FUMAÇA PRETA)</t>
  </si>
  <si>
    <t>CONTAS DE CONSUMO</t>
  </si>
  <si>
    <t>CONTA DE ENERGIA</t>
  </si>
  <si>
    <t>CONTA DE ÁGUA/ESGOTO</t>
  </si>
  <si>
    <t>INTERNET LINK DEDICADO 100MBP</t>
  </si>
  <si>
    <t>CONSUMO DE ESCRITÓRIO</t>
  </si>
  <si>
    <t>MATERIAIS DE COPA E LIMPEZA</t>
  </si>
  <si>
    <t>FUNDO FIXO</t>
  </si>
  <si>
    <t>MATERIAL DE ESCRITORIO</t>
  </si>
  <si>
    <t>AQUISIÇÃO DE MATERIAIS PARA QUALIDADE</t>
  </si>
  <si>
    <t>PGEC - VIAGEM + HOSPEDAGEM</t>
  </si>
  <si>
    <t>PGEC - PROGRAMA</t>
  </si>
  <si>
    <t>AQUISIÇÃO - MATERIAIS PARA QUALIDADE</t>
  </si>
  <si>
    <t>FRETES E CARRETOS</t>
  </si>
  <si>
    <t>FRETE E CARRETO</t>
  </si>
  <si>
    <t>INFORMATICA</t>
  </si>
  <si>
    <t>LOCAÇÃO - IMPRESSORA</t>
  </si>
  <si>
    <t>APOIO TECNICO T.I.</t>
  </si>
  <si>
    <t>SISTEMA - QUALITAB CONSTRUPOINT PRODUTIVO</t>
  </si>
  <si>
    <t>SISTEMA - ZEPP</t>
  </si>
  <si>
    <t>SISTEMA - CONTRUCODE</t>
  </si>
  <si>
    <t>CUSTOS COM TI</t>
  </si>
  <si>
    <t>AQUISIÇÃO DE TABLETS COM CAPA E PELICULA</t>
  </si>
  <si>
    <t>SISTEMA  - DIÁRIO DE OBRA</t>
  </si>
  <si>
    <t>EQUIPAMENTOS DE INFORMÁTICA</t>
  </si>
  <si>
    <t>SEGURANÇA NO TRABALHO</t>
  </si>
  <si>
    <t>SISTEMA SOC</t>
  </si>
  <si>
    <t>LTCAT</t>
  </si>
  <si>
    <t>TREINAMENTOS NR'S</t>
  </si>
  <si>
    <t>CAPACITAÇÃO EQUIPE ST</t>
  </si>
  <si>
    <t>TREINAMENTO SIPAT/ ABRIL VERDE</t>
  </si>
  <si>
    <t>LAUDO DE ATERRAMENTO</t>
  </si>
  <si>
    <t>TREINAMENTO BRIGADA/SIMULADO</t>
  </si>
  <si>
    <t>LAUDO INSALUBRIDADE, PERICULOSIDADE</t>
  </si>
  <si>
    <t>CURSOS E SEMINARIOS SSTMA</t>
  </si>
  <si>
    <t>TREINAMENTO CIPA</t>
  </si>
  <si>
    <t>PGR</t>
  </si>
  <si>
    <t>LOCAÇÃO DE SANITÁRIO QUÍMICO</t>
  </si>
  <si>
    <t>LOCAÇÃO - SANITÁRIO QUÍMICO</t>
  </si>
  <si>
    <t>DESPESAS COM VIAGEM</t>
  </si>
  <si>
    <t>DESPESA COM VIAGEM</t>
  </si>
  <si>
    <t>HOSPEDAGEM</t>
  </si>
  <si>
    <t>RELÓGIO DE PONTO / CATRACA</t>
  </si>
  <si>
    <t>CONTROLE DE ACESSO</t>
  </si>
  <si>
    <t>SISTEMA OPERACIONAL - RELÓGIO DE PONTO</t>
  </si>
  <si>
    <t>BALANÇA RODOVIARIA</t>
  </si>
  <si>
    <t>AQUISIÇÃO E INSTALAÇÃO DE BALANÇA RODOVIÁRIA</t>
  </si>
  <si>
    <t>SAÚDE NO TRABALHO</t>
  </si>
  <si>
    <t>LAUDO ERGONÔMICO</t>
  </si>
  <si>
    <t>AQUISIÇÃO DE MATERIAIS PARA AMBULATÓRIO</t>
  </si>
  <si>
    <t>CAMPANHAS DE SAÚDE</t>
  </si>
  <si>
    <t>PCA E PPR</t>
  </si>
  <si>
    <t>AQUISIÇÃO DE MEDICAMENTOS</t>
  </si>
  <si>
    <t>DESPESAS COM MARKETING</t>
  </si>
  <si>
    <t>VÍDEO FINAL DE OBRA</t>
  </si>
  <si>
    <t>EVENTO INTERNO</t>
  </si>
  <si>
    <t>MANUAL DE USO E OPERAÇÃO</t>
  </si>
  <si>
    <t>BRINDES E CONFRATERNIZAÇÕES</t>
  </si>
  <si>
    <t>EVENTOS (FESTA FIM DE ANO)</t>
  </si>
  <si>
    <t>AÇÕES SOCIAIS (ANIV. DO MÊS / CAP. DESTAQUE / CAFÉ C LIDER)</t>
  </si>
  <si>
    <t>LICENÇAS E TAXAS - PRÉ OBRA</t>
  </si>
  <si>
    <t>ART'S e TAXAS CREA, CAU, CAT</t>
  </si>
  <si>
    <t>ALVARÁS E LICENÇAS</t>
  </si>
  <si>
    <t>PLOTAGENS</t>
  </si>
  <si>
    <t>PLOTAGEM</t>
  </si>
  <si>
    <t>CALIBRAÇÃO DE EQUIPAMENTOS</t>
  </si>
  <si>
    <t>CALIBRAÇÃO</t>
  </si>
  <si>
    <t>CURSOS E TREINAMENTOS</t>
  </si>
  <si>
    <t>CURSOS E TREINAMENTOS DIVERSOS</t>
  </si>
  <si>
    <t>DI COM MÃO DE OBRA</t>
  </si>
  <si>
    <t>ALIMENTAÇÃO</t>
  </si>
  <si>
    <t>LICENÇA MICROSOFT E POWER BI</t>
  </si>
  <si>
    <t>LOCAÇÃO DE NOTEBOOK E TELA</t>
  </si>
  <si>
    <t>EPI E FARDAMENTO</t>
  </si>
  <si>
    <t>AUXÍLIO COMBUSTÍVEL</t>
  </si>
  <si>
    <t>CESTA BÁSICA</t>
  </si>
  <si>
    <t>VALE TRANSPORTE</t>
  </si>
  <si>
    <t>PLANO DE SAÚDE</t>
  </si>
  <si>
    <t>EXAMES</t>
  </si>
  <si>
    <t>RÁDIO</t>
  </si>
  <si>
    <t>APOIO MOBILIZAÇÃO</t>
  </si>
  <si>
    <t>VIAGENS: HOSPEDAGEM + VÔOS + ALIMENTAÇÃO</t>
  </si>
  <si>
    <t>SEGURO DE VIDA</t>
  </si>
  <si>
    <t>CESTA DE NATAL</t>
  </si>
  <si>
    <t>CONTA DE TELEFONE</t>
  </si>
  <si>
    <t>UBER</t>
  </si>
  <si>
    <t>DESPESAS INDIRETAS DE OBRA</t>
  </si>
  <si>
    <t>DESPESAS INDIRETAS DE OBRA, CANTEIRO, INSTALAÇÕES PROVISÓRIAS - FATURAMENTO QPC</t>
  </si>
  <si>
    <t xml:space="preserve">	DESPESAS INDIRETAS DE OBRA - DESEMBOLSO CANTEIRO DE OBRAS</t>
  </si>
  <si>
    <t>DESPESAS COM MOI</t>
  </si>
  <si>
    <t>SALÁRIOS E AJUDA DE CUSTO</t>
  </si>
  <si>
    <t>SALÁRIOS, DISSÍDIO/REAJUSTE E AJUDA DE CUSTO</t>
  </si>
  <si>
    <t>FEE</t>
  </si>
  <si>
    <t>OBRA</t>
  </si>
  <si>
    <t>G200</t>
  </si>
  <si>
    <t>INÍCIO</t>
  </si>
  <si>
    <t>TÉRMINO</t>
  </si>
  <si>
    <t>RESPONSÁVEL</t>
  </si>
  <si>
    <t>SÉRGIO COSTA</t>
  </si>
  <si>
    <t>TOTAIS</t>
  </si>
  <si>
    <t>APROPRIAÇÃO</t>
  </si>
  <si>
    <t>COMPROMETIDO</t>
  </si>
  <si>
    <t>ABATIMENTO DE NFS DE FAT. DIR</t>
  </si>
  <si>
    <t>NOVO COMPROMETIDO</t>
  </si>
  <si>
    <t>NOVO SALDO</t>
  </si>
  <si>
    <t>PROJEÇÃO</t>
  </si>
  <si>
    <t>AJUSTES MANUAIS</t>
  </si>
  <si>
    <t>CONTRATO</t>
  </si>
  <si>
    <t>Instruções:</t>
  </si>
  <si>
    <t>No Sienge (Suprimentos / Contratos e Medições / Relatórios / Contratos / Faturamentos diretos);</t>
  </si>
  <si>
    <t>Obras 152/ Consultar / Gerar relatório excel;</t>
  </si>
  <si>
    <t>Observação:</t>
  </si>
  <si>
    <t>Esta planilha serva para a aba "analítico" não duplicar os custos, ou seja, para não associar as notas como uma nova contratação e estourar um saldo já contratado.</t>
  </si>
  <si>
    <t>TOTAL</t>
  </si>
  <si>
    <t>PEDIDO</t>
  </si>
  <si>
    <t>CREDOR</t>
  </si>
  <si>
    <t>VALOR</t>
  </si>
  <si>
    <t>VÍNCULO DE FATURAMENTO DIRETO</t>
  </si>
  <si>
    <t>SOLUCAO TOLDOS EIRELI</t>
  </si>
  <si>
    <t>HIDRO LOGICA CONSULTORIA E TREINAMENTO LTDA</t>
  </si>
  <si>
    <t>A J S SOUZA SERVICOS GRAFICOS</t>
  </si>
  <si>
    <t>HD MORENO - COMÉRCIO E SERVIÇOS METALURGICOS EIRELI</t>
  </si>
  <si>
    <t>PARATEC - PARA RAIOS E ACESSORIOS LTDA</t>
  </si>
  <si>
    <t>GENERAL WIRING DO BRASIL INDUSTRIA E COMERCIO EIRELI</t>
  </si>
  <si>
    <t>FORTLEV INDUSTRIA E COMERCIO DE PLASTICOS LTDA</t>
  </si>
  <si>
    <t>ANTONIO CARDOSO MARTINS</t>
  </si>
  <si>
    <t>ADUANA COMERCIO DE GEOSSINTETICOS LTDA</t>
  </si>
  <si>
    <t>GERACAO E ENERGIA SERVICOS E COMERCIO LTDA</t>
  </si>
  <si>
    <t>BAHIATECH MATERIAIS ELETRICOS LTDA</t>
  </si>
  <si>
    <t>TRAPICHE MINERACAO LTDA</t>
  </si>
  <si>
    <t>TERRAM ENGENHARIA DE INFRAESTRUTURA LTDA</t>
  </si>
  <si>
    <t>FORTPEL COMERCIO DE DESCARTAVEIS LTDA</t>
  </si>
  <si>
    <t>MARTINS E SILVA COMERCIO DE MERCADORIAS LTDA</t>
  </si>
  <si>
    <t>CABOS E LAMPADAS COMERCIO DE MATERIAS ELETRICOS DE ALTA E BAIXA TENSAO EIRELI</t>
  </si>
  <si>
    <t>ELIZABETH CIMENTOS S/A</t>
  </si>
  <si>
    <t>ALBERTO JOSE DOS SANTOS</t>
  </si>
  <si>
    <t>F &amp; S MATERIAIS DE CONSTRUCAO EIRELI</t>
  </si>
  <si>
    <t>A &amp; A FERRAGEM LTDA</t>
  </si>
  <si>
    <t>TRANSPOL - DERIVADOS DE PETROLEO LTDA</t>
  </si>
  <si>
    <t>CLSF/200-3-015</t>
  </si>
  <si>
    <t>TRANSPORTADORA DE DIESEL CAVALO MARINHO LTDA</t>
  </si>
  <si>
    <t>PEDREIRAS CARANGI LTDA</t>
  </si>
  <si>
    <t>LESSA EVENTOS LTDA</t>
  </si>
  <si>
    <t>LITORAL TINTAS COMERCIO MATERIAIS DE CONSTRUCAO EIRELI</t>
  </si>
  <si>
    <t>MIX MADEIREIRA LTDA</t>
  </si>
  <si>
    <t>VISUALCOR IMPRESSOES E COPIAS LTDA</t>
  </si>
  <si>
    <t>LIGUE COMERCIO DE GEOSSINTETICOS LTDA</t>
  </si>
  <si>
    <t>BMD TEXTEIS LTDA</t>
  </si>
  <si>
    <t>MACCAFERRI DO BRASIL LTDA</t>
  </si>
  <si>
    <t>MACCAFERRI SKAPS INDUSTRIA E COMERCIO DE ARTEFATOS PLASTICOS LTDA</t>
  </si>
  <si>
    <t>OMEGA FERRAMENTAS E MAQUINAS LTDA</t>
  </si>
  <si>
    <t>QUALYSAN LOCACAO DE BENS MOVEIS EIRELI</t>
  </si>
  <si>
    <t>FABRICK - FABRICACAO DE PRE MOLDADOS S.A.</t>
  </si>
  <si>
    <t>ATACADAO DO PAPEL LTDA</t>
  </si>
  <si>
    <t>HILARIO DE SANTANA MOREIRA EIRELI</t>
  </si>
  <si>
    <t>BIOFUTURO ENGENHARIA E SOLUCOES AMBIENTAIS EIRELI</t>
  </si>
  <si>
    <t>ZERO71 MADEIREIRA LTDA</t>
  </si>
  <si>
    <t>ESCOPO DO CONTRATO</t>
  </si>
  <si>
    <t>CLSF/200-3-000</t>
  </si>
  <si>
    <t>QPC ENGENHARIA LTDA</t>
  </si>
  <si>
    <t>EXECUÇÃO DO PMG</t>
  </si>
  <si>
    <t>CLSF/200-3-001</t>
  </si>
  <si>
    <t>DPE ARQUITETURA E ENGENHARIA S/S</t>
  </si>
  <si>
    <t>PROJETO DE INSTALAÇÕES</t>
  </si>
  <si>
    <t>CLSF/200-3-002</t>
  </si>
  <si>
    <t>ARQUITETURA JAPI PROJETOS E CONSULTORIA EIRELI</t>
  </si>
  <si>
    <t>PROJETO DE ARQUITETURA</t>
  </si>
  <si>
    <t>CLSF/200-3-003</t>
  </si>
  <si>
    <t>DO VAL ENGENHARIA CONSULTIVA SOCIEDADE SIMPLES</t>
  </si>
  <si>
    <t>CQP FUNDAÇÃO E CONTENÇÃO</t>
  </si>
  <si>
    <t>CLSF/200-3-004</t>
  </si>
  <si>
    <t>LPE ENGENHARIA E CONSULTORIA LTDA</t>
  </si>
  <si>
    <t>PROJETO DE PISO DE CONCRETO</t>
  </si>
  <si>
    <t>CLSF/200-3-005</t>
  </si>
  <si>
    <t>T.T.C. ENGENHARIA DE TRAFEGO E DE TRANSPORTES LTDA</t>
  </si>
  <si>
    <t>PROJETO DE SINALIZAÇÃO VIÁRIA</t>
  </si>
  <si>
    <t>CLSF/200-3-006</t>
  </si>
  <si>
    <t>REV1 PROJETOS INTEGRADOS LTDA</t>
  </si>
  <si>
    <t>PROJETO DE EPC</t>
  </si>
  <si>
    <t>CLSF/200-3-007</t>
  </si>
  <si>
    <t>NUCLEORA PLANEJAMENTO, ASSESSORIA E DESENVOLVIMENTO COMERCIAL LTDA</t>
  </si>
  <si>
    <t>PROJETO DE COZINHA INDUSTRIAL</t>
  </si>
  <si>
    <t>CLSF/200-3-008</t>
  </si>
  <si>
    <t>KAIZ ENGENHARIA LTDA</t>
  </si>
  <si>
    <t>CQP PRÉ FABRICADO</t>
  </si>
  <si>
    <t>CLSF/200-3-009</t>
  </si>
  <si>
    <t>PROJETOS ESTRUTURAS DE CONCRETO (IN-LOCO) E ALVENARIAS</t>
  </si>
  <si>
    <t>CLSF/200-3-010</t>
  </si>
  <si>
    <t>VENDRAMINI ENGENHARIA LTDA</t>
  </si>
  <si>
    <t>PROJETO DE ESTRUTURAS PRÉ-FABRICADAS DE CONCRETO</t>
  </si>
  <si>
    <t>CLSF/200-3-011</t>
  </si>
  <si>
    <t>PROJETO DE FUNDAÇÃO PROFUNDA - GALPÃO</t>
  </si>
  <si>
    <t>CLSF/200-3-012</t>
  </si>
  <si>
    <t>GEOTECHNIQUE CONSULTORIA E ENGENHARIA LTDA</t>
  </si>
  <si>
    <t>PROJETO DE TERRAPLANAGEM / FUNDAÇÃO/ DRENAGEM / CONTENÇÃO</t>
  </si>
  <si>
    <t>CLSF/200-3-013</t>
  </si>
  <si>
    <t>CQP METÁLICA</t>
  </si>
  <si>
    <t>CLSF/200-3-014</t>
  </si>
  <si>
    <t>LCL GEOTECNIA E SONDAGEM LTDA</t>
  </si>
  <si>
    <t>CONTROLE TECNOLÓGICO DE SOLOS</t>
  </si>
  <si>
    <t>MAGALHAES JUNIOR LOCACAO E SERVICOS LTDA</t>
  </si>
  <si>
    <t>TERRAPLENAGEM</t>
  </si>
  <si>
    <t>CLSF/200-3-016</t>
  </si>
  <si>
    <t>GEO2 ENGENHARIA LTDA</t>
  </si>
  <si>
    <t>TOPOGRAFIA</t>
  </si>
  <si>
    <t>CLSF/200-3-017</t>
  </si>
  <si>
    <t>LOCAÇÃO DE BANHEIRO QUÍMICO</t>
  </si>
  <si>
    <t>CLSF/200-3-018</t>
  </si>
  <si>
    <t>FF INFRA E ENGENHARIA LTDA</t>
  </si>
  <si>
    <t>LIGAÇÃO DE ENERGIA PROVISÓRIA</t>
  </si>
  <si>
    <t>CLSF/200-3-019</t>
  </si>
  <si>
    <t>AQUAGEO PROJETOS E PERFURACOES LTDA</t>
  </si>
  <si>
    <t>CLSF/200-3-022</t>
  </si>
  <si>
    <t>SOLOBAHIA ENGENHARIA E TECNOLOGIA LTDA</t>
  </si>
  <si>
    <t>SONDAGENS</t>
  </si>
  <si>
    <t>CLSF/200-3-023</t>
  </si>
  <si>
    <t>CLSF/200-3-024</t>
  </si>
  <si>
    <t>BOME EMPREENDIMENTOS E SERVICOS LTDA</t>
  </si>
  <si>
    <t>CLSF/200-3-025</t>
  </si>
  <si>
    <t>LEONARDO SANTOS GONCALVES PRODUCAO E SOLUCOES EM VIDEOS</t>
  </si>
  <si>
    <t>TIME LAPSE</t>
  </si>
  <si>
    <t>CLSF/200-3-026</t>
  </si>
  <si>
    <t>SOFTCOMP COMERCIO SERVICOS TELECOMUNICACOES E INFORMATICA EIRELI</t>
  </si>
  <si>
    <t>LOCAÇÃO DE RÁDIOS</t>
  </si>
  <si>
    <t>CLSF/200-3-027</t>
  </si>
  <si>
    <t>AMARAL GERENCIAMENTO DE RESIDUOS LTDA</t>
  </si>
  <si>
    <t>DESTINAÇÃO DE RESÍDUOS</t>
  </si>
  <si>
    <t>CLSF/200-3-028</t>
  </si>
  <si>
    <t>ETE- ELETROMECÂNICA</t>
  </si>
  <si>
    <t>CLSF/200-3-029</t>
  </si>
  <si>
    <t>TRANSDADOS INTERNET LTDA</t>
  </si>
  <si>
    <t>INTERNET</t>
  </si>
  <si>
    <t>CLSF/200-3-030</t>
  </si>
  <si>
    <t>LC ADIA - LOCACAO DE VEICULOS LTDA</t>
  </si>
  <si>
    <t>TRANSPORTE DE FUNCIONÁRIOS</t>
  </si>
  <si>
    <t>Romaneio</t>
  </si>
  <si>
    <t>Apropriação</t>
  </si>
  <si>
    <t>Nota fiscal</t>
  </si>
  <si>
    <t>Tipo de nota (Material I Serviço)</t>
  </si>
  <si>
    <t>Data de emissão</t>
  </si>
  <si>
    <t>CNPJ</t>
  </si>
  <si>
    <t>Credor</t>
  </si>
  <si>
    <t>Valor bruto</t>
  </si>
  <si>
    <t>Imposto</t>
  </si>
  <si>
    <t>Retenção</t>
  </si>
  <si>
    <t>Desconto de adiantamento</t>
  </si>
  <si>
    <t>Juros e multas</t>
  </si>
  <si>
    <t>Valor líquido</t>
  </si>
  <si>
    <t>Data efetiva de pagamento</t>
  </si>
  <si>
    <t>Contrato I Pedido apropriado</t>
  </si>
  <si>
    <t>0002</t>
  </si>
  <si>
    <t>Recibo 01 - Adiantamento</t>
  </si>
  <si>
    <t>37.292.522/0001-14</t>
  </si>
  <si>
    <t xml:space="preserve">QPC ENGENHARIA LTDA </t>
  </si>
  <si>
    <t>0003</t>
  </si>
  <si>
    <t>Recibo 02 - Adiantamento</t>
  </si>
  <si>
    <t>0005</t>
  </si>
  <si>
    <t>61.597.415/0001-89</t>
  </si>
  <si>
    <t>04.692.016/0001-63</t>
  </si>
  <si>
    <t>DO VAL ENGENHARIA CONSULTORIA SOCIEDADE SIMPLES</t>
  </si>
  <si>
    <t>65.978.504/0001-26</t>
  </si>
  <si>
    <t>24.955.005/0001-36</t>
  </si>
  <si>
    <t>ARQUITETURA JAPI PROJETOS E CONSULTORIA LTDA</t>
  </si>
  <si>
    <t>28.254.497/0001-93</t>
  </si>
  <si>
    <t>71.729.438/0001-53</t>
  </si>
  <si>
    <t>40.610.677/0001-66</t>
  </si>
  <si>
    <t>28.649.696/0001-09</t>
  </si>
  <si>
    <t>0006</t>
  </si>
  <si>
    <t>Recibo - Adiantamento</t>
  </si>
  <si>
    <t>05.009.846/0001-06</t>
  </si>
  <si>
    <t>0008</t>
  </si>
  <si>
    <t>47.872.355/0001-34</t>
  </si>
  <si>
    <t>14.205.923/0001-94</t>
  </si>
  <si>
    <t>AJS SOUZA SERVIÇOS GRAFICOS</t>
  </si>
  <si>
    <t>52.150.027/0001-64</t>
  </si>
  <si>
    <t>54.290.200/0001-55</t>
  </si>
  <si>
    <t>TERRAM ENGENHARIA DE INFRAESTRURA S/A</t>
  </si>
  <si>
    <t>OBSERVAÇÕES</t>
  </si>
  <si>
    <t>SUBESTAÇÃO 69KV</t>
  </si>
  <si>
    <t>SERVIÇOS DIRETOS</t>
  </si>
  <si>
    <t>CONSTRUÇÃO SUBESTAÇÃO DE 69 | ENTREGUE 1 TRAFO DE 10MVA</t>
  </si>
  <si>
    <t>LINHA DE DISTRIBUIÇÃO 69 KV COTEGIPE - CAMAÇARI - SEC SIMÕES FILHO</t>
  </si>
  <si>
    <t>BDI</t>
  </si>
  <si>
    <t>CLSF/200-3-100</t>
  </si>
  <si>
    <t>0004</t>
  </si>
  <si>
    <r>
      <rPr>
        <b/>
        <sz val="10"/>
        <rFont val="Montserrat"/>
        <family val="3"/>
      </rPr>
      <t>CONTENÇÃO 2 – REPORT SEMANAL DE CUSTOS - DETALHAMENTO</t>
    </r>
    <r>
      <rPr>
        <sz val="10"/>
        <rFont val="Montserrat"/>
        <family val="3"/>
      </rPr>
      <t xml:space="preserve">
Data de Emissão: 06/01/2026
Versão: 00</t>
    </r>
  </si>
  <si>
    <t>Código</t>
  </si>
  <si>
    <t>Descrição</t>
  </si>
  <si>
    <t>Valor Orçado</t>
  </si>
  <si>
    <t>Valor Comprometido</t>
  </si>
  <si>
    <t>Saldo do Comprometido</t>
  </si>
  <si>
    <t>Valor Realizado</t>
  </si>
  <si>
    <t>Valor Realizado (INTERNO)</t>
  </si>
  <si>
    <t>Projeções</t>
  </si>
  <si>
    <t>Tendência</t>
  </si>
  <si>
    <t>Variação</t>
  </si>
  <si>
    <t>CUSTO TOTAL</t>
  </si>
  <si>
    <t>DESPESAS INDIRETAS E COM MÃO DE OBRA</t>
  </si>
  <si>
    <t>CONTROLE TECNOLÓGICO DE CONCRETO</t>
  </si>
  <si>
    <t>LOCAÇÃO DE VEÍCULO</t>
  </si>
  <si>
    <t>LOCAÇÃO SANITÁRIO QUÍMICO</t>
  </si>
  <si>
    <t>LOCAÇÃO TORRE DE ILUMINAÇÃO</t>
  </si>
  <si>
    <t>LOCAÇÃO DE GERADOR</t>
  </si>
  <si>
    <t>GASOLINA - CARRO OBRA</t>
  </si>
  <si>
    <t>SONDAGEM</t>
  </si>
  <si>
    <t>TAC - TRANSPETRO</t>
  </si>
  <si>
    <t>CUSTO COM SALÁRIO, HORA EXTRA, AJUDA DE CUSTO E DESPESAS INDIRETAS DA MO</t>
  </si>
  <si>
    <t>DESPESAS INDIRETAS COM MÃO DE OBRA</t>
  </si>
  <si>
    <t>CUSTO COM SALÁRIO, HORA EXTRA E AJUDA DE CUSTO</t>
  </si>
  <si>
    <t>MO INDIRETA</t>
  </si>
  <si>
    <t>MO DIRETA</t>
  </si>
  <si>
    <t>CORTINA ATIRANTADA</t>
  </si>
  <si>
    <t>PAVIMENTAÇÃO</t>
  </si>
  <si>
    <t>EXECUÇÃO DE ESTACA HÉLICE</t>
  </si>
  <si>
    <t>AÇO (HÉLICE, MURO, VIGA,  LAJE E GRADIL)</t>
  </si>
  <si>
    <t>CONCRETO (HÉLICE, MURO, VIGA,  LAJE E GRADIL)</t>
  </si>
  <si>
    <t>FORMA</t>
  </si>
  <si>
    <t>ESCORAMENTO</t>
  </si>
  <si>
    <t>GRADIL</t>
  </si>
  <si>
    <t>SINALIZAÇÃO</t>
  </si>
  <si>
    <t>CAMADA VEGETAL</t>
  </si>
  <si>
    <t>AGLOMERANTES</t>
  </si>
  <si>
    <t>LOCAÇÃO DE EQUIPAMENTOS</t>
  </si>
  <si>
    <t>ESCAVADEIRA</t>
  </si>
  <si>
    <t>RETROESCAVADEIRA</t>
  </si>
  <si>
    <t>MUNCK</t>
  </si>
  <si>
    <t>CAMINHÃO BASCULANTE</t>
  </si>
  <si>
    <t>COMPACTADOR A PERCURSSÃO</t>
  </si>
  <si>
    <t>ITEM</t>
  </si>
  <si>
    <t>ORÇAMENTO EXECUTIVO</t>
  </si>
  <si>
    <t>REALIZADO</t>
  </si>
  <si>
    <t>REALIZADO
(INTERNO)</t>
  </si>
  <si>
    <t>IDC</t>
  </si>
  <si>
    <t>CUSTO POR M² (TENDÊNCIA)</t>
  </si>
  <si>
    <t>CUSTOS DIRETOS</t>
  </si>
  <si>
    <t>MÃO DE OBRA DIRETA</t>
  </si>
  <si>
    <t>MÃO DE OBRA INDIRETA</t>
  </si>
  <si>
    <t>CONTENÇÃO 2 - G100</t>
  </si>
  <si>
    <t>ROBERTO CAVALCANTI</t>
  </si>
  <si>
    <t>CUSTO INICIAL - REV00</t>
  </si>
  <si>
    <t>CUSTO INICIAL - REV01</t>
  </si>
  <si>
    <t>VIGA METÁLICA TRAVAMENTO (MATERIAL E BENEFICIAMENTO)</t>
  </si>
  <si>
    <t>PEDIDOS NÃO PREVISTOS</t>
  </si>
  <si>
    <t>OBS</t>
  </si>
  <si>
    <t>STATUS</t>
  </si>
  <si>
    <t>CARPETE PARA LPU</t>
  </si>
  <si>
    <t>PERDA</t>
  </si>
  <si>
    <t>ADITIVO ADM</t>
  </si>
  <si>
    <t>PENDENTE ADITIVO</t>
  </si>
  <si>
    <t>MATERIAIS SERÃO DESCONTADOS NA MEDIÇÃO DA MUNDIAL</t>
  </si>
  <si>
    <t>ACOMPANHAR</t>
  </si>
  <si>
    <t>CHAPA PARA COBERTURA DE TUBULAÇÃO</t>
  </si>
  <si>
    <t>TELHA ZINCADA PARA COBERTURA</t>
  </si>
  <si>
    <t>2</t>
  </si>
  <si>
    <t>OM ALTERAÇÕES ADM - BA02</t>
  </si>
  <si>
    <t>ESQUADRIAS</t>
  </si>
  <si>
    <t>ADM - ESQUADRIAS DE VIDRO, ACESSÓRIOS, SERRALHERIA E PORTAS CORTA FOGO</t>
  </si>
  <si>
    <t>Caixilho em vidro fixo temperado 8 mm temperado | CAVALÃO (PERFIL U) 2,5CM | PINTURA ELETROSTÁTICA BRANCO;</t>
  </si>
  <si>
    <t>m²</t>
  </si>
  <si>
    <t>Fornecimento e instalação Guarda-corpo metálico tubular conforme projeto;</t>
  </si>
  <si>
    <t>UND</t>
  </si>
  <si>
    <t>ADM - EXECUÇÃO DE PAREDE, FECHAMENTOS E FORRO EM DRY-WALL</t>
  </si>
  <si>
    <t>Forro do CPD, UPS, Monitoramento (313)</t>
  </si>
  <si>
    <t>vb</t>
  </si>
  <si>
    <t>Lã de Rocha para Preenchimento das Divisórias (CPD, UPS e Monitoramento) (331)</t>
  </si>
  <si>
    <t>Instalação de Telha Metálica (CPD, UPS e Monitoramento) (347)</t>
  </si>
  <si>
    <t>Envelopamento de Treliça (372)</t>
  </si>
  <si>
    <t>Sanca em Gesso Acartonado Liso + Estrutura de Fixação (386)</t>
  </si>
  <si>
    <t>Estrutura Auxiliar em Steel Frame com Treliças e Pilares (396)</t>
  </si>
  <si>
    <t>Fixação da Porta Retratil (370)</t>
  </si>
  <si>
    <t>Mão de Obra - Instalaçã ode Reforço na Esfera (374)</t>
  </si>
  <si>
    <t>Aplicação de Reforço (402)</t>
  </si>
  <si>
    <t>Desmontagem da Estrutura Metálica de Suportação</t>
  </si>
  <si>
    <t>Execução Estrutura Auxiliar (316)</t>
  </si>
  <si>
    <t>Reforço e Modificação Altura do Forro (324)</t>
  </si>
  <si>
    <t>INSTALAÇÕES</t>
  </si>
  <si>
    <t>ADM - INSTALAÇÕES ELÉTRICAS</t>
  </si>
  <si>
    <t>Alterações Instalaões Elétricas e Hidráulcias</t>
  </si>
  <si>
    <t>Acréscimo de Custo Instalações</t>
  </si>
  <si>
    <t>REBOCO</t>
  </si>
  <si>
    <t>ADM - PINTURA</t>
  </si>
  <si>
    <t>Reboco</t>
  </si>
  <si>
    <t>Aplicação de Selador</t>
  </si>
  <si>
    <t xml:space="preserve">Pintura Acrílica </t>
  </si>
  <si>
    <t>Andaimes</t>
  </si>
  <si>
    <t>SUPRESSÃO DE ESCOPO</t>
  </si>
  <si>
    <t>Forro Metálico - Exclusão</t>
  </si>
  <si>
    <t>ADM - EQUIPAMENTOS E MOBILIARIOS</t>
  </si>
  <si>
    <t>Marcenaria Apoio Motorista</t>
  </si>
  <si>
    <t>CHAPA METÁLICA</t>
  </si>
  <si>
    <t xml:space="preserve">Chapa Metálica </t>
  </si>
  <si>
    <t>m</t>
  </si>
  <si>
    <t>RELOCAÇÃO DE BOOSTERS - BA02</t>
  </si>
  <si>
    <t>RELOCAÇÃO</t>
  </si>
  <si>
    <t>RELOCAÇÃO DE BOOSTERS</t>
  </si>
  <si>
    <t xml:space="preserve">RELOCAÇÃO DE BOOSTERS </t>
  </si>
  <si>
    <t>ESTRUTURA AUXILIAR PARA SUPORTAÇÃO</t>
  </si>
  <si>
    <t>SEGURO DE ENGENHARIA + RESP. CIVIL</t>
  </si>
  <si>
    <t>SEGUROS</t>
  </si>
  <si>
    <t>ADITIVO ELÉTRICA - BA02</t>
  </si>
  <si>
    <t>INSTALAÇÕES ELÉTRICAS</t>
  </si>
  <si>
    <t/>
  </si>
  <si>
    <t>IE - INSTALAÇÕES ELÉTRICAS</t>
  </si>
  <si>
    <t>INSTALAÇÕES ELÉTRICAS - ADITIVO</t>
  </si>
  <si>
    <t>INSTALAÇÕES ELÉTRICAS - ADITIVO ARTEMP 2</t>
  </si>
  <si>
    <t>SEGUROS RC+RE</t>
  </si>
  <si>
    <t>ADEQUAÇÕES DE INCÊNDIOS - BA02</t>
  </si>
  <si>
    <t>PCI - INSTALAÇÕES</t>
  </si>
  <si>
    <t>SEGURO</t>
  </si>
  <si>
    <t>SEGURO de riscos de engenharia para danos acidentais ocorridos durante o período da obra</t>
  </si>
  <si>
    <t>PINTURA DE PISO</t>
  </si>
  <si>
    <t>PCI - PINTURA DE PISO</t>
  </si>
  <si>
    <t>Pintura de sinalização de piso</t>
  </si>
  <si>
    <t>Remoção de pintura de sinalização de piso</t>
  </si>
  <si>
    <t xml:space="preserve">Caminhão Pipa </t>
  </si>
  <si>
    <t xml:space="preserve">ESTRUTURA AUXILIAR </t>
  </si>
  <si>
    <t>PCI - ESTRUTURA AUXILIAR</t>
  </si>
  <si>
    <t xml:space="preserve">Estrutura Auxiliar </t>
  </si>
  <si>
    <t>ARTEMP INSTALAÇÕES</t>
  </si>
  <si>
    <t>OK</t>
  </si>
  <si>
    <t>DRYTECH</t>
  </si>
  <si>
    <t>QUANTA</t>
  </si>
  <si>
    <t>ARAMITA</t>
  </si>
  <si>
    <t>MDN</t>
  </si>
  <si>
    <t>POSSÍVEL CUSTO COM REFORÇO DAS PAREDES</t>
  </si>
  <si>
    <t>TECNOPORTAS</t>
  </si>
  <si>
    <t>ARTEMP TÉRMICA</t>
  </si>
  <si>
    <t>ALUTEC</t>
  </si>
  <si>
    <t>PORMADE</t>
  </si>
  <si>
    <t>SOTEC</t>
  </si>
  <si>
    <t>MUNDIAL</t>
  </si>
  <si>
    <t>NECESSIDADE DE FUNDO SELADOR, QUE NÃO ESTAVA ORÇADO.</t>
  </si>
  <si>
    <t>SAARA LOCACAO DE TENDAS EIRELI</t>
  </si>
  <si>
    <t>ELETRICA NOVA BAHIA COMERCIO DE MATERIAIS ELETRICOS LTDA</t>
  </si>
  <si>
    <t>CLSF/200-3-020</t>
  </si>
  <si>
    <t xml:space="preserve">ELABORAÇÃO DE PROJETO(S) PARA INSTALAÇÕES DE HVAC </t>
  </si>
  <si>
    <t>SPM ENGENHARIA SOCIEDADE SIMPLES LTDA.</t>
  </si>
  <si>
    <t>CLSF/200-3-021</t>
  </si>
  <si>
    <t xml:space="preserve">ANÁLISE DINÂMICA DOS FLUIDOS COMPUTACIONAL DO PROJETO DE HVAC </t>
  </si>
  <si>
    <t>CLSF/200-3-031</t>
  </si>
  <si>
    <t>KOPRON DO BRASIL COMERCIO E INDUSTRIA DE EQUIPAMENTOS DE LOGISTICA LTDA</t>
  </si>
  <si>
    <t>FORNECIMENTO E INSTALAÇÃO DAS PORTAS SECCIONAIS E NIVELADORAS DE DOCA</t>
  </si>
  <si>
    <t>CLSF/200-3-035</t>
  </si>
  <si>
    <t>LOCAÇÃO DE IMPRESSORA</t>
  </si>
  <si>
    <t>CLSF/200-3-036</t>
  </si>
  <si>
    <t>THYSSENKRUPP ELEVADORES AS</t>
  </si>
  <si>
    <t>CLSF/200-3-037</t>
  </si>
  <si>
    <t>CONSULTORIA TÉCNICA COMPREENDENDO ELABORAÇÃO DO CONTROLE DE QUALIDADE DOS PROJETOS DE FUNDAÇÕES</t>
  </si>
  <si>
    <t>0009</t>
  </si>
  <si>
    <t>0010</t>
  </si>
  <si>
    <t>12.341.222/0001-57</t>
  </si>
  <si>
    <t>13.529.482/0001-13</t>
  </si>
  <si>
    <t>14.689.756/0001-02</t>
  </si>
  <si>
    <t>ENTEL COMERCIO E SERVICOS LTDA</t>
  </si>
  <si>
    <t>WEG EQUIPAMENTOS ELETRICOS S/A</t>
  </si>
  <si>
    <t>VALOR À CONSIDERAR</t>
  </si>
  <si>
    <t xml:space="preserve">Título </t>
  </si>
  <si>
    <t>90331/1</t>
  </si>
  <si>
    <t>34.846.377/0001-88</t>
  </si>
  <si>
    <t>90.347.840/0001-18</t>
  </si>
  <si>
    <t xml:space="preserve"> 13.299.597/0001-69</t>
  </si>
  <si>
    <t>05.493.638/0001-25</t>
  </si>
  <si>
    <t>07.130.889/0001-70</t>
  </si>
  <si>
    <t>58.535.231/0001-80</t>
  </si>
  <si>
    <t>07.806.488/0001-98</t>
  </si>
  <si>
    <t>10.921.911/0001-05</t>
  </si>
  <si>
    <t>03.292.008/0001-67</t>
  </si>
  <si>
    <t xml:space="preserve">Data de vencimento </t>
  </si>
  <si>
    <t>Serviço</t>
  </si>
  <si>
    <t>91535/1</t>
  </si>
  <si>
    <t>90185/1</t>
  </si>
  <si>
    <t>Recibo - Adiantamento 1</t>
  </si>
  <si>
    <t>Título</t>
  </si>
  <si>
    <t xml:space="preserve">Adiantamento </t>
  </si>
  <si>
    <t>BMC FABRICACAO DE PRE-MOLDADOS DE CONCRETO E COMERCIO LTDA</t>
  </si>
  <si>
    <t>VEDAMAX INDUSTRIA LTDA</t>
  </si>
  <si>
    <t>BAHIA CONTAINERS LOCACAO E COMERCIO EIRELI</t>
  </si>
  <si>
    <t>GARDENIA NEDER CARNEIRO LANDIN</t>
  </si>
  <si>
    <t>CATUMBI TELAS METALICAS LTDA</t>
  </si>
  <si>
    <t>PPC/26511</t>
  </si>
  <si>
    <t>PPC/26418</t>
  </si>
  <si>
    <t>PPC/26680</t>
  </si>
  <si>
    <t>PPC/26926</t>
  </si>
  <si>
    <t>PPC/26929</t>
  </si>
  <si>
    <t>PPC/26877</t>
  </si>
  <si>
    <t>PPC/26833</t>
  </si>
  <si>
    <t>PPC/26993</t>
  </si>
  <si>
    <t>PPC/26618</t>
  </si>
  <si>
    <t>PPC/27440</t>
  </si>
  <si>
    <t>PPC/25660</t>
  </si>
  <si>
    <t>PPC/27045</t>
  </si>
  <si>
    <t>PPC/26565</t>
  </si>
  <si>
    <t>PPC/26837</t>
  </si>
  <si>
    <t>PPC/26564</t>
  </si>
  <si>
    <t>PPC/26562</t>
  </si>
  <si>
    <t>PPC/26969</t>
  </si>
  <si>
    <t>PPC/26595</t>
  </si>
  <si>
    <t xml:space="preserve">OBS.: Os romaneios 01 e 07 serão desconsiderados </t>
  </si>
  <si>
    <t>0011</t>
  </si>
  <si>
    <t>DESCRIÇÃO DA EAP</t>
  </si>
  <si>
    <t xml:space="preserve">DESCRIÇÃO DA EAP </t>
  </si>
  <si>
    <t>PPC/27203</t>
  </si>
  <si>
    <t>PPC/26526</t>
  </si>
  <si>
    <t>PPC/26527</t>
  </si>
  <si>
    <t>PPC/26557</t>
  </si>
  <si>
    <t>PPC/26652</t>
  </si>
  <si>
    <t>PPC/26904</t>
  </si>
  <si>
    <t>PPC/26916</t>
  </si>
  <si>
    <t>PPC/26921</t>
  </si>
  <si>
    <t>PPC/26922</t>
  </si>
  <si>
    <t>PPC/26925</t>
  </si>
  <si>
    <t>PPC/26936</t>
  </si>
  <si>
    <t>PPC/26949</t>
  </si>
  <si>
    <t>PPC/27039</t>
  </si>
  <si>
    <t>PPC/27093</t>
  </si>
  <si>
    <t>PPC/27094</t>
  </si>
  <si>
    <t>PPC/27095</t>
  </si>
  <si>
    <t>PPC/27127</t>
  </si>
  <si>
    <t>PPC/27148</t>
  </si>
  <si>
    <t>PPC/27178</t>
  </si>
  <si>
    <t>PPC/27179</t>
  </si>
  <si>
    <t>PPC/27180</t>
  </si>
  <si>
    <t>PPC/27188</t>
  </si>
  <si>
    <t>PPC/27292</t>
  </si>
  <si>
    <t>PPC/27307</t>
  </si>
  <si>
    <t>PPC/27315</t>
  </si>
  <si>
    <t>PPC/27356</t>
  </si>
  <si>
    <t>PPC/27366</t>
  </si>
  <si>
    <t>PPC/27367</t>
  </si>
  <si>
    <t>PPC/27368</t>
  </si>
  <si>
    <t>PPC/27381</t>
  </si>
  <si>
    <t>PPC/27387</t>
  </si>
  <si>
    <t>PPC/27395</t>
  </si>
  <si>
    <t>PPC/27396</t>
  </si>
  <si>
    <t>PPC/27406</t>
  </si>
  <si>
    <t>PPC/27418</t>
  </si>
  <si>
    <t>PPC/27430</t>
  </si>
  <si>
    <t>PPC/27444</t>
  </si>
  <si>
    <t>PPC/27477</t>
  </si>
  <si>
    <t>PPC/27484</t>
  </si>
  <si>
    <t xml:space="preserve">Data efetiva de Pagamento </t>
  </si>
  <si>
    <t>07.175.725/0030-02</t>
  </si>
  <si>
    <t>0012</t>
  </si>
  <si>
    <t>PPC/27562</t>
  </si>
  <si>
    <t>FORMATO TRANSPORTES LTDA</t>
  </si>
  <si>
    <t>PPC/27563</t>
  </si>
  <si>
    <t>PPC/27567</t>
  </si>
  <si>
    <t>PPC/27570</t>
  </si>
  <si>
    <t>SETTA INDUSTRIA ELETRICA LTDA</t>
  </si>
  <si>
    <t>TUPER S/A</t>
  </si>
  <si>
    <t>PPC/27574</t>
  </si>
  <si>
    <t>PPC/27578</t>
  </si>
  <si>
    <t>M ANDRADE MAQUINAS E EQUIPAMENTOS EIRELI</t>
  </si>
  <si>
    <t>PPC/27591</t>
  </si>
  <si>
    <t>FERROPRONTO LTDA</t>
  </si>
  <si>
    <t>PPC/27608</t>
  </si>
  <si>
    <t>PPC/27630</t>
  </si>
  <si>
    <t>CL COMERCIO E SERVICOS DE EQUIPAMENTOS ELETRICOS LTDA</t>
  </si>
  <si>
    <t>PPC/27631</t>
  </si>
  <si>
    <t>COBREMACK INDUSTRIA DE CONDUTORES ELETRICOS EIRELI</t>
  </si>
  <si>
    <t>PPC/27632</t>
  </si>
  <si>
    <t>PPC/27633</t>
  </si>
  <si>
    <t>ELETROPOLL ELETRODUTOS METALICOS LTDA</t>
  </si>
  <si>
    <t>PPC/27634</t>
  </si>
  <si>
    <t>INDUSTRIA DE TRANSFORMADORES ITAIPU LTDA</t>
  </si>
  <si>
    <t>PPC/27635</t>
  </si>
  <si>
    <t>LOGICA PERFIL INDUSTRIA E COMERCIO LTDA</t>
  </si>
  <si>
    <t>PPC/27636</t>
  </si>
  <si>
    <t>MT COMERCIAL ELETRICA LTDA</t>
  </si>
  <si>
    <t>PPC/27637</t>
  </si>
  <si>
    <t>INTERNATIONAL INDUSTRIA AUTOMOTIVA DA AMERICA DO SUL LTDA.</t>
  </si>
  <si>
    <t>PPC/27638</t>
  </si>
  <si>
    <t>CLSF/200-3-038</t>
  </si>
  <si>
    <t>SOTEC FABRICACAO DE ESTRUTURAS METALICAS E SERVICOS LTDA</t>
  </si>
  <si>
    <t>FORNECIEMNTO E INSTALAÇÕES DE SERRALHERIAS</t>
  </si>
  <si>
    <t>CLSF/200-3-039</t>
  </si>
  <si>
    <t>CLSF/200-3-040</t>
  </si>
  <si>
    <t>ELEVADOR</t>
  </si>
  <si>
    <t>VOC ENGENHARIA E CONSTRUCAO LTDA</t>
  </si>
  <si>
    <t>ACOMPANHAMENTO TÉCNICO DE OBRAS (ATO) PARA O SERVIÇO DE TERRAPLENAGEM, DRENAGEM E PAVIMENTAÇÃO.</t>
  </si>
  <si>
    <t>FORNECIMENTO DE MÃO DE OBRA</t>
  </si>
  <si>
    <t>CLSF/200-3-041</t>
  </si>
  <si>
    <t>DIPAWA NORDESTE INDÚSTRIA COMÉRCIO E CONSTRUTORA LTDA</t>
  </si>
  <si>
    <t>FORNECIMENTO E INSTALAÇÃO DE RESERVATÓRIOS METÁLICOS</t>
  </si>
  <si>
    <t>PPC/27483</t>
  </si>
  <si>
    <t>ARCELORMITTAL BRASIL S.A.</t>
  </si>
  <si>
    <t>92916/1</t>
  </si>
  <si>
    <t>17.469.701/0001-77</t>
  </si>
  <si>
    <t>PPC/27641</t>
  </si>
  <si>
    <t>PPC/27642</t>
  </si>
  <si>
    <t>PPC/27673</t>
  </si>
  <si>
    <t>ANKARI COMERCIAL DE TINTAS LTDA</t>
  </si>
  <si>
    <t>PPC/27683</t>
  </si>
  <si>
    <t>T &amp; A CONSTRUCAO PRE-FABRICADA S/A</t>
  </si>
  <si>
    <t>ROTULA METALURGICA LTDA</t>
  </si>
  <si>
    <t>ARTEMP ENGENHARIA DE INSTALAÇÕES LTDA</t>
  </si>
  <si>
    <t>Descrição da EAP</t>
  </si>
  <si>
    <t>32.617.659/0001 - 88</t>
  </si>
  <si>
    <t>LAEROMEC - SOLUCOES EM ENGENHARIA LTDA</t>
  </si>
  <si>
    <t xml:space="preserve"> 05/05/2026</t>
  </si>
  <si>
    <t>0013</t>
  </si>
  <si>
    <t>01.000.129/0001 - 62</t>
  </si>
  <si>
    <t>PPC/27693</t>
  </si>
  <si>
    <t>PROTEFIL PROTECAO E FERRAMENTAS INDUSTRIAIS LTDA</t>
  </si>
  <si>
    <t>PPC/27706</t>
  </si>
  <si>
    <t>RV DAMASCENO COMERCIO E DISTRIBUICAO DE MATERIAIS DE CONSTRUCAO EIRELI</t>
  </si>
  <si>
    <t>PPC/27737</t>
  </si>
  <si>
    <t>CRUZETAS E MADEIRAS VENTUROLI LTDA</t>
  </si>
  <si>
    <t>CLSF/200-3-033</t>
  </si>
  <si>
    <t>CLSF/200-3-034</t>
  </si>
  <si>
    <t>CLSF/200-3-032</t>
  </si>
  <si>
    <t>PROJETO E EXECUÇÃO DE ESTRUTURAS METÁLICAS.</t>
  </si>
  <si>
    <t>FORNECIMENTO DE MATERIAIS, EQUIPAMENTOS E MÃO DE OBRA ESPECIALIZADA DE EXECUÇÃO DAS INSTALAÇÕES ELÉTRICAS, INSTALAÇÕES HIDROSSANITÁRIAS, DE SEGURANÇA CONTRA INCÊNDIO, E DE INFRAESTRUTURA SECA PARA INSTALAÇÕES ELETRÔNICAS PARA O GALPÃO G-200.</t>
  </si>
  <si>
    <t>CLSF/200-3-042</t>
  </si>
  <si>
    <t>ARTEMP ENGENHARIA TERMICA LTDA</t>
  </si>
  <si>
    <t>0014</t>
  </si>
  <si>
    <t>10.354.589/0001-80</t>
  </si>
  <si>
    <t>Aprovação</t>
  </si>
  <si>
    <t>50.364.288/0001-51</t>
  </si>
  <si>
    <t>03.772.834/0001-03</t>
  </si>
  <si>
    <t>26.011.548/0001-20</t>
  </si>
  <si>
    <t>33.831.108/0001-85</t>
  </si>
  <si>
    <t>BOME EMPREENDIMENTOS E SERVIÇOS LTDA</t>
  </si>
  <si>
    <t>56.994.417/0001-71</t>
  </si>
  <si>
    <t xml:space="preserve">ARCELORMITTAL BRASIL S.A. </t>
  </si>
  <si>
    <t>Esta planilha serva para a aba "analítico" não duplicar os custos, ou seja, para não associar as notas como uma nova contratação e estourar um saldo já contratado. Não preencher a coluna "F" com absolutamente nenhum caracter se não for vinculado a um contrato</t>
  </si>
  <si>
    <t>Líquido + imposto</t>
  </si>
  <si>
    <t>34.129.420/0001-94</t>
  </si>
  <si>
    <t>26.473.203/0001-99</t>
  </si>
  <si>
    <t>11.976.959/0001-83</t>
  </si>
  <si>
    <t>25.319.662/0001-50</t>
  </si>
  <si>
    <t>CABOS &amp; LAMPADAS</t>
  </si>
  <si>
    <t>LITORAL TINTAS COMERCIO MATERIAIS DE CONTRUÇÃO</t>
  </si>
  <si>
    <t>MIX MADEIREIRA LTDA - ME</t>
  </si>
  <si>
    <t>NF MATERIAL</t>
  </si>
  <si>
    <t>10.235.085/0001-40</t>
  </si>
  <si>
    <t>NF SERVIÇO</t>
  </si>
  <si>
    <t>Devolução/Desconto</t>
  </si>
  <si>
    <t>FABRICK - FABRICAÇÃO DE PRE MOLDADOS S.A.</t>
  </si>
  <si>
    <t>LAEROMEC SOLUCOES EM ENGENHARIA LTDA</t>
  </si>
  <si>
    <t>ENTEL COMERCIO E SERVIÇOS LTDA</t>
  </si>
  <si>
    <t>KOPRON DO BRASIL COMERCIO E INDUSTRIA DE EQUIPAMENTOS</t>
  </si>
  <si>
    <t>SPM ENGENHARIA SOCIEDADE SIMPLES LTDA</t>
  </si>
  <si>
    <t>BIOFUTURO SOLUCOES AMBIENTAIS LTDA</t>
  </si>
  <si>
    <t>T&amp;A CONSTRUÇÃO PRE-FABRICADA S.A</t>
  </si>
  <si>
    <t>23.289.189/0001-80</t>
  </si>
  <si>
    <t>13.198.559/0001-10</t>
  </si>
  <si>
    <t>07.014.198/0001-01</t>
  </si>
  <si>
    <t>23.010.251/0001-52</t>
  </si>
  <si>
    <t>13.745.542/0001-35</t>
  </si>
  <si>
    <t>10.251.329/0001-89</t>
  </si>
  <si>
    <t>32.617.659/0001-88</t>
  </si>
  <si>
    <t>93.711.133/0001-57</t>
  </si>
  <si>
    <t>41.278.127/0001-54</t>
  </si>
  <si>
    <t>02.091.250/0001-00</t>
  </si>
  <si>
    <t>01.301.612/0005-00</t>
  </si>
  <si>
    <t>ADIANTAMENTO | FATURAMENTO FUTURO</t>
  </si>
  <si>
    <t>EQUALIZAÇÃO ARTEMP TÉRMICA - APROXIMAÇÃO SIENGE</t>
  </si>
  <si>
    <t>ADIANTAMENTO | SINAL</t>
  </si>
  <si>
    <t>0003-G200-2025</t>
  </si>
  <si>
    <t>SOLOBAHIA ENGENHARIA E TECNOLOGIA LTDA - EPP</t>
  </si>
  <si>
    <t>10.235.085-0001-40</t>
  </si>
  <si>
    <t>0004-G200-2025</t>
  </si>
  <si>
    <t>ADIANTAMENTO</t>
  </si>
  <si>
    <t>SEM ROMANEIO-G200-2025</t>
  </si>
  <si>
    <t>PPC/27778</t>
  </si>
  <si>
    <t>PPC/27779</t>
  </si>
  <si>
    <t>TERWAL MAQUINAS LTDA</t>
  </si>
  <si>
    <t>PPC/27780</t>
  </si>
  <si>
    <t>TW MANUTENÇÃO E AUTOMAÇÃO INDUSTRIAL LTDA.</t>
  </si>
  <si>
    <t>PPC/27782</t>
  </si>
  <si>
    <t>MUBEC INDUSTRIA E COMERCIO LTDA</t>
  </si>
  <si>
    <t>PPC/27783</t>
  </si>
  <si>
    <t>PL - INDUSTRIA METALURGICA LTDA</t>
  </si>
  <si>
    <t>PPC/27798</t>
  </si>
  <si>
    <t>AMC COMERCIAL AGRICOLA LTDA</t>
  </si>
  <si>
    <t>PPC/27803</t>
  </si>
  <si>
    <t>BRASIL METAL INDUSTRIA METALICA LTDA</t>
  </si>
  <si>
    <t>PPC/27813</t>
  </si>
  <si>
    <t>ROCA SANITARIOS BRASIL LTDA</t>
  </si>
  <si>
    <t>PPC/27815</t>
  </si>
  <si>
    <t>DOCOL METAIS SANITARIOS LTDA</t>
  </si>
  <si>
    <t>INSTALAÇÕES GERAIS - GALPÃO</t>
  </si>
  <si>
    <t>0015</t>
  </si>
  <si>
    <t>RÓTULA METALURGICA LTDA</t>
  </si>
  <si>
    <t>33.871.336/0002-60</t>
  </si>
  <si>
    <t>15.638.181/0001-53</t>
  </si>
  <si>
    <t>0016</t>
  </si>
  <si>
    <t>60.013.306/0001-04</t>
  </si>
  <si>
    <t>09.254.454/0001-63</t>
  </si>
  <si>
    <t>CLSF/ 200-3-039</t>
  </si>
  <si>
    <t>ARTEMP ENGENHARIA TÉRMICA LTDA</t>
  </si>
  <si>
    <t>14.100.265/0001-76</t>
  </si>
  <si>
    <t>PROJETO E EXECUÇÃO DE PRÉ-FABRICADOS COMO PILARES, CONSOLES, VIGAS, LAJES, PAINÉIS DE FACHADAS, SAPATAS, MUROS E NIVELADORAS.</t>
  </si>
  <si>
    <t>0017</t>
  </si>
  <si>
    <t>ELETRICA BAHIANA COM &amp; IMP MAT ELET LTDA</t>
  </si>
  <si>
    <t>VEDAMAX INDUSTRIAL LTDA</t>
  </si>
  <si>
    <t>SOLUÇÃO TOLDOS</t>
  </si>
  <si>
    <t>37.366.988/0001-17</t>
  </si>
  <si>
    <t>43.505.539/0001-05</t>
  </si>
  <si>
    <t>13.299.597/0001-69</t>
  </si>
  <si>
    <t>GEO2</t>
  </si>
  <si>
    <t>LCL</t>
  </si>
  <si>
    <t>MAGALHÃES</t>
  </si>
  <si>
    <t>PPC/27890</t>
  </si>
  <si>
    <t>MAQFILTROS SOLUCOES EM AGUA LTDA</t>
  </si>
  <si>
    <t>PPC/27923</t>
  </si>
  <si>
    <t>PWS BRASIL COMERCIAL EIRELI</t>
  </si>
  <si>
    <t>PPC/27924</t>
  </si>
  <si>
    <t>ASPERBRAS TUBOS E CONEXOES LTDA</t>
  </si>
  <si>
    <t>PPC/27931</t>
  </si>
  <si>
    <t>PPC/27937</t>
  </si>
  <si>
    <t>PPC/27974</t>
  </si>
  <si>
    <t>ISOPUR ISOLANTES TERMICOS E ACUSTICOS EIRELI</t>
  </si>
  <si>
    <t>PPC/27978</t>
  </si>
  <si>
    <t>PPC/27980</t>
  </si>
  <si>
    <t>PPC/27981</t>
  </si>
  <si>
    <t>PPC/27982</t>
  </si>
  <si>
    <t>BRUMAKE COMERCIAL E SERVICOS LTDA</t>
  </si>
  <si>
    <t xml:space="preserve">FATURAMENTO DIRETO </t>
  </si>
  <si>
    <t xml:space="preserve">FATURAMENTO CREDOR </t>
  </si>
  <si>
    <t xml:space="preserve">VRL. CONTRATO SIENGE </t>
  </si>
  <si>
    <t xml:space="preserve">VLR. CONTRATO JURÍDICO </t>
  </si>
  <si>
    <t>CHECK</t>
  </si>
  <si>
    <t>CT-LSFG200-047</t>
  </si>
  <si>
    <t>CAME DO BRASIL INDUSTRIA, IMP. EXP, COMERCIO E SERVIÇOS DE 
AUTOMAÇÃO LTDA.</t>
  </si>
  <si>
    <t>EXECUÇÃO DE TORNIQUETES, TOTEM, CANCELAS 4 MTS COM LEDS, SEMÁFOROS, BOLLARDS AUTOMÁTICOS</t>
  </si>
  <si>
    <t>M ANDRADE MAQUINAS E EQUIPAMENTOS LTDA</t>
  </si>
  <si>
    <t>THYSSENKRUPP ELEVADORES SA</t>
  </si>
  <si>
    <t>AQUAGEO PROJETOS E PERFURACOES LTDA.</t>
  </si>
  <si>
    <t>03.156.784/0001-30</t>
  </si>
  <si>
    <t>02.541.661/0001-50</t>
  </si>
  <si>
    <t>90.347.840/0010-09</t>
  </si>
  <si>
    <t>34.117.523/0001-34</t>
  </si>
  <si>
    <t>FATURA</t>
  </si>
  <si>
    <t>0018</t>
  </si>
  <si>
    <t>PPC/28031</t>
  </si>
  <si>
    <t>FIRE BRASIL COMERCIO E SERVICOS LTDA</t>
  </si>
  <si>
    <t>ELETRICA BAHIANA COMERCIO E IMPORTACAO DE MAT ELET LTDA</t>
  </si>
  <si>
    <t>PPC/28034</t>
  </si>
  <si>
    <t>PPC/28036</t>
  </si>
  <si>
    <t>PPC/28054</t>
  </si>
  <si>
    <t>OLIVEIRA INDUSTRIA DE PRE-MOLDADOS LTDA</t>
  </si>
  <si>
    <t>PPC/28058</t>
  </si>
  <si>
    <t>PEDREIRAS OMACIL COMERCIO E INDUSTRIA LTDA</t>
  </si>
  <si>
    <t>PPC/28074</t>
  </si>
  <si>
    <t>TM HIDRO SERVICOS DE PREPARACAO DE TERRENOS E 
TERRAPLANAGEM LTDA.</t>
  </si>
  <si>
    <t xml:space="preserve">REGULARIZAÇÃO, NIVELAMENTO DAS IRREGULARIDADES NAS ÁREAS DOS TALUDES </t>
  </si>
  <si>
    <t>PPC/28076</t>
  </si>
  <si>
    <t>PPC/28087</t>
  </si>
  <si>
    <t>PHLIMP VAREJISTA DE ARTIGOS DE LIMPEZA EIRELI</t>
  </si>
  <si>
    <t>PPC/28088</t>
  </si>
  <si>
    <t>PPC/28089</t>
  </si>
  <si>
    <t>AGTC GUINDAUTO E TRANSPORTES</t>
  </si>
  <si>
    <t>LC ADIA LOCACAO DE VEICULOS LTDA</t>
  </si>
  <si>
    <t>SOFTCOMP COMERCIO SERVICOS TELECOM. E INFO. EIRELI</t>
  </si>
  <si>
    <t>00.881.464/0001-54</t>
  </si>
  <si>
    <t>10.761.603/0001-60</t>
  </si>
  <si>
    <t>02.326.628/0001-07</t>
  </si>
  <si>
    <t>01.246.485/0001-60</t>
  </si>
  <si>
    <t>0019</t>
  </si>
  <si>
    <t>DACTE</t>
  </si>
  <si>
    <t>ATUALIZAR AQUI</t>
  </si>
  <si>
    <t>SALDO</t>
  </si>
  <si>
    <t>PREVISÃO</t>
  </si>
  <si>
    <t>OBSERVAÇÃO</t>
  </si>
  <si>
    <t>PREVISÃO - EQUALIZAÇÃO DO CONTRATO T&amp;A</t>
  </si>
  <si>
    <t>PREVISÃO - GANHO DE CONTRATAÇÃO KOPRON</t>
  </si>
  <si>
    <t>PREVISÃO - GANHO DE CONTRATAÇÃO ARTEMP INSTALAÇÕES</t>
  </si>
  <si>
    <t>PREVISÃO - PREVISTO A VENDA DO POÇO E MENOR PERFURAÇÃO CONTRATO AQUAGEO</t>
  </si>
  <si>
    <t>PREVISÃO - GANHO DE CONTRATAÇÃO DIPAWA</t>
  </si>
  <si>
    <t>PREVISÃO - GANHO DE CONTRATAÇÃO SOTEC</t>
  </si>
  <si>
    <t>PREVISÃO - GANHO DE CONTRATAÇÃO ARTEMP TÉRMICA</t>
  </si>
  <si>
    <t>GANHO DE CONTRATAÇÃO THYSSENKRUPP</t>
  </si>
  <si>
    <t>AGUARDANDO TRATATIVA COM O CONDOMÍNIO DO MELI</t>
  </si>
  <si>
    <t>PPC/28112</t>
  </si>
  <si>
    <t xml:space="preserve">FATURADO CREDOR </t>
  </si>
  <si>
    <t xml:space="preserve">PPC/27093 </t>
  </si>
  <si>
    <t>Contrato - FD</t>
  </si>
  <si>
    <t>SEM CONTRATO</t>
  </si>
  <si>
    <t>PPC/26950</t>
  </si>
  <si>
    <t>PPC/28147</t>
  </si>
  <si>
    <t>ASSUNCAO DISTRIBUIDORA LTDA</t>
  </si>
  <si>
    <t>CLSF/200-3-048</t>
  </si>
  <si>
    <t>CLSF/200-3-043</t>
  </si>
  <si>
    <t>NEOSONDA ENGENHARIA LTDA</t>
  </si>
  <si>
    <t xml:space="preserve">EXECUÇÃO DE FUNDAÇÃO EM ESTACA RAIZ PARA ETE </t>
  </si>
  <si>
    <t>PPC/28158</t>
  </si>
  <si>
    <t>ARMAC LOCACAO, LOGISTICA E SERVICOS S.A.</t>
  </si>
  <si>
    <t>PPC/28183</t>
  </si>
  <si>
    <t>PPC/28184</t>
  </si>
  <si>
    <t>PPC/28193</t>
  </si>
  <si>
    <t>ANGOLINI E ANGOLINI LTDA</t>
  </si>
  <si>
    <t>PPC/28156</t>
  </si>
  <si>
    <t>PPC/28205</t>
  </si>
  <si>
    <t>PPC/28207</t>
  </si>
  <si>
    <t>HM COMERCIAL DE FERRAGENS E CONEXOES ESPECIAIS LTDA</t>
  </si>
  <si>
    <t>0020</t>
  </si>
  <si>
    <t>OM-01</t>
  </si>
  <si>
    <t>OM-02</t>
  </si>
  <si>
    <t>OM-03</t>
  </si>
  <si>
    <t>Versão: 00</t>
  </si>
  <si>
    <t>DETALHAMENTO</t>
  </si>
  <si>
    <t>Data de Emissão: 12/05/26</t>
  </si>
  <si>
    <t>ORDENS DE MUDANÇA</t>
  </si>
  <si>
    <t>OM 01 - EVENTOS GEOPOLÍTICOS EUA &amp; IRÃ</t>
  </si>
  <si>
    <t>OM 02 - ÍNDICES PLUVIOMÉTRICOS</t>
  </si>
  <si>
    <t>OM 03 - REGULARIZAÇÃO DO LICENCIAMENTO AMBIENTAL</t>
  </si>
  <si>
    <t>PPC/28223</t>
  </si>
  <si>
    <t>PPC/28233</t>
  </si>
  <si>
    <t>PPC/28234</t>
  </si>
  <si>
    <t>PPC/28235</t>
  </si>
  <si>
    <t>PPC/28237</t>
  </si>
  <si>
    <t>TRIUNFO MATERIAL DE CONSTRUCAO LTDA</t>
  </si>
  <si>
    <t>março</t>
  </si>
  <si>
    <t>abril</t>
  </si>
  <si>
    <t>maio</t>
  </si>
  <si>
    <t>MÊS</t>
  </si>
  <si>
    <t>Abril</t>
  </si>
  <si>
    <t>Maio</t>
  </si>
  <si>
    <t>Fev</t>
  </si>
  <si>
    <t>Mar</t>
  </si>
  <si>
    <t>BASE SIENGE</t>
  </si>
  <si>
    <t>PPC/28251</t>
  </si>
  <si>
    <t>TRANSPECO TRANSPORTES LTDA</t>
  </si>
  <si>
    <t>FORNECIMENTO DE MATERIAIS, EQUIPAMENTOS E MÃO DE OBRA ESPECIALIZADA DE EXECUÇÃO DOS SISTEMAS DE AR-CONDICIONADO EM EXPANSÃO INDIRETA COM ÁGUA GELADA, ATENDENDO AS EXIGÊNCIAS ACORDADAS EM PROPOSTA COMERCIAL PARA O GALPÃO G-200.</t>
  </si>
  <si>
    <t>TGEO SERVICOS DE ENGENHARIA E GEOLOGIA LTDA</t>
  </si>
  <si>
    <t xml:space="preserve">SONDAGEM ROTATIVA E A PERCUSSÃO </t>
  </si>
  <si>
    <t>BEM TE VI COMERCIO DE MADEIRA LTDA</t>
  </si>
  <si>
    <t>ELIZABETH CIMENTOS LTDA</t>
  </si>
  <si>
    <t>57.662.580/0001-08</t>
  </si>
  <si>
    <t>12.186.380/0003-41</t>
  </si>
  <si>
    <t>0021</t>
  </si>
  <si>
    <t xml:space="preserve">PPC/26904 </t>
  </si>
  <si>
    <t>PPC/28268</t>
  </si>
  <si>
    <t>PPC/28293</t>
  </si>
  <si>
    <t>FIBRA AMBIENTAL E ENGENHARIA EIRELI</t>
  </si>
  <si>
    <t>SECUR-COMERCIAL IMPORTADORA E EXPORTADORA LTDA</t>
  </si>
  <si>
    <t>CLSF/200-3-044</t>
  </si>
  <si>
    <t>PRESOTTO SERVICOS DE ENGENHARIA LTDA</t>
  </si>
  <si>
    <t xml:space="preserve">COMISSIONAMENTO E RELATÓRIO DE CONFORMIDADE </t>
  </si>
  <si>
    <r>
      <rPr>
        <b/>
        <sz val="11"/>
        <rFont val="Montserrat"/>
        <family val="3"/>
      </rPr>
      <t>ACOMPANHAMENTO FINANCEIRO</t>
    </r>
    <r>
      <rPr>
        <sz val="11"/>
        <rFont val="Montserrat"/>
        <family val="3"/>
      </rPr>
      <t xml:space="preserve">
</t>
    </r>
  </si>
  <si>
    <r>
      <rPr>
        <b/>
        <sz val="11"/>
        <rFont val="Montserrat"/>
        <family val="3"/>
      </rPr>
      <t>G200 – REPORT SEMANAL DE CUSTOS - DETALHAMENTO</t>
    </r>
    <r>
      <rPr>
        <sz val="11"/>
        <rFont val="Montserrat"/>
        <family val="3"/>
      </rPr>
      <t xml:space="preserve">
Data de Emissão: 30/01/2026
Versão: 00</t>
    </r>
  </si>
  <si>
    <t>PPC/28309</t>
  </si>
  <si>
    <t>PPC/28328</t>
  </si>
  <si>
    <t>PPC/28358</t>
  </si>
  <si>
    <t>PPC/28359</t>
  </si>
  <si>
    <t>CT-LSFG200-058.26</t>
  </si>
  <si>
    <t>PPC/28364</t>
  </si>
  <si>
    <t>PPC/28366</t>
  </si>
  <si>
    <t>PPC/28376</t>
  </si>
  <si>
    <t>PPC/28377</t>
  </si>
  <si>
    <t>ATACADO 68 COMERCIO ATACADISTA DE MATERIAIS ELETRICOS</t>
  </si>
  <si>
    <t>PPC/28384</t>
  </si>
  <si>
    <t>SEQUOIA MADEIREIRA LTDA</t>
  </si>
  <si>
    <t>PS COMUNICACAO VISUAL LTDA</t>
  </si>
  <si>
    <t>PPC/28414</t>
  </si>
  <si>
    <t>CLSF/200-3-045</t>
  </si>
  <si>
    <t>CLSF/200-3-046</t>
  </si>
  <si>
    <t>CLSF/200-3-052</t>
  </si>
  <si>
    <t>MÃO DE-OBRA PARA MANUTENÇÃO E INSTALAÇÕES DO CANTEIRO DE OBRAS</t>
  </si>
  <si>
    <t>CLSF/200-3-054</t>
  </si>
  <si>
    <t>CLSF/200-3-055</t>
  </si>
  <si>
    <t>MÃO-DE-OBRA PARA ATENDIMENTO ÀS ATIVIDADES DE OPERAÇÃO, SERVIÇOS DE LIMPEZA E MANUTENÇÃO VIÁRIA</t>
  </si>
  <si>
    <t>MÃO DE OBRA PARA ATENDIMENTO ÀS ATIVIDADES OPERACIONAIS EM CAMPO, RELACIONADAS À ORIENTAÇÃO DA MOVIMENTAÇÃO DE EQUIPAMENTOS E VEÍCULOS</t>
  </si>
  <si>
    <t>02.495.199/0001-00</t>
  </si>
  <si>
    <t>0022</t>
  </si>
  <si>
    <t>PPC/28424</t>
  </si>
  <si>
    <t>PPC/28423</t>
  </si>
  <si>
    <t>SH FORMAS ANDAIMES E ESCORAMENTOS LTDA</t>
  </si>
  <si>
    <t>PPC/28443</t>
  </si>
  <si>
    <t>PPC/28444</t>
  </si>
  <si>
    <t>L S OLIVEIRA TRANSPORTES</t>
  </si>
  <si>
    <t>CLSF/200-3-053</t>
  </si>
  <si>
    <t>SERVIÇOS COMO CAMINHOS DE ACESSO, LINHA DE VIDA, ORGANIZAÇÃO DE BAIAS E PONTOS DE APOIO</t>
  </si>
  <si>
    <t>COBREMACK INDUSTRIA DE CONDUTORES ELETRICOS LIMITADA</t>
  </si>
  <si>
    <t>M.T MÉDIA TENSÃO</t>
  </si>
  <si>
    <t>PWS BRASIL COMERCIAL LTDA</t>
  </si>
  <si>
    <t>DIPAWA NORDESTE INDUSTRIA, COMERCIO E CONSTRUTORA LTDA</t>
  </si>
  <si>
    <t>TW MAN. E AUTOMAÇÃO INDUSTRIAL</t>
  </si>
  <si>
    <t>DOCOL INDUSTRIA E COMERCIO LTDA</t>
  </si>
  <si>
    <t>11.065.453/0001-12</t>
  </si>
  <si>
    <t>54.343.853/0001-55</t>
  </si>
  <si>
    <t>11.908.607/0001-90</t>
  </si>
  <si>
    <t>12.275.858/0001-48</t>
  </si>
  <si>
    <t>02.120.460/0001-89</t>
  </si>
  <si>
    <t>81.315.426/0028-56</t>
  </si>
  <si>
    <t>05.276.528/0001-01</t>
  </si>
  <si>
    <t>46.958.948/0001-55</t>
  </si>
  <si>
    <t>11.609.786/0001-65</t>
  </si>
  <si>
    <t>75.339.051/0001-41</t>
  </si>
  <si>
    <t>15.103.070/0001-42</t>
  </si>
  <si>
    <t>03.585.741/0001-70</t>
  </si>
  <si>
    <t>0023</t>
  </si>
  <si>
    <t>FATURAMENTO DIRETO A SER DEBITADO DA PRÓXIMA MEDIÇÃO DA MAGALHÃES</t>
  </si>
  <si>
    <t>MWM - TUPY DO BRASIL LTDA</t>
  </si>
  <si>
    <t>BEDATEC COMERCIO E LOCACOES DE CONTAINNERS EIRELI</t>
  </si>
  <si>
    <t>WEG EQUIPAMENTOS E LOGÍSTICA LTDA</t>
  </si>
  <si>
    <t>02.162.259/0007-50</t>
  </si>
  <si>
    <t>13.727.240/0001-34</t>
  </si>
  <si>
    <t>05.435.048/0001-46</t>
  </si>
  <si>
    <t>65.978.887/0001-32</t>
  </si>
  <si>
    <t>43.091.764/0001-42</t>
  </si>
  <si>
    <t>81.315.426/0001-36</t>
  </si>
  <si>
    <t>07.175.725/0014-84</t>
  </si>
  <si>
    <t>01.159.496/0001-03</t>
  </si>
  <si>
    <t>0024</t>
  </si>
  <si>
    <t xml:space="preserve">PPC/27430 </t>
  </si>
  <si>
    <t>PPC/28289</t>
  </si>
  <si>
    <t>PPC/28504</t>
  </si>
  <si>
    <t>Pedido apropriado</t>
  </si>
  <si>
    <t>Contrato apropriado</t>
  </si>
  <si>
    <t>CLSF/200-3-051</t>
  </si>
  <si>
    <t>IMPLANTAÇÃO DE SUBESTAÇÃO DE AT SE / AT 69-13,8 KV – 25/33 MVA.</t>
  </si>
  <si>
    <t>ABR</t>
  </si>
  <si>
    <t>CT-LSFG200-000</t>
  </si>
  <si>
    <t>CT-LSFG200-001</t>
  </si>
  <si>
    <t>CT-LSFG200-002</t>
  </si>
  <si>
    <t>CT-LSFG200-003</t>
  </si>
  <si>
    <t>CT-LSFG200-004</t>
  </si>
  <si>
    <t>CT-LSFG200-005</t>
  </si>
  <si>
    <t>CT-LSFG200-006</t>
  </si>
  <si>
    <t>CT-LSFG200-007</t>
  </si>
  <si>
    <t>CT-LSFG200-008</t>
  </si>
  <si>
    <t>CT-LSFG200-009</t>
  </si>
  <si>
    <t>CT-LSFG200-010</t>
  </si>
  <si>
    <t>CT-LSFG200-011</t>
  </si>
  <si>
    <t>CT-LSFG200-012</t>
  </si>
  <si>
    <t>CT-LSFG200-013</t>
  </si>
  <si>
    <t>CT-LSFG200-014</t>
  </si>
  <si>
    <t>CT-LSFG200-015</t>
  </si>
  <si>
    <t>CT-LSFG200-016</t>
  </si>
  <si>
    <t>CT-LSFG200-017</t>
  </si>
  <si>
    <t>CT-LSFG200-018</t>
  </si>
  <si>
    <t>CT-LSFG200-019</t>
  </si>
  <si>
    <t>CT-LSFG200-020</t>
  </si>
  <si>
    <t>CT-LSFG200-021</t>
  </si>
  <si>
    <t>CT-LSFG200-022</t>
  </si>
  <si>
    <t>CT-LSFG200-023</t>
  </si>
  <si>
    <t>CT-LSFG200-024</t>
  </si>
  <si>
    <t>CT-LSFG200-025</t>
  </si>
  <si>
    <t>CT-LSFG200-026</t>
  </si>
  <si>
    <t>CT-LSFG200-027</t>
  </si>
  <si>
    <t>CT-LSFG200-028</t>
  </si>
  <si>
    <t>CT-LSFG200-029</t>
  </si>
  <si>
    <t>CT-LSFG200-030</t>
  </si>
  <si>
    <t>CT-LSFG200-031</t>
  </si>
  <si>
    <t>CT-LSFG200-032</t>
  </si>
  <si>
    <t>CT-LSFG200-033</t>
  </si>
  <si>
    <t>CT-LSFG200-034</t>
  </si>
  <si>
    <t>CT-LSFG200-035</t>
  </si>
  <si>
    <t>CT-LSFG200-036</t>
  </si>
  <si>
    <t>CT-LSFG200-037</t>
  </si>
  <si>
    <t>CT-LSFG200-038</t>
  </si>
  <si>
    <t>CT-LSFG200-039</t>
  </si>
  <si>
    <t>CT-LSFG200-040</t>
  </si>
  <si>
    <t>CT-LSFG200-041</t>
  </si>
  <si>
    <t>CT-LSFG200-042</t>
  </si>
  <si>
    <t>CT-LSFG200-043</t>
  </si>
  <si>
    <t>CT-LSFG200-044</t>
  </si>
  <si>
    <t>CT-LSFG200-045</t>
  </si>
  <si>
    <t>CT-LSFG200-046</t>
  </si>
  <si>
    <t>CT-LSFG200-048</t>
  </si>
  <si>
    <t>CT-LSFG200-052</t>
  </si>
  <si>
    <t>CT-LSFG200-053</t>
  </si>
  <si>
    <t>CT-LSFG200-054</t>
  </si>
  <si>
    <t>CT-LSFG200-055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</si>
</sst>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&quot; &quot;#,##0.00&quot; &quot;;&quot;-&quot;#,##0.00&quot; &quot;;&quot; -&quot;#&quot; &quot;;&quot; &quot;@&quot; &quot;"/>
    <numFmt numFmtId="166" formatCode="0.0000"/>
    <numFmt numFmtId="167" formatCode="00,000,000,000"/>
    <numFmt numFmtId="168" formatCode="0#,##0"/>
    <numFmt numFmtId="169" formatCode="00,000,000"/>
    <numFmt numFmtId="170" formatCode="_-&quot;R$&quot;\ * #,##0.00_-;\-&quot;R$&quot;\ * #,##0.00_-;_-&quot;R$&quot;\ * &quot;-&quot;??_-;_-@"/>
  </numFmts>
  <fonts count="54">
    <font>
      <sz val="10"/>
      <name val="Arial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GommeSansW04-Regular"/>
      <family val="2"/>
    </font>
    <font>
      <sz val="11"/>
      <color theme="1"/>
      <name val="GommeSansW04-Regular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sz val="11"/>
      <name val="GommeSansW04-Regular"/>
      <family val="2"/>
    </font>
    <font>
      <b/>
      <sz val="8"/>
      <color theme="0"/>
      <name val="Montserrat"/>
      <family val="3"/>
    </font>
    <font>
      <b/>
      <sz val="10"/>
      <color theme="0"/>
      <name val="Montserrat"/>
      <family val="3"/>
    </font>
    <font>
      <sz val="10"/>
      <name val="Montserrat"/>
      <family val="3"/>
    </font>
    <font>
      <b/>
      <sz val="10"/>
      <name val="Montserrat"/>
      <family val="3"/>
    </font>
    <font>
      <b/>
      <sz val="7"/>
      <color theme="0"/>
      <name val="Montserrat"/>
      <family val="3"/>
    </font>
    <font>
      <b/>
      <sz val="7"/>
      <color indexed="8"/>
      <name val="Montserrat"/>
      <family val="3"/>
    </font>
    <font>
      <sz val="7"/>
      <color indexed="8"/>
      <name val="Montserrat"/>
      <family val="3"/>
    </font>
    <font>
      <sz val="8"/>
      <name val="Arial"/>
      <family val="2"/>
    </font>
    <font>
      <b/>
      <sz val="7"/>
      <color theme="1"/>
      <name val="Montserrat"/>
      <family val="3"/>
    </font>
    <font>
      <sz val="7"/>
      <color theme="1"/>
      <name val="Montserrat"/>
      <family val="3"/>
    </font>
    <font>
      <b/>
      <sz val="18"/>
      <color rgb="FFFFFFFF"/>
      <name val="Montserrat"/>
      <family val="3"/>
    </font>
    <font>
      <sz val="18"/>
      <color rgb="FF000000"/>
      <name val="Montserrat"/>
      <family val="3"/>
    </font>
    <font>
      <sz val="18"/>
      <color rgb="FFFF0000"/>
      <name val="Montserrat"/>
      <family val="3"/>
    </font>
    <font>
      <b/>
      <sz val="18"/>
      <color rgb="FF000000"/>
      <name val="Montserrat"/>
      <family val="3"/>
    </font>
    <font>
      <sz val="10"/>
      <name val="Arial"/>
      <family val="2"/>
    </font>
    <font>
      <sz val="8"/>
      <name val="Montserrat"/>
      <family val="3"/>
    </font>
    <font>
      <b/>
      <sz val="8"/>
      <color theme="5" tint="0.59999389629810485"/>
      <name val="Montserrat"/>
      <family val="3"/>
    </font>
    <font>
      <b/>
      <sz val="8"/>
      <name val="Montserrat"/>
      <family val="3"/>
    </font>
    <font>
      <b/>
      <sz val="8"/>
      <color theme="1"/>
      <name val="Montserrat"/>
      <family val="3"/>
    </font>
    <font>
      <sz val="8"/>
      <color theme="1"/>
      <name val="Montserrat"/>
      <family val="3"/>
    </font>
    <font>
      <sz val="9"/>
      <color theme="1"/>
      <name val="Calibri"/>
      <family val="2"/>
    </font>
    <font>
      <sz val="9"/>
      <name val="Calibri"/>
      <family val="2"/>
    </font>
    <font>
      <sz val="8"/>
      <color rgb="FF000000"/>
      <name val="Calibri"/>
      <family val="2"/>
    </font>
    <font>
      <b/>
      <sz val="12"/>
      <color theme="0"/>
      <name val="Montserrat"/>
      <family val="3"/>
    </font>
    <font>
      <b/>
      <sz val="18"/>
      <color rgb="FFFF0000"/>
      <name val="Montserrat"/>
      <family val="3"/>
    </font>
    <font>
      <sz val="18"/>
      <name val="Montserrat"/>
      <family val="3"/>
    </font>
    <font>
      <b/>
      <sz val="10"/>
      <color rgb="FFFF0000"/>
      <name val="Arial"/>
      <family val="2"/>
    </font>
    <font>
      <b/>
      <sz val="18"/>
      <color theme="0"/>
      <name val="Montserrat"/>
      <family val="3"/>
    </font>
    <font>
      <sz val="8"/>
      <name val="Arial"/>
      <family val="2"/>
    </font>
    <font>
      <b/>
      <sz val="11"/>
      <color theme="0"/>
      <name val="Montserrat"/>
      <family val="3"/>
    </font>
    <font>
      <b/>
      <sz val="11"/>
      <name val="Montserrat"/>
      <family val="3"/>
    </font>
    <font>
      <sz val="11"/>
      <name val="Montserrat"/>
      <family val="3"/>
    </font>
    <font>
      <sz val="11"/>
      <name val="Arial"/>
      <family val="2"/>
    </font>
    <font>
      <b/>
      <sz val="11"/>
      <color indexed="8"/>
      <name val="Montserrat"/>
      <family val="3"/>
    </font>
    <font>
      <b/>
      <sz val="11"/>
      <color rgb="FFFF0000"/>
      <name val="Montserrat"/>
      <family val="3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sz val="11"/>
      <color theme="1"/>
      <name val="Montserrat"/>
      <family val="3"/>
    </font>
    <font>
      <b/>
      <sz val="11"/>
      <color theme="1"/>
      <name val="Montserrat"/>
      <family val="3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1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rgb="FFA5A5A5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77111117893"/>
      </bottom>
      <diagonal/>
    </border>
    <border>
      <left/>
      <right/>
      <top style="medium">
        <color indexed="64"/>
      </top>
      <bottom style="thin">
        <color theme="0" tint="-0.249977111117893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14999847407452621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 applyNumberFormat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165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7" fillId="0" borderId="0"/>
    <xf numFmtId="44" fontId="9" fillId="0" borderId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2" fillId="0" borderId="0"/>
    <xf numFmtId="0" fontId="8" fillId="0" borderId="0"/>
    <xf numFmtId="0" fontId="4" fillId="0" borderId="0"/>
    <xf numFmtId="9" fontId="27" fillId="0" borderId="0" applyFont="0" applyFill="0" applyBorder="0" applyAlignment="0" applyProtection="0"/>
    <xf numFmtId="0" fontId="3" fillId="0" borderId="0"/>
    <xf numFmtId="43" fontId="5" fillId="0" borderId="0"/>
    <xf numFmtId="4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273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 vertical="center"/>
    </xf>
    <xf numFmtId="0" fontId="0" fillId="0" borderId="0" xfId="0"/>
    <xf numFmtId="0" fontId="10" fillId="0" borderId="0" xfId="0" applyNumberFormat="1" applyFont="1" applyFill="1" applyBorder="1" applyAlignment="1">
      <alignment horizontal="center" vertical="center"/>
    </xf>
    <xf numFmtId="0" fontId="0" fillId="6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164" fontId="13" fillId="2" borderId="1" xfId="0" applyNumberFormat="1" applyFont="1" applyFill="1" applyBorder="1" applyAlignment="1">
      <alignment horizontal="center" vertical="center" wrapText="1"/>
    </xf>
    <xf numFmtId="164" fontId="17" fillId="7" borderId="1" xfId="0" applyNumberFormat="1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164" fontId="18" fillId="3" borderId="1" xfId="0" applyNumberFormat="1" applyFont="1" applyFill="1" applyBorder="1" applyAlignment="1">
      <alignment horizontal="center" vertical="center" wrapText="1"/>
    </xf>
    <xf numFmtId="164" fontId="19" fillId="0" borderId="1" xfId="0" applyNumberFormat="1" applyFont="1" applyFill="1" applyBorder="1" applyAlignment="1">
      <alignment horizontal="center" vertical="center" wrapText="1"/>
    </xf>
    <xf numFmtId="164" fontId="15" fillId="0" borderId="0" xfId="0" applyNumberFormat="1" applyFont="1" applyFill="1" applyBorder="1" applyAlignment="1">
      <alignment horizontal="center" vertical="center"/>
    </xf>
    <xf numFmtId="164" fontId="14" fillId="10" borderId="2" xfId="0" applyNumberFormat="1" applyFont="1" applyFill="1" applyBorder="1" applyAlignment="1">
      <alignment horizontal="center" vertical="center"/>
    </xf>
    <xf numFmtId="164" fontId="15" fillId="0" borderId="2" xfId="10" applyNumberFormat="1" applyFont="1" applyBorder="1" applyAlignment="1">
      <alignment horizontal="center" vertical="center"/>
    </xf>
    <xf numFmtId="164" fontId="15" fillId="0" borderId="2" xfId="0" applyNumberFormat="1" applyFont="1" applyBorder="1" applyAlignment="1">
      <alignment horizontal="center" vertical="center"/>
    </xf>
    <xf numFmtId="164" fontId="15" fillId="0" borderId="0" xfId="1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4" fontId="21" fillId="4" borderId="1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64" fontId="21" fillId="5" borderId="1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center" vertical="center" wrapText="1"/>
    </xf>
    <xf numFmtId="2" fontId="15" fillId="0" borderId="0" xfId="0" applyNumberFormat="1" applyFont="1" applyFill="1" applyBorder="1" applyAlignment="1">
      <alignment horizontal="center" vertical="center"/>
    </xf>
    <xf numFmtId="0" fontId="24" fillId="8" borderId="2" xfId="0" applyNumberFormat="1" applyFont="1" applyFill="1" applyBorder="1" applyAlignment="1">
      <alignment horizontal="center" vertical="center" readingOrder="1"/>
    </xf>
    <xf numFmtId="8" fontId="24" fillId="8" borderId="2" xfId="0" applyNumberFormat="1" applyFont="1" applyFill="1" applyBorder="1" applyAlignment="1">
      <alignment horizontal="center" vertical="center" readingOrder="1"/>
    </xf>
    <xf numFmtId="166" fontId="25" fillId="8" borderId="2" xfId="0" applyNumberFormat="1" applyFont="1" applyFill="1" applyBorder="1" applyAlignment="1">
      <alignment horizontal="center" vertical="center" readingOrder="1"/>
    </xf>
    <xf numFmtId="8" fontId="26" fillId="5" borderId="2" xfId="0" applyNumberFormat="1" applyFont="1" applyFill="1" applyBorder="1" applyAlignment="1">
      <alignment horizontal="center" vertical="center" readingOrder="1"/>
    </xf>
    <xf numFmtId="164" fontId="0" fillId="0" borderId="0" xfId="0" applyNumberFormat="1" applyFont="1" applyFill="1" applyBorder="1" applyAlignment="1"/>
    <xf numFmtId="0" fontId="0" fillId="9" borderId="0" xfId="0" applyNumberFormat="1" applyFont="1" applyFill="1" applyBorder="1" applyAlignment="1"/>
    <xf numFmtId="0" fontId="8" fillId="0" borderId="0" xfId="0" applyNumberFormat="1" applyFont="1" applyFill="1" applyBorder="1" applyAlignment="1"/>
    <xf numFmtId="164" fontId="0" fillId="9" borderId="0" xfId="0" applyNumberFormat="1" applyFont="1" applyFill="1" applyBorder="1" applyAlignment="1"/>
    <xf numFmtId="0" fontId="22" fillId="0" borderId="1" xfId="0" applyFont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center"/>
    </xf>
    <xf numFmtId="8" fontId="15" fillId="0" borderId="0" xfId="0" applyNumberFormat="1" applyFont="1" applyFill="1" applyBorder="1" applyAlignment="1">
      <alignment horizontal="center" vertical="center"/>
    </xf>
    <xf numFmtId="10" fontId="15" fillId="0" borderId="0" xfId="15" applyNumberFormat="1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8" fillId="0" borderId="0" xfId="0" applyNumberFormat="1" applyFont="1" applyFill="1" applyBorder="1" applyAlignment="1"/>
    <xf numFmtId="0" fontId="28" fillId="0" borderId="2" xfId="0" applyNumberFormat="1" applyFont="1" applyFill="1" applyBorder="1" applyAlignment="1"/>
    <xf numFmtId="8" fontId="28" fillId="0" borderId="2" xfId="0" applyNumberFormat="1" applyFont="1" applyFill="1" applyBorder="1" applyAlignment="1"/>
    <xf numFmtId="0" fontId="28" fillId="9" borderId="2" xfId="0" applyNumberFormat="1" applyFont="1" applyFill="1" applyBorder="1" applyAlignment="1"/>
    <xf numFmtId="8" fontId="28" fillId="9" borderId="2" xfId="0" applyNumberFormat="1" applyFont="1" applyFill="1" applyBorder="1" applyAlignment="1"/>
    <xf numFmtId="0" fontId="29" fillId="11" borderId="2" xfId="0" applyNumberFormat="1" applyFont="1" applyFill="1" applyBorder="1" applyAlignment="1"/>
    <xf numFmtId="0" fontId="3" fillId="0" borderId="0" xfId="16"/>
    <xf numFmtId="49" fontId="30" fillId="9" borderId="2" xfId="17" applyNumberFormat="1" applyFont="1" applyFill="1" applyBorder="1" applyAlignment="1">
      <alignment horizontal="center" vertical="center"/>
    </xf>
    <xf numFmtId="43" fontId="30" fillId="9" borderId="2" xfId="17" applyFont="1" applyFill="1" applyBorder="1" applyAlignment="1">
      <alignment horizontal="center" vertical="center"/>
    </xf>
    <xf numFmtId="43" fontId="30" fillId="9" borderId="2" xfId="17" applyFont="1" applyFill="1" applyBorder="1" applyAlignment="1">
      <alignment horizontal="left" vertical="center"/>
    </xf>
    <xf numFmtId="4" fontId="30" fillId="9" borderId="2" xfId="17" applyNumberFormat="1" applyFont="1" applyFill="1" applyBorder="1" applyAlignment="1">
      <alignment horizontal="center" vertical="center"/>
    </xf>
    <xf numFmtId="44" fontId="30" fillId="9" borderId="2" xfId="17" applyNumberFormat="1" applyFont="1" applyFill="1" applyBorder="1" applyAlignment="1">
      <alignment horizontal="left" vertical="center"/>
    </xf>
    <xf numFmtId="0" fontId="3" fillId="9" borderId="0" xfId="16" applyFill="1" applyAlignment="1">
      <alignment vertical="center"/>
    </xf>
    <xf numFmtId="49" fontId="31" fillId="12" borderId="2" xfId="16" applyNumberFormat="1" applyFont="1" applyFill="1" applyBorder="1" applyAlignment="1">
      <alignment horizontal="center" vertical="center" wrapText="1"/>
    </xf>
    <xf numFmtId="0" fontId="31" fillId="12" borderId="2" xfId="16" applyFont="1" applyFill="1" applyBorder="1" applyAlignment="1">
      <alignment horizontal="center" vertical="center" wrapText="1"/>
    </xf>
    <xf numFmtId="0" fontId="31" fillId="12" borderId="2" xfId="16" applyFont="1" applyFill="1" applyBorder="1" applyAlignment="1">
      <alignment vertical="center" wrapText="1"/>
    </xf>
    <xf numFmtId="4" fontId="31" fillId="12" borderId="2" xfId="16" applyNumberFormat="1" applyFont="1" applyFill="1" applyBorder="1" applyAlignment="1">
      <alignment horizontal="center" vertical="center" wrapText="1"/>
    </xf>
    <xf numFmtId="44" fontId="31" fillId="12" borderId="2" xfId="16" applyNumberFormat="1" applyFont="1" applyFill="1" applyBorder="1" applyAlignment="1">
      <alignment vertical="center" wrapText="1"/>
    </xf>
    <xf numFmtId="0" fontId="3" fillId="0" borderId="0" xfId="16" applyAlignment="1">
      <alignment vertical="center"/>
    </xf>
    <xf numFmtId="49" fontId="32" fillId="0" borderId="2" xfId="16" applyNumberFormat="1" applyFont="1" applyBorder="1" applyAlignment="1">
      <alignment horizontal="center" vertical="center" wrapText="1"/>
    </xf>
    <xf numFmtId="0" fontId="32" fillId="0" borderId="2" xfId="16" applyFont="1" applyBorder="1" applyAlignment="1" applyProtection="1">
      <alignment horizontal="center" vertical="center" wrapText="1"/>
      <protection locked="0"/>
    </xf>
    <xf numFmtId="0" fontId="32" fillId="0" borderId="2" xfId="16" applyFont="1" applyBorder="1" applyAlignment="1" applyProtection="1">
      <alignment vertical="center" wrapText="1"/>
      <protection locked="0"/>
    </xf>
    <xf numFmtId="4" fontId="32" fillId="0" borderId="2" xfId="16" applyNumberFormat="1" applyFont="1" applyBorder="1" applyAlignment="1" applyProtection="1">
      <alignment horizontal="center" vertical="center" wrapText="1"/>
      <protection locked="0"/>
    </xf>
    <xf numFmtId="44" fontId="32" fillId="0" borderId="2" xfId="16" applyNumberFormat="1" applyFont="1" applyBorder="1" applyAlignment="1" applyProtection="1">
      <alignment vertical="center" wrapText="1"/>
      <protection locked="0"/>
    </xf>
    <xf numFmtId="0" fontId="32" fillId="0" borderId="2" xfId="16" applyFont="1" applyBorder="1" applyAlignment="1">
      <alignment vertical="center" wrapText="1"/>
    </xf>
    <xf numFmtId="0" fontId="33" fillId="0" borderId="2" xfId="8" applyFont="1" applyBorder="1" applyAlignment="1">
      <alignment horizontal="center" vertical="center" wrapText="1"/>
    </xf>
    <xf numFmtId="0" fontId="33" fillId="0" borderId="2" xfId="8" quotePrefix="1" applyFont="1" applyBorder="1" applyAlignment="1">
      <alignment vertical="center" wrapText="1"/>
    </xf>
    <xf numFmtId="2" fontId="34" fillId="0" borderId="2" xfId="8" applyNumberFormat="1" applyFont="1" applyBorder="1" applyAlignment="1" applyProtection="1">
      <alignment horizontal="center" vertical="center" wrapText="1"/>
      <protection locked="0"/>
    </xf>
    <xf numFmtId="2" fontId="34" fillId="0" borderId="2" xfId="8" applyNumberFormat="1" applyFont="1" applyBorder="1" applyAlignment="1">
      <alignment horizontal="center" vertical="center" wrapText="1"/>
    </xf>
    <xf numFmtId="170" fontId="34" fillId="0" borderId="2" xfId="8" applyNumberFormat="1" applyFont="1" applyBorder="1" applyAlignment="1">
      <alignment horizontal="center" vertical="center"/>
    </xf>
    <xf numFmtId="170" fontId="34" fillId="0" borderId="2" xfId="8" applyNumberFormat="1" applyFont="1" applyBorder="1" applyAlignment="1">
      <alignment horizontal="center" vertical="center" wrapText="1"/>
    </xf>
    <xf numFmtId="0" fontId="0" fillId="0" borderId="0" xfId="8" applyFont="1"/>
    <xf numFmtId="0" fontId="32" fillId="0" borderId="2" xfId="16" applyFont="1" applyBorder="1" applyAlignment="1">
      <alignment horizontal="center" vertical="center" wrapText="1"/>
    </xf>
    <xf numFmtId="0" fontId="33" fillId="0" borderId="2" xfId="8" applyFont="1" applyBorder="1" applyAlignment="1">
      <alignment vertical="center" wrapText="1"/>
    </xf>
    <xf numFmtId="4" fontId="33" fillId="0" borderId="2" xfId="8" applyNumberFormat="1" applyFont="1" applyBorder="1" applyAlignment="1">
      <alignment vertical="center" wrapText="1"/>
    </xf>
    <xf numFmtId="44" fontId="31" fillId="12" borderId="2" xfId="16" quotePrefix="1" applyNumberFormat="1" applyFont="1" applyFill="1" applyBorder="1" applyAlignment="1">
      <alignment vertical="center" wrapText="1"/>
    </xf>
    <xf numFmtId="0" fontId="35" fillId="6" borderId="2" xfId="13" applyFont="1" applyFill="1" applyBorder="1" applyAlignment="1">
      <alignment vertical="center" wrapText="1"/>
    </xf>
    <xf numFmtId="164" fontId="0" fillId="6" borderId="0" xfId="0" applyNumberFormat="1" applyFont="1" applyFill="1" applyBorder="1" applyAlignment="1">
      <alignment horizontal="center" vertical="center"/>
    </xf>
    <xf numFmtId="8" fontId="15" fillId="0" borderId="0" xfId="15" applyNumberFormat="1" applyFont="1" applyFill="1" applyBorder="1" applyAlignment="1">
      <alignment horizontal="center" vertical="center"/>
    </xf>
    <xf numFmtId="8" fontId="0" fillId="6" borderId="0" xfId="0" applyNumberFormat="1" applyFont="1" applyFill="1" applyBorder="1" applyAlignment="1">
      <alignment horizontal="center" vertical="center"/>
    </xf>
    <xf numFmtId="0" fontId="17" fillId="7" borderId="1" xfId="11" quotePrefix="1" applyNumberFormat="1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left" vertical="center"/>
    </xf>
    <xf numFmtId="164" fontId="14" fillId="13" borderId="2" xfId="10" applyNumberFormat="1" applyFont="1" applyFill="1" applyBorder="1" applyAlignment="1">
      <alignment horizontal="center" vertical="center"/>
    </xf>
    <xf numFmtId="0" fontId="14" fillId="13" borderId="2" xfId="0" applyFont="1" applyFill="1" applyBorder="1" applyAlignment="1">
      <alignment horizontal="center" vertical="center"/>
    </xf>
    <xf numFmtId="164" fontId="14" fillId="13" borderId="2" xfId="10" applyNumberFormat="1" applyFont="1" applyFill="1" applyBorder="1" applyAlignment="1">
      <alignment horizontal="center" vertical="center" wrapText="1"/>
    </xf>
    <xf numFmtId="0" fontId="23" fillId="13" borderId="2" xfId="0" applyNumberFormat="1" applyFont="1" applyFill="1" applyBorder="1" applyAlignment="1">
      <alignment horizontal="center" vertical="center" wrapText="1" readingOrder="1"/>
    </xf>
    <xf numFmtId="0" fontId="36" fillId="13" borderId="1" xfId="0" applyFont="1" applyFill="1" applyBorder="1" applyAlignment="1">
      <alignment horizontal="center" vertical="center"/>
    </xf>
    <xf numFmtId="166" fontId="37" fillId="5" borderId="2" xfId="0" applyNumberFormat="1" applyFont="1" applyFill="1" applyBorder="1" applyAlignment="1">
      <alignment horizontal="center" vertical="center" readingOrder="1"/>
    </xf>
    <xf numFmtId="166" fontId="38" fillId="8" borderId="2" xfId="0" applyNumberFormat="1" applyFont="1" applyFill="1" applyBorder="1" applyAlignment="1">
      <alignment horizontal="center" vertical="center" readingOrder="1"/>
    </xf>
    <xf numFmtId="44" fontId="24" fillId="8" borderId="2" xfId="10" applyFont="1" applyFill="1" applyBorder="1" applyAlignment="1">
      <alignment horizontal="center" vertical="center" readingOrder="1"/>
    </xf>
    <xf numFmtId="44" fontId="26" fillId="5" borderId="2" xfId="10" applyFont="1" applyFill="1" applyBorder="1" applyAlignment="1">
      <alignment horizontal="center" vertical="center" readingOrder="1"/>
    </xf>
    <xf numFmtId="0" fontId="14" fillId="13" borderId="0" xfId="0" applyNumberFormat="1" applyFont="1" applyFill="1" applyBorder="1" applyAlignment="1">
      <alignment horizontal="center"/>
    </xf>
    <xf numFmtId="164" fontId="14" fillId="13" borderId="0" xfId="10" applyNumberFormat="1" applyFont="1" applyFill="1" applyBorder="1" applyAlignment="1">
      <alignment horizontal="center" vertical="center"/>
    </xf>
    <xf numFmtId="0" fontId="13" fillId="2" borderId="6" xfId="0" applyNumberFormat="1" applyFont="1" applyFill="1" applyBorder="1" applyAlignment="1">
      <alignment horizontal="center" vertical="center" wrapText="1"/>
    </xf>
    <xf numFmtId="164" fontId="13" fillId="2" borderId="7" xfId="0" applyNumberFormat="1" applyFont="1" applyFill="1" applyBorder="1" applyAlignment="1">
      <alignment horizontal="center" vertical="center" wrapText="1"/>
    </xf>
    <xf numFmtId="0" fontId="17" fillId="7" borderId="6" xfId="0" quotePrefix="1" applyNumberFormat="1" applyFont="1" applyFill="1" applyBorder="1" applyAlignment="1">
      <alignment horizontal="center" vertical="center" wrapText="1"/>
    </xf>
    <xf numFmtId="164" fontId="17" fillId="7" borderId="7" xfId="0" applyNumberFormat="1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/>
    </xf>
    <xf numFmtId="164" fontId="18" fillId="3" borderId="7" xfId="0" applyNumberFormat="1" applyFont="1" applyFill="1" applyBorder="1" applyAlignment="1">
      <alignment horizontal="center" vertical="center" wrapText="1"/>
    </xf>
    <xf numFmtId="168" fontId="21" fillId="4" borderId="6" xfId="0" applyNumberFormat="1" applyFont="1" applyFill="1" applyBorder="1" applyAlignment="1">
      <alignment horizontal="center" vertical="center"/>
    </xf>
    <xf numFmtId="164" fontId="21" fillId="4" borderId="7" xfId="0" applyNumberFormat="1" applyFont="1" applyFill="1" applyBorder="1" applyAlignment="1">
      <alignment horizontal="center" vertical="center"/>
    </xf>
    <xf numFmtId="169" fontId="21" fillId="5" borderId="6" xfId="0" applyNumberFormat="1" applyFont="1" applyFill="1" applyBorder="1" applyAlignment="1">
      <alignment horizontal="center" vertical="center"/>
    </xf>
    <xf numFmtId="164" fontId="21" fillId="5" borderId="7" xfId="0" applyNumberFormat="1" applyFont="1" applyFill="1" applyBorder="1" applyAlignment="1">
      <alignment horizontal="center" vertical="center"/>
    </xf>
    <xf numFmtId="167" fontId="22" fillId="0" borderId="6" xfId="0" applyNumberFormat="1" applyFont="1" applyBorder="1" applyAlignment="1">
      <alignment horizontal="center" vertical="center"/>
    </xf>
    <xf numFmtId="164" fontId="19" fillId="0" borderId="7" xfId="0" applyNumberFormat="1" applyFont="1" applyFill="1" applyBorder="1" applyAlignment="1">
      <alignment horizontal="center" vertical="center" wrapText="1"/>
    </xf>
    <xf numFmtId="167" fontId="22" fillId="0" borderId="8" xfId="0" applyNumberFormat="1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64" fontId="19" fillId="0" borderId="9" xfId="0" applyNumberFormat="1" applyFont="1" applyFill="1" applyBorder="1" applyAlignment="1">
      <alignment horizontal="center" vertical="center" wrapText="1"/>
    </xf>
    <xf numFmtId="164" fontId="19" fillId="0" borderId="1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4" fontId="0" fillId="0" borderId="0" xfId="10" applyFont="1" applyAlignment="1">
      <alignment horizontal="center" vertical="center"/>
    </xf>
    <xf numFmtId="0" fontId="0" fillId="0" borderId="0" xfId="0" applyAlignment="1">
      <alignment horizontal="left" vertical="center"/>
    </xf>
    <xf numFmtId="17" fontId="36" fillId="13" borderId="1" xfId="0" applyNumberFormat="1" applyFont="1" applyFill="1" applyBorder="1" applyAlignment="1">
      <alignment horizontal="center" vertical="center"/>
    </xf>
    <xf numFmtId="0" fontId="36" fillId="13" borderId="1" xfId="0" applyFont="1" applyFill="1" applyBorder="1" applyAlignment="1">
      <alignment horizontal="left" vertical="center"/>
    </xf>
    <xf numFmtId="0" fontId="39" fillId="0" borderId="0" xfId="0" applyFont="1" applyAlignment="1">
      <alignment horizontal="center" vertical="center"/>
    </xf>
    <xf numFmtId="0" fontId="39" fillId="0" borderId="0" xfId="0" applyFont="1" applyAlignment="1">
      <alignment horizontal="left" vertical="center"/>
    </xf>
    <xf numFmtId="0" fontId="40" fillId="14" borderId="2" xfId="0" applyNumberFormat="1" applyFont="1" applyFill="1" applyBorder="1" applyAlignment="1">
      <alignment horizontal="center" vertical="center" wrapText="1" readingOrder="1"/>
    </xf>
    <xf numFmtId="44" fontId="0" fillId="0" borderId="0" xfId="10" applyFont="1"/>
    <xf numFmtId="0" fontId="14" fillId="13" borderId="0" xfId="0" applyFont="1" applyFill="1" applyBorder="1" applyAlignment="1">
      <alignment horizontal="center" vertical="center"/>
    </xf>
    <xf numFmtId="44" fontId="14" fillId="13" borderId="0" xfId="10" applyFont="1" applyFill="1" applyBorder="1" applyAlignment="1">
      <alignment horizontal="center" vertical="center"/>
    </xf>
    <xf numFmtId="44" fontId="0" fillId="0" borderId="0" xfId="24" applyFont="1" applyAlignment="1">
      <alignment horizontal="center" vertical="center"/>
    </xf>
    <xf numFmtId="44" fontId="0" fillId="0" borderId="0" xfId="24" applyFont="1"/>
    <xf numFmtId="44" fontId="14" fillId="13" borderId="0" xfId="24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44" fontId="8" fillId="0" borderId="0" xfId="24" applyFont="1" applyFill="1" applyBorder="1" applyAlignment="1"/>
    <xf numFmtId="44" fontId="0" fillId="0" borderId="0" xfId="24" applyFont="1" applyFill="1" applyAlignment="1">
      <alignment horizontal="center" vertical="center"/>
    </xf>
    <xf numFmtId="44" fontId="0" fillId="0" borderId="0" xfId="24" applyFont="1" applyFill="1"/>
    <xf numFmtId="0" fontId="0" fillId="0" borderId="0" xfId="0" applyFill="1"/>
    <xf numFmtId="44" fontId="8" fillId="0" borderId="0" xfId="10" applyFont="1" applyFill="1" applyBorder="1" applyAlignment="1"/>
    <xf numFmtId="0" fontId="42" fillId="2" borderId="0" xfId="0" applyNumberFormat="1" applyFont="1" applyFill="1" applyBorder="1" applyAlignment="1">
      <alignment horizontal="center" vertical="center" wrapText="1"/>
    </xf>
    <xf numFmtId="0" fontId="42" fillId="2" borderId="0" xfId="0" applyFont="1" applyFill="1" applyBorder="1" applyAlignment="1">
      <alignment horizontal="center" vertical="center" wrapText="1"/>
    </xf>
    <xf numFmtId="164" fontId="42" fillId="2" borderId="0" xfId="24" applyNumberFormat="1" applyFont="1" applyFill="1" applyBorder="1" applyAlignment="1">
      <alignment horizontal="center" vertical="center" wrapText="1"/>
    </xf>
    <xf numFmtId="0" fontId="42" fillId="4" borderId="0" xfId="0" applyFont="1" applyFill="1" applyBorder="1" applyAlignment="1">
      <alignment horizontal="center" vertical="center" wrapText="1"/>
    </xf>
    <xf numFmtId="44" fontId="42" fillId="2" borderId="0" xfId="10" applyFont="1" applyFill="1" applyBorder="1" applyAlignment="1">
      <alignment horizontal="center" vertical="center" wrapText="1"/>
    </xf>
    <xf numFmtId="0" fontId="42" fillId="0" borderId="0" xfId="0" applyFont="1" applyFill="1" applyBorder="1" applyAlignment="1">
      <alignment horizontal="center" vertical="center" wrapText="1"/>
    </xf>
    <xf numFmtId="44" fontId="42" fillId="2" borderId="0" xfId="0" applyNumberFormat="1" applyFont="1" applyFill="1" applyBorder="1" applyAlignment="1">
      <alignment horizontal="center" vertical="center" wrapText="1"/>
    </xf>
    <xf numFmtId="44" fontId="42" fillId="2" borderId="2" xfId="10" applyFont="1" applyFill="1" applyBorder="1" applyAlignment="1">
      <alignment horizontal="center" vertical="center" wrapText="1"/>
    </xf>
    <xf numFmtId="44" fontId="42" fillId="2" borderId="30" xfId="10" applyFont="1" applyFill="1" applyBorder="1" applyAlignment="1">
      <alignment vertical="center" wrapText="1"/>
    </xf>
    <xf numFmtId="44" fontId="42" fillId="2" borderId="2" xfId="10" applyFont="1" applyFill="1" applyBorder="1" applyAlignment="1">
      <alignment vertical="center" wrapText="1"/>
    </xf>
    <xf numFmtId="164" fontId="43" fillId="0" borderId="0" xfId="0" applyNumberFormat="1" applyFont="1" applyFill="1" applyBorder="1" applyAlignment="1">
      <alignment vertical="center" wrapText="1"/>
    </xf>
    <xf numFmtId="164" fontId="44" fillId="0" borderId="0" xfId="0" applyNumberFormat="1" applyFont="1" applyFill="1" applyBorder="1" applyAlignment="1">
      <alignment horizontal="right" vertical="center" wrapText="1"/>
    </xf>
    <xf numFmtId="0" fontId="45" fillId="0" borderId="0" xfId="0" applyNumberFormat="1" applyFont="1" applyFill="1" applyBorder="1" applyAlignment="1"/>
    <xf numFmtId="0" fontId="44" fillId="0" borderId="0" xfId="0" applyNumberFormat="1" applyFont="1" applyFill="1" applyBorder="1" applyAlignment="1">
      <alignment horizontal="center" vertical="center"/>
    </xf>
    <xf numFmtId="164" fontId="44" fillId="0" borderId="0" xfId="0" applyNumberFormat="1" applyFont="1" applyFill="1" applyBorder="1" applyAlignment="1">
      <alignment horizontal="right" vertical="top"/>
    </xf>
    <xf numFmtId="0" fontId="46" fillId="4" borderId="1" xfId="0" applyFont="1" applyFill="1" applyBorder="1" applyAlignment="1">
      <alignment horizontal="center" vertical="center" wrapText="1"/>
    </xf>
    <xf numFmtId="0" fontId="44" fillId="6" borderId="0" xfId="0" applyNumberFormat="1" applyFont="1" applyFill="1" applyBorder="1" applyAlignment="1">
      <alignment horizontal="center" vertical="center"/>
    </xf>
    <xf numFmtId="3" fontId="46" fillId="4" borderId="1" xfId="0" applyNumberFormat="1" applyFont="1" applyFill="1" applyBorder="1" applyAlignment="1">
      <alignment horizontal="center" vertical="center" wrapText="1"/>
    </xf>
    <xf numFmtId="3" fontId="46" fillId="5" borderId="1" xfId="0" applyNumberFormat="1" applyFont="1" applyFill="1" applyBorder="1" applyAlignment="1">
      <alignment horizontal="center" vertical="center" wrapText="1"/>
    </xf>
    <xf numFmtId="0" fontId="46" fillId="5" borderId="1" xfId="0" applyFont="1" applyFill="1" applyBorder="1" applyAlignment="1">
      <alignment horizontal="center" vertical="center" wrapText="1"/>
    </xf>
    <xf numFmtId="3" fontId="44" fillId="0" borderId="1" xfId="0" applyNumberFormat="1" applyFont="1" applyFill="1" applyBorder="1" applyAlignment="1">
      <alignment horizontal="center" vertical="center" wrapText="1"/>
    </xf>
    <xf numFmtId="0" fontId="44" fillId="0" borderId="1" xfId="0" applyFont="1" applyFill="1" applyBorder="1" applyAlignment="1">
      <alignment horizontal="center" vertical="center" wrapText="1"/>
    </xf>
    <xf numFmtId="0" fontId="45" fillId="0" borderId="0" xfId="11" applyNumberFormat="1" applyFont="1" applyFill="1" applyBorder="1" applyAlignment="1"/>
    <xf numFmtId="0" fontId="44" fillId="0" borderId="0" xfId="11" applyNumberFormat="1" applyFont="1" applyFill="1" applyBorder="1" applyAlignment="1">
      <alignment horizontal="center"/>
    </xf>
    <xf numFmtId="164" fontId="44" fillId="0" borderId="0" xfId="24" applyNumberFormat="1" applyFont="1" applyFill="1" applyBorder="1" applyAlignment="1">
      <alignment horizontal="center" vertical="center"/>
    </xf>
    <xf numFmtId="8" fontId="45" fillId="0" borderId="0" xfId="11" applyNumberFormat="1" applyFont="1" applyFill="1" applyBorder="1" applyAlignment="1"/>
    <xf numFmtId="164" fontId="45" fillId="0" borderId="0" xfId="11" applyNumberFormat="1" applyFont="1" applyFill="1" applyBorder="1" applyAlignment="1"/>
    <xf numFmtId="0" fontId="45" fillId="0" borderId="0" xfId="11" applyNumberFormat="1" applyFont="1" applyFill="1" applyBorder="1" applyAlignment="1">
      <alignment horizontal="center" vertical="center"/>
    </xf>
    <xf numFmtId="44" fontId="44" fillId="0" borderId="1" xfId="10" applyFont="1" applyFill="1" applyBorder="1" applyAlignment="1">
      <alignment horizontal="center" vertical="center" wrapText="1"/>
    </xf>
    <xf numFmtId="44" fontId="44" fillId="0" borderId="0" xfId="24" applyFont="1" applyFill="1" applyBorder="1" applyAlignment="1">
      <alignment horizontal="center"/>
    </xf>
    <xf numFmtId="0" fontId="44" fillId="0" borderId="0" xfId="0" applyFont="1" applyFill="1"/>
    <xf numFmtId="0" fontId="44" fillId="0" borderId="0" xfId="0" applyFont="1" applyAlignment="1">
      <alignment horizontal="center" vertical="center"/>
    </xf>
    <xf numFmtId="44" fontId="44" fillId="0" borderId="0" xfId="10" applyFont="1" applyAlignment="1">
      <alignment horizontal="center" vertical="center"/>
    </xf>
    <xf numFmtId="0" fontId="44" fillId="0" borderId="0" xfId="0" applyFont="1"/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left" vertical="center"/>
    </xf>
    <xf numFmtId="0" fontId="45" fillId="0" borderId="0" xfId="0" applyFont="1"/>
    <xf numFmtId="44" fontId="45" fillId="0" borderId="0" xfId="10" applyFont="1" applyAlignment="1">
      <alignment horizontal="center" vertical="center"/>
    </xf>
    <xf numFmtId="44" fontId="45" fillId="0" borderId="0" xfId="10" applyFont="1"/>
    <xf numFmtId="0" fontId="48" fillId="0" borderId="0" xfId="0" applyFont="1" applyAlignment="1">
      <alignment horizontal="left" vertical="center"/>
    </xf>
    <xf numFmtId="0" fontId="45" fillId="0" borderId="0" xfId="0" applyFont="1" applyFill="1" applyAlignment="1">
      <alignment horizontal="center" vertical="center"/>
    </xf>
    <xf numFmtId="0" fontId="45" fillId="0" borderId="0" xfId="0" applyFont="1" applyFill="1"/>
    <xf numFmtId="0" fontId="49" fillId="0" borderId="0" xfId="0" applyFont="1" applyFill="1" applyAlignment="1">
      <alignment horizontal="center" vertical="center"/>
    </xf>
    <xf numFmtId="0" fontId="49" fillId="0" borderId="0" xfId="0" applyFont="1" applyFill="1"/>
    <xf numFmtId="0" fontId="44" fillId="9" borderId="1" xfId="0" applyFont="1" applyFill="1" applyBorder="1" applyAlignment="1">
      <alignment horizontal="center" vertical="center" wrapText="1"/>
    </xf>
    <xf numFmtId="3" fontId="50" fillId="0" borderId="0" xfId="14" applyNumberFormat="1" applyFont="1" applyAlignment="1">
      <alignment horizontal="center" vertical="center"/>
    </xf>
    <xf numFmtId="0" fontId="44" fillId="0" borderId="0" xfId="0" applyNumberFormat="1" applyFont="1" applyFill="1" applyBorder="1" applyAlignment="1"/>
    <xf numFmtId="14" fontId="44" fillId="0" borderId="29" xfId="0" applyNumberFormat="1" applyFont="1" applyFill="1" applyBorder="1" applyAlignment="1">
      <alignment horizontal="center" vertical="center"/>
    </xf>
    <xf numFmtId="0" fontId="44" fillId="0" borderId="0" xfId="0" quotePrefix="1" applyNumberFormat="1" applyFont="1" applyFill="1" applyBorder="1" applyAlignment="1"/>
    <xf numFmtId="0" fontId="44" fillId="0" borderId="1" xfId="0" applyNumberFormat="1" applyFont="1" applyFill="1" applyBorder="1" applyAlignment="1">
      <alignment horizontal="center" vertical="center" wrapText="1"/>
    </xf>
    <xf numFmtId="3" fontId="44" fillId="0" borderId="28" xfId="0" applyNumberFormat="1" applyFont="1" applyFill="1" applyBorder="1" applyAlignment="1">
      <alignment horizontal="center" vertical="center" wrapText="1"/>
    </xf>
    <xf numFmtId="0" fontId="42" fillId="2" borderId="19" xfId="0" applyNumberFormat="1" applyFont="1" applyFill="1" applyBorder="1" applyAlignment="1">
      <alignment horizontal="center" vertical="center" wrapText="1"/>
    </xf>
    <xf numFmtId="0" fontId="42" fillId="2" borderId="20" xfId="0" applyFont="1" applyFill="1" applyBorder="1" applyAlignment="1">
      <alignment horizontal="center" vertical="center" wrapText="1"/>
    </xf>
    <xf numFmtId="164" fontId="42" fillId="2" borderId="20" xfId="0" applyNumberFormat="1" applyFont="1" applyFill="1" applyBorder="1" applyAlignment="1">
      <alignment horizontal="center" vertical="center" wrapText="1"/>
    </xf>
    <xf numFmtId="164" fontId="42" fillId="2" borderId="21" xfId="0" applyNumberFormat="1" applyFont="1" applyFill="1" applyBorder="1" applyAlignment="1">
      <alignment horizontal="center" vertical="center" wrapText="1"/>
    </xf>
    <xf numFmtId="164" fontId="42" fillId="2" borderId="0" xfId="0" applyNumberFormat="1" applyFont="1" applyFill="1" applyBorder="1" applyAlignment="1">
      <alignment horizontal="center" vertical="center" wrapText="1"/>
    </xf>
    <xf numFmtId="0" fontId="42" fillId="7" borderId="11" xfId="14" applyFont="1" applyFill="1" applyBorder="1" applyAlignment="1">
      <alignment horizontal="center" vertical="center"/>
    </xf>
    <xf numFmtId="0" fontId="42" fillId="7" borderId="0" xfId="14" applyFont="1" applyFill="1" applyAlignment="1">
      <alignment horizontal="center" vertical="center"/>
    </xf>
    <xf numFmtId="44" fontId="42" fillId="7" borderId="0" xfId="18" applyFont="1" applyFill="1" applyBorder="1" applyAlignment="1">
      <alignment horizontal="center" vertical="center"/>
    </xf>
    <xf numFmtId="44" fontId="42" fillId="7" borderId="12" xfId="18" applyFont="1" applyFill="1" applyBorder="1" applyAlignment="1">
      <alignment horizontal="center" vertical="center"/>
    </xf>
    <xf numFmtId="0" fontId="42" fillId="13" borderId="11" xfId="14" applyFont="1" applyFill="1" applyBorder="1" applyAlignment="1">
      <alignment horizontal="center" vertical="center"/>
    </xf>
    <xf numFmtId="0" fontId="42" fillId="13" borderId="0" xfId="14" applyFont="1" applyFill="1" applyAlignment="1">
      <alignment horizontal="center" vertical="center"/>
    </xf>
    <xf numFmtId="44" fontId="42" fillId="13" borderId="0" xfId="10" applyFont="1" applyFill="1" applyBorder="1" applyAlignment="1">
      <alignment horizontal="center" vertical="center"/>
    </xf>
    <xf numFmtId="44" fontId="42" fillId="13" borderId="12" xfId="10" applyFont="1" applyFill="1" applyBorder="1" applyAlignment="1">
      <alignment horizontal="center" vertical="center"/>
    </xf>
    <xf numFmtId="3" fontId="42" fillId="7" borderId="11" xfId="14" applyNumberFormat="1" applyFont="1" applyFill="1" applyBorder="1" applyAlignment="1">
      <alignment horizontal="center" vertical="center"/>
    </xf>
    <xf numFmtId="44" fontId="42" fillId="7" borderId="0" xfId="10" applyFont="1" applyFill="1" applyBorder="1" applyAlignment="1">
      <alignment horizontal="center" vertical="center"/>
    </xf>
    <xf numFmtId="44" fontId="42" fillId="7" borderId="12" xfId="10" applyFont="1" applyFill="1" applyBorder="1" applyAlignment="1">
      <alignment horizontal="center" vertical="center"/>
    </xf>
    <xf numFmtId="3" fontId="51" fillId="15" borderId="11" xfId="14" applyNumberFormat="1" applyFont="1" applyFill="1" applyBorder="1" applyAlignment="1">
      <alignment horizontal="center" vertical="center"/>
    </xf>
    <xf numFmtId="0" fontId="51" fillId="15" borderId="0" xfId="14" applyFont="1" applyFill="1" applyAlignment="1">
      <alignment horizontal="center" vertical="center"/>
    </xf>
    <xf numFmtId="44" fontId="51" fillId="15" borderId="0" xfId="10" applyFont="1" applyFill="1" applyBorder="1" applyAlignment="1">
      <alignment horizontal="center" vertical="center"/>
    </xf>
    <xf numFmtId="44" fontId="51" fillId="15" borderId="12" xfId="10" applyFont="1" applyFill="1" applyBorder="1" applyAlignment="1">
      <alignment horizontal="center" vertical="center"/>
    </xf>
    <xf numFmtId="3" fontId="50" fillId="0" borderId="11" xfId="14" applyNumberFormat="1" applyFont="1" applyBorder="1" applyAlignment="1">
      <alignment horizontal="center" vertical="center"/>
    </xf>
    <xf numFmtId="0" fontId="50" fillId="0" borderId="0" xfId="14" applyFont="1" applyAlignment="1">
      <alignment horizontal="center" vertical="center"/>
    </xf>
    <xf numFmtId="44" fontId="44" fillId="0" borderId="0" xfId="10" applyFont="1" applyBorder="1" applyAlignment="1">
      <alignment horizontal="center" vertical="center"/>
    </xf>
    <xf numFmtId="44" fontId="44" fillId="0" borderId="12" xfId="10" applyFont="1" applyBorder="1" applyAlignment="1">
      <alignment horizontal="center" vertical="center"/>
    </xf>
    <xf numFmtId="3" fontId="50" fillId="0" borderId="13" xfId="14" applyNumberFormat="1" applyFont="1" applyBorder="1" applyAlignment="1">
      <alignment horizontal="center" vertical="center"/>
    </xf>
    <xf numFmtId="0" fontId="50" fillId="0" borderId="14" xfId="14" applyFont="1" applyBorder="1" applyAlignment="1">
      <alignment horizontal="center" vertical="center"/>
    </xf>
    <xf numFmtId="44" fontId="44" fillId="0" borderId="14" xfId="10" applyFont="1" applyBorder="1" applyAlignment="1">
      <alignment horizontal="center" vertical="center"/>
    </xf>
    <xf numFmtId="44" fontId="44" fillId="0" borderId="15" xfId="1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7" fillId="0" borderId="0" xfId="0" applyFont="1" applyAlignment="1">
      <alignment horizontal="left" vertical="center"/>
    </xf>
    <xf numFmtId="8" fontId="44" fillId="0" borderId="0" xfId="0" applyNumberFormat="1" applyFont="1" applyAlignment="1">
      <alignment horizontal="center" vertical="center"/>
    </xf>
    <xf numFmtId="0" fontId="44" fillId="0" borderId="0" xfId="0" applyFont="1" applyAlignment="1">
      <alignment horizontal="left" vertical="center"/>
    </xf>
    <xf numFmtId="0" fontId="42" fillId="13" borderId="0" xfId="0" applyFont="1" applyFill="1" applyBorder="1" applyAlignment="1">
      <alignment horizontal="center" vertical="center"/>
    </xf>
    <xf numFmtId="0" fontId="42" fillId="13" borderId="22" xfId="0" applyFont="1" applyFill="1" applyBorder="1" applyAlignment="1">
      <alignment horizontal="center" vertical="center"/>
    </xf>
    <xf numFmtId="0" fontId="42" fillId="13" borderId="23" xfId="0" applyFont="1" applyFill="1" applyBorder="1" applyAlignment="1">
      <alignment horizontal="center" vertical="center"/>
    </xf>
    <xf numFmtId="0" fontId="42" fillId="14" borderId="23" xfId="0" applyFont="1" applyFill="1" applyBorder="1" applyAlignment="1">
      <alignment horizontal="center" vertical="center"/>
    </xf>
    <xf numFmtId="0" fontId="44" fillId="0" borderId="0" xfId="0" applyNumberFormat="1" applyFont="1" applyBorder="1" applyAlignment="1">
      <alignment horizontal="center" vertical="center"/>
    </xf>
    <xf numFmtId="0" fontId="44" fillId="0" borderId="0" xfId="0" applyNumberFormat="1" applyFont="1" applyBorder="1" applyAlignment="1">
      <alignment horizontal="left" vertical="center"/>
    </xf>
    <xf numFmtId="3" fontId="44" fillId="0" borderId="0" xfId="0" applyNumberFormat="1" applyFont="1" applyBorder="1" applyAlignment="1">
      <alignment horizontal="center" vertical="center"/>
    </xf>
    <xf numFmtId="44" fontId="44" fillId="0" borderId="0" xfId="10" applyFont="1"/>
    <xf numFmtId="44" fontId="44" fillId="0" borderId="0" xfId="0" applyNumberFormat="1" applyFont="1"/>
    <xf numFmtId="0" fontId="44" fillId="0" borderId="0" xfId="0" applyNumberFormat="1" applyFont="1" applyFill="1" applyBorder="1" applyAlignment="1">
      <alignment horizontal="left" vertical="center"/>
    </xf>
    <xf numFmtId="3" fontId="44" fillId="0" borderId="0" xfId="0" applyNumberFormat="1" applyFont="1" applyFill="1" applyBorder="1" applyAlignment="1">
      <alignment horizontal="center" vertical="center"/>
    </xf>
    <xf numFmtId="44" fontId="44" fillId="0" borderId="0" xfId="10" applyFont="1" applyFill="1"/>
    <xf numFmtId="0" fontId="44" fillId="0" borderId="0" xfId="0" applyFont="1" applyBorder="1" applyAlignment="1">
      <alignment horizontal="center" vertical="center"/>
    </xf>
    <xf numFmtId="0" fontId="44" fillId="0" borderId="0" xfId="0" applyFont="1" applyBorder="1" applyAlignment="1">
      <alignment horizontal="left" vertical="center"/>
    </xf>
    <xf numFmtId="0" fontId="42" fillId="13" borderId="1" xfId="11" applyFont="1" applyFill="1" applyBorder="1" applyAlignment="1">
      <alignment horizontal="left" vertical="center"/>
    </xf>
    <xf numFmtId="0" fontId="42" fillId="13" borderId="1" xfId="11" applyFont="1" applyFill="1" applyBorder="1" applyAlignment="1">
      <alignment horizontal="center" vertical="center"/>
    </xf>
    <xf numFmtId="17" fontId="42" fillId="13" borderId="1" xfId="11" applyNumberFormat="1" applyFont="1" applyFill="1" applyBorder="1" applyAlignment="1">
      <alignment horizontal="center" vertical="center"/>
    </xf>
    <xf numFmtId="0" fontId="45" fillId="13" borderId="0" xfId="11" applyNumberFormat="1" applyFont="1" applyFill="1" applyBorder="1" applyAlignment="1"/>
    <xf numFmtId="0" fontId="42" fillId="13" borderId="0" xfId="11" applyNumberFormat="1" applyFont="1" applyFill="1" applyBorder="1" applyAlignment="1">
      <alignment horizontal="center"/>
    </xf>
    <xf numFmtId="44" fontId="42" fillId="13" borderId="0" xfId="11" applyNumberFormat="1" applyFont="1" applyFill="1" applyBorder="1" applyAlignment="1">
      <alignment horizontal="center"/>
    </xf>
    <xf numFmtId="0" fontId="42" fillId="13" borderId="24" xfId="11" applyFont="1" applyFill="1" applyBorder="1" applyAlignment="1">
      <alignment horizontal="center" vertical="center" wrapText="1"/>
    </xf>
    <xf numFmtId="0" fontId="42" fillId="13" borderId="25" xfId="11" applyFont="1" applyFill="1" applyBorder="1" applyAlignment="1">
      <alignment horizontal="center" vertical="center" wrapText="1"/>
    </xf>
    <xf numFmtId="0" fontId="42" fillId="14" borderId="25" xfId="11" applyFont="1" applyFill="1" applyBorder="1" applyAlignment="1">
      <alignment horizontal="center" vertical="center" wrapText="1"/>
    </xf>
    <xf numFmtId="3" fontId="50" fillId="0" borderId="26" xfId="14" applyNumberFormat="1" applyFont="1" applyBorder="1" applyAlignment="1">
      <alignment horizontal="center" vertical="center"/>
    </xf>
    <xf numFmtId="0" fontId="44" fillId="0" borderId="2" xfId="11" applyFont="1" applyFill="1" applyBorder="1" applyAlignment="1">
      <alignment horizontal="left" vertical="center"/>
    </xf>
    <xf numFmtId="44" fontId="44" fillId="0" borderId="2" xfId="24" applyFont="1" applyFill="1" applyBorder="1" applyAlignment="1">
      <alignment horizontal="left" vertical="center"/>
    </xf>
    <xf numFmtId="0" fontId="44" fillId="0" borderId="27" xfId="11" applyFont="1" applyFill="1" applyBorder="1" applyAlignment="1">
      <alignment horizontal="left" vertical="center"/>
    </xf>
    <xf numFmtId="44" fontId="44" fillId="0" borderId="27" xfId="24" applyFont="1" applyFill="1" applyBorder="1" applyAlignment="1">
      <alignment horizontal="left" vertical="center"/>
    </xf>
    <xf numFmtId="0" fontId="44" fillId="0" borderId="0" xfId="0" applyNumberFormat="1" applyFont="1" applyFill="1" applyBorder="1" applyAlignment="1">
      <alignment horizontal="right"/>
    </xf>
    <xf numFmtId="44" fontId="44" fillId="0" borderId="0" xfId="0" applyNumberFormat="1" applyFont="1" applyFill="1" applyBorder="1" applyAlignment="1">
      <alignment horizontal="center" vertical="center"/>
    </xf>
    <xf numFmtId="0" fontId="44" fillId="0" borderId="0" xfId="0" applyNumberFormat="1" applyFont="1" applyFill="1" applyBorder="1" applyAlignment="1">
      <alignment horizontal="left"/>
    </xf>
    <xf numFmtId="44" fontId="51" fillId="14" borderId="0" xfId="10" applyFont="1" applyFill="1" applyBorder="1" applyAlignment="1"/>
    <xf numFmtId="0" fontId="42" fillId="13" borderId="0" xfId="0" applyNumberFormat="1" applyFont="1" applyFill="1" applyBorder="1" applyAlignment="1">
      <alignment horizontal="center" vertical="center"/>
    </xf>
    <xf numFmtId="0" fontId="42" fillId="13" borderId="0" xfId="0" applyNumberFormat="1" applyFont="1" applyFill="1" applyBorder="1" applyAlignment="1">
      <alignment horizontal="center" vertical="center" wrapText="1"/>
    </xf>
    <xf numFmtId="0" fontId="42" fillId="14" borderId="0" xfId="0" applyNumberFormat="1" applyFont="1" applyFill="1" applyBorder="1" applyAlignment="1">
      <alignment horizontal="center" vertical="center"/>
    </xf>
    <xf numFmtId="0" fontId="44" fillId="0" borderId="0" xfId="0" quotePrefix="1" applyNumberFormat="1" applyFont="1" applyFill="1" applyBorder="1" applyAlignment="1">
      <alignment horizontal="center" vertical="center"/>
    </xf>
    <xf numFmtId="14" fontId="44" fillId="0" borderId="0" xfId="0" applyNumberFormat="1" applyFont="1" applyFill="1" applyBorder="1" applyAlignment="1">
      <alignment horizontal="center" vertical="center"/>
    </xf>
    <xf numFmtId="44" fontId="44" fillId="0" borderId="0" xfId="10" applyFont="1" applyFill="1" applyBorder="1" applyAlignment="1"/>
    <xf numFmtId="44" fontId="44" fillId="0" borderId="0" xfId="10" applyFont="1" applyFill="1" applyBorder="1" applyAlignment="1">
      <alignment horizontal="center" vertical="center"/>
    </xf>
    <xf numFmtId="0" fontId="44" fillId="0" borderId="0" xfId="0" applyNumberFormat="1" applyFont="1" applyFill="1" applyBorder="1" applyAlignment="1">
      <alignment horizontal="center"/>
    </xf>
    <xf numFmtId="3" fontId="44" fillId="0" borderId="0" xfId="0" applyNumberFormat="1" applyFont="1" applyFill="1" applyBorder="1" applyAlignment="1"/>
    <xf numFmtId="4" fontId="44" fillId="0" borderId="0" xfId="0" applyNumberFormat="1" applyFont="1" applyAlignment="1">
      <alignment horizontal="center" vertical="center"/>
    </xf>
    <xf numFmtId="44" fontId="45" fillId="0" borderId="0" xfId="0" applyNumberFormat="1" applyFont="1" applyFill="1" applyBorder="1" applyAlignment="1"/>
    <xf numFmtId="44" fontId="44" fillId="0" borderId="0" xfId="0" applyNumberFormat="1" applyFont="1" applyAlignment="1">
      <alignment horizontal="center" vertical="center"/>
    </xf>
    <xf numFmtId="44" fontId="46" fillId="4" borderId="1" xfId="10" applyFont="1" applyFill="1" applyBorder="1" applyAlignment="1">
      <alignment horizontal="center" vertical="center" wrapText="1"/>
    </xf>
    <xf numFmtId="44" fontId="46" fillId="5" borderId="1" xfId="10" applyFont="1" applyFill="1" applyBorder="1" applyAlignment="1">
      <alignment horizontal="center" vertical="center" wrapText="1"/>
    </xf>
    <xf numFmtId="0" fontId="44" fillId="16" borderId="1" xfId="0" applyFont="1" applyFill="1" applyBorder="1" applyAlignment="1">
      <alignment horizontal="center" vertical="center" wrapText="1"/>
    </xf>
    <xf numFmtId="3" fontId="44" fillId="16" borderId="1" xfId="0" applyNumberFormat="1" applyFont="1" applyFill="1" applyBorder="1" applyAlignment="1">
      <alignment horizontal="center" vertical="center" wrapText="1"/>
    </xf>
    <xf numFmtId="44" fontId="44" fillId="16" borderId="1" xfId="10" applyFont="1" applyFill="1" applyBorder="1" applyAlignment="1">
      <alignment horizontal="center" vertical="center" wrapText="1"/>
    </xf>
    <xf numFmtId="44" fontId="44" fillId="6" borderId="0" xfId="10" applyFont="1" applyFill="1" applyBorder="1" applyAlignment="1">
      <alignment horizontal="center" vertical="center"/>
    </xf>
    <xf numFmtId="44" fontId="45" fillId="0" borderId="0" xfId="10" applyFont="1" applyFill="1" applyBorder="1" applyAlignment="1"/>
    <xf numFmtId="44" fontId="45" fillId="0" borderId="0" xfId="11" applyNumberFormat="1" applyFont="1" applyFill="1" applyBorder="1" applyAlignment="1"/>
    <xf numFmtId="44" fontId="45" fillId="0" borderId="0" xfId="10" applyFont="1" applyFill="1" applyBorder="1" applyAlignment="1">
      <alignment horizontal="center" vertical="center"/>
    </xf>
    <xf numFmtId="44" fontId="42" fillId="0" borderId="0" xfId="10" applyFont="1" applyFill="1" applyBorder="1" applyAlignment="1">
      <alignment horizontal="center" vertical="center" wrapText="1"/>
    </xf>
    <xf numFmtId="164" fontId="44" fillId="0" borderId="0" xfId="0" applyNumberFormat="1" applyFont="1" applyFill="1" applyBorder="1" applyAlignment="1">
      <alignment horizontal="right" vertical="center" wrapText="1"/>
    </xf>
    <xf numFmtId="164" fontId="42" fillId="2" borderId="0" xfId="0" applyNumberFormat="1" applyFont="1" applyFill="1" applyBorder="1" applyAlignment="1">
      <alignment horizontal="center" vertical="center" wrapText="1"/>
    </xf>
    <xf numFmtId="164" fontId="44" fillId="0" borderId="16" xfId="0" applyNumberFormat="1" applyFont="1" applyFill="1" applyBorder="1" applyAlignment="1">
      <alignment horizontal="right" vertical="center" wrapText="1"/>
    </xf>
    <xf numFmtId="164" fontId="44" fillId="0" borderId="17" xfId="0" applyNumberFormat="1" applyFont="1" applyFill="1" applyBorder="1" applyAlignment="1">
      <alignment horizontal="right" vertical="center" wrapText="1"/>
    </xf>
    <xf numFmtId="164" fontId="44" fillId="0" borderId="18" xfId="0" applyNumberFormat="1" applyFont="1" applyFill="1" applyBorder="1" applyAlignment="1">
      <alignment horizontal="right" vertical="center" wrapText="1"/>
    </xf>
    <xf numFmtId="164" fontId="15" fillId="0" borderId="3" xfId="0" applyNumberFormat="1" applyFont="1" applyFill="1" applyBorder="1" applyAlignment="1">
      <alignment horizontal="right" vertical="center" wrapText="1"/>
    </xf>
    <xf numFmtId="164" fontId="15" fillId="0" borderId="4" xfId="0" applyNumberFormat="1" applyFont="1" applyFill="1" applyBorder="1" applyAlignment="1">
      <alignment horizontal="right" vertical="center" wrapText="1"/>
    </xf>
    <xf numFmtId="164" fontId="15" fillId="0" borderId="5" xfId="0" applyNumberFormat="1" applyFont="1" applyFill="1" applyBorder="1" applyAlignment="1">
      <alignment horizontal="right" vertical="center" wrapText="1"/>
    </xf>
    <xf numFmtId="0" fontId="26" fillId="5" borderId="2" xfId="0" applyNumberFormat="1" applyFont="1" applyFill="1" applyBorder="1" applyAlignment="1">
      <alignment horizontal="center" vertical="center" readingOrder="1"/>
    </xf>
    <xf numFmtId="0" fontId="13" fillId="11" borderId="2" xfId="0" applyNumberFormat="1" applyFont="1" applyFill="1" applyBorder="1" applyAlignment="1">
      <alignment horizontal="center"/>
    </xf>
  </cellXfs>
  <cellStyles count="25">
    <cellStyle name="Moeda" xfId="10" builtinId="4"/>
    <cellStyle name="Moeda 2" xfId="3" xr:uid="{912C0D05-C1C8-45A6-800D-C86656920D84}"/>
    <cellStyle name="Moeda 3" xfId="24" xr:uid="{3536D23F-A52A-48CD-AFD6-9065B58184DA}"/>
    <cellStyle name="Moeda 4" xfId="21" xr:uid="{E4028A5A-0E8F-4AA7-80E2-8986B142015A}"/>
    <cellStyle name="Moeda 5" xfId="18" xr:uid="{96E4E24B-F751-45CA-90D8-3D6296CEC951}"/>
    <cellStyle name="Normal" xfId="0" builtinId="0"/>
    <cellStyle name="Normal 10 2" xfId="13" xr:uid="{235922CF-0333-46D0-AD3A-649B26A3A451}"/>
    <cellStyle name="Normal 168 4 2 4" xfId="17" xr:uid="{584796BD-F9DE-47BA-9E6B-6A9311AB44FD}"/>
    <cellStyle name="Normal 2" xfId="1" xr:uid="{38801B41-28F2-47DC-97BC-5F7B593B8489}"/>
    <cellStyle name="Normal 2 2" xfId="4" xr:uid="{9243DD27-8DDD-4503-BB24-5556D2541B56}"/>
    <cellStyle name="Normal 2 2 4" xfId="8" xr:uid="{5DAD0B24-E2BB-4BFA-AFF2-7846176B559A}"/>
    <cellStyle name="Normal 2 2 4 2" xfId="19" xr:uid="{6E26CFEA-D7B7-41FD-A5A4-A9D55C77B034}"/>
    <cellStyle name="Normal 3" xfId="9" xr:uid="{7746079B-2E90-4494-82BE-3B6B072C3FE9}"/>
    <cellStyle name="Normal 4" xfId="11" xr:uid="{32F4C2CF-0A52-4A4E-B56B-762C762C577E}"/>
    <cellStyle name="Normal 5" xfId="12" xr:uid="{92C68F96-9AA1-452A-A2A4-D73E2936F0BE}"/>
    <cellStyle name="Normal 6" xfId="14" xr:uid="{D513AB66-B4C7-4BB2-BF25-A6A81036F892}"/>
    <cellStyle name="Normal 6 2" xfId="22" xr:uid="{C5664E77-3418-4E3A-8247-B1C0FEE01A4C}"/>
    <cellStyle name="Normal 7" xfId="16" xr:uid="{612F972F-A0EB-4410-B343-8B50A76B4B59}"/>
    <cellStyle name="Normal 9 2 2" xfId="6" xr:uid="{8CD58D89-3209-43CF-A740-5BFFC18C1822}"/>
    <cellStyle name="Porcentagem" xfId="15" builtinId="5"/>
    <cellStyle name="Porcentagem 2" xfId="23" xr:uid="{7CA5DADD-B0F3-461C-AF06-D8599AC277C5}"/>
    <cellStyle name="Vírgula 2" xfId="2" xr:uid="{934D4B3D-C836-430E-869C-B5D5CB92599D}"/>
    <cellStyle name="Vírgula 2 3" xfId="5" xr:uid="{294860C5-D3B6-4DB5-940D-DB69324F417D}"/>
    <cellStyle name="Vírgula 2 7" xfId="7" xr:uid="{DC9163EF-737F-45A0-A930-FF161B103026}"/>
    <cellStyle name="Vírgula 2 7 2" xfId="20" xr:uid="{23933D98-6AA0-4654-ADB2-7B5B5FD9CD02}"/>
  </cellStyles>
  <dxfs count="204">
    <dxf>
      <font>
        <b/>
        <i val="0"/>
        <color rgb="FF050ACB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rgb="FF050ACB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rgb="FF050ACB"/>
      </font>
      <fill>
        <patternFill>
          <bgColor theme="0" tint="-0.24994659260841701"/>
        </patternFill>
      </fill>
    </dxf>
    <dxf>
      <font>
        <b/>
        <i val="0"/>
        <color rgb="FF050ACB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rgb="FF050ACB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rgb="FF050ACB"/>
      </font>
      <fill>
        <patternFill>
          <bgColor theme="0" tint="-0.24994659260841701"/>
        </patternFill>
      </fill>
    </dxf>
    <dxf>
      <font>
        <b/>
        <i val="0"/>
        <color rgb="FF050ACB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rgb="FF050ACB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rgb="FF050ACB"/>
      </font>
      <fill>
        <patternFill>
          <bgColor theme="0" tint="-0.24994659260841701"/>
        </patternFill>
      </fill>
    </dxf>
    <dxf>
      <font>
        <b/>
        <i val="0"/>
        <color rgb="FF050ACB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rgb="FF050ACB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rgb="FF050ACB"/>
      </font>
      <fill>
        <patternFill>
          <bgColor theme="0" tint="-0.24994659260841701"/>
        </patternFill>
      </fill>
    </dxf>
    <dxf>
      <font>
        <b/>
        <i val="0"/>
        <color rgb="FF050ACB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rgb="FF050ACB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rgb="FF050ACB"/>
      </font>
      <fill>
        <patternFill>
          <bgColor theme="0" tint="-0.24994659260841701"/>
        </patternFill>
      </fill>
    </dxf>
    <dxf>
      <font>
        <b/>
        <i val="0"/>
        <color rgb="FF050ACB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rgb="FF050ACB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rgb="FF050ACB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050ACB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050ACB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050ACB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050ACB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BFBFBF"/>
    </indexedColors>
    <mruColors>
      <color rgb="FFC7ECBA"/>
      <color rgb="FF595959"/>
      <color rgb="FFFBD5F6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348342</xdr:colOff>
      <xdr:row>0</xdr:row>
      <xdr:rowOff>76201</xdr:rowOff>
    </xdr:from>
    <xdr:ext cx="1546462" cy="1029509"/>
    <xdr:pic>
      <xdr:nvPicPr>
        <xdr:cNvPr id="3" name="Imagem 2" descr="Texto&#10;&#10;Descrição gerada automaticamente">
          <a:extLst>
            <a:ext uri="{FF2B5EF4-FFF2-40B4-BE49-F238E27FC236}">
              <a16:creationId xmlns:a16="http://schemas.microsoft.com/office/drawing/2014/main" id="{B7C70CCE-9F88-4B5D-88E7-E04055C387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63" b="15003"/>
        <a:stretch/>
      </xdr:blipFill>
      <xdr:spPr>
        <a:xfrm>
          <a:off x="348342" y="76201"/>
          <a:ext cx="1539535" cy="103366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4655127</xdr:colOff>
      <xdr:row>1</xdr:row>
      <xdr:rowOff>107943</xdr:rowOff>
    </xdr:from>
    <xdr:ext cx="1294476" cy="882658"/>
    <xdr:pic>
      <xdr:nvPicPr>
        <xdr:cNvPr id="2" name="Imagem 1" descr="Texto&#10;&#10;Descrição gerada automaticamente">
          <a:extLst>
            <a:ext uri="{FF2B5EF4-FFF2-40B4-BE49-F238E27FC236}">
              <a16:creationId xmlns:a16="http://schemas.microsoft.com/office/drawing/2014/main" id="{86F0E958-BA1E-4A0F-BE02-C177890700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63" b="15003"/>
        <a:stretch/>
      </xdr:blipFill>
      <xdr:spPr>
        <a:xfrm>
          <a:off x="16458507" y="336543"/>
          <a:ext cx="1294476" cy="88265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97971</xdr:colOff>
      <xdr:row>0</xdr:row>
      <xdr:rowOff>0</xdr:rowOff>
    </xdr:from>
    <xdr:to>
      <xdr:col>1</xdr:col>
      <xdr:colOff>1371631</xdr:colOff>
      <xdr:row>4</xdr:row>
      <xdr:rowOff>115539</xdr:rowOff>
    </xdr:to>
    <xdr:pic>
      <xdr:nvPicPr>
        <xdr:cNvPr id="2" name="Imagem 1" descr="Texto&#10;&#10;Descrição gerada automaticamente">
          <a:extLst>
            <a:ext uri="{FF2B5EF4-FFF2-40B4-BE49-F238E27FC236}">
              <a16:creationId xmlns:a16="http://schemas.microsoft.com/office/drawing/2014/main" id="{4544422A-5B5D-434E-8DD2-4573993E85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63" b="15003"/>
        <a:stretch/>
      </xdr:blipFill>
      <xdr:spPr>
        <a:xfrm>
          <a:off x="97971" y="0"/>
          <a:ext cx="1447800" cy="110937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244135</xdr:colOff>
      <xdr:row>1</xdr:row>
      <xdr:rowOff>73545</xdr:rowOff>
    </xdr:to>
    <xdr:pic>
      <xdr:nvPicPr>
        <xdr:cNvPr id="2" name="Imagem 1" descr="Texto&#10;&#10;Descrição gerada automaticamente">
          <a:extLst>
            <a:ext uri="{FF2B5EF4-FFF2-40B4-BE49-F238E27FC236}">
              <a16:creationId xmlns:a16="http://schemas.microsoft.com/office/drawing/2014/main" id="{35C5A95C-E515-49DF-9F15-B1B99E6D8C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63" b="15003"/>
        <a:stretch/>
      </xdr:blipFill>
      <xdr:spPr>
        <a:xfrm>
          <a:off x="0" y="0"/>
          <a:ext cx="1539535" cy="10336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4655127</xdr:colOff>
      <xdr:row>1</xdr:row>
      <xdr:rowOff>107943</xdr:rowOff>
    </xdr:from>
    <xdr:ext cx="1294476" cy="882658"/>
    <xdr:pic>
      <xdr:nvPicPr>
        <xdr:cNvPr id="2" name="Imagem 1" descr="Texto&#10;&#10;Descrição gerada automaticamente">
          <a:extLst>
            <a:ext uri="{FF2B5EF4-FFF2-40B4-BE49-F238E27FC236}">
              <a16:creationId xmlns:a16="http://schemas.microsoft.com/office/drawing/2014/main" id="{0189D9E5-7FAD-4C45-8609-47873EC4D6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63" b="15003"/>
        <a:stretch/>
      </xdr:blipFill>
      <xdr:spPr>
        <a:xfrm>
          <a:off x="16458507" y="336543"/>
          <a:ext cx="1294476" cy="882658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688825</xdr:colOff>
      <xdr:row>1</xdr:row>
      <xdr:rowOff>73545</xdr:rowOff>
    </xdr:to>
    <xdr:pic>
      <xdr:nvPicPr>
        <xdr:cNvPr id="3" name="Imagem 2" descr="Texto&#10;&#10;Descrição gerada automaticamente">
          <a:extLst>
            <a:ext uri="{FF2B5EF4-FFF2-40B4-BE49-F238E27FC236}">
              <a16:creationId xmlns:a16="http://schemas.microsoft.com/office/drawing/2014/main" id="{1EBCF835-4FDA-4F2B-8815-91DDC52A18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63" b="15003"/>
        <a:stretch/>
      </xdr:blipFill>
      <xdr:spPr>
        <a:xfrm>
          <a:off x="0" y="0"/>
          <a:ext cx="1531507" cy="103276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310458</xdr:colOff>
      <xdr:row>1</xdr:row>
      <xdr:rowOff>6466</xdr:rowOff>
    </xdr:from>
    <xdr:ext cx="1294476" cy="603607"/>
    <xdr:pic>
      <xdr:nvPicPr>
        <xdr:cNvPr id="3" name="Imagem 2" descr="Texto&#10;&#10;Descrição gerada automaticamente">
          <a:extLst>
            <a:ext uri="{FF2B5EF4-FFF2-40B4-BE49-F238E27FC236}">
              <a16:creationId xmlns:a16="http://schemas.microsoft.com/office/drawing/2014/main" id="{7721AC9D-7CF9-44CF-A8B2-5A0EF403E6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63" b="15003"/>
        <a:stretch/>
      </xdr:blipFill>
      <xdr:spPr>
        <a:xfrm>
          <a:off x="16719402" y="204767"/>
          <a:ext cx="1294476" cy="603607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5.%20MAIO/LYO004-SF-Romaneio%200026.xlsm" TargetMode="External"/><Relationship Id="rId2" Type="http://schemas.openxmlformats.org/officeDocument/2006/relationships/externalLinkPath" Target="https://abrgerenciamento.sharepoint.com/sites/LYO004SIMOESFILHOG200/Documentos%20Compartilhados/03.%20CUSTOS/3.0%20MEDI&#199;&#213;ES%20APROVADAS%20E%20NF'S/1.%20ROMANEIOS/5.%20MAIO/LYO004-SF-Romaneio%200026.xlsm" TargetMode="External"/><Relationship Id="rId1" Type="http://schemas.openxmlformats.org/officeDocument/2006/relationships/externalLinkPath" Target="/sites/LYO004SIMOESFILHOG200/Documentos%20Compartilhados/03.%20CUSTOS/3.0%20MEDI&#199;&#213;ES%20APROVADAS%20E%20NF'S/1.%20ROMANEIOS/5.%20MAIO/LYO004-SF-Romaneio%200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RT´s"/>
      <sheetName val="OMs APROVADAS"/>
      <sheetName val="GRAFICO PMG"/>
      <sheetName val="CENTRO DE CUSTO-SUBESTAÇÃO"/>
      <sheetName val="CADASTRO CENTRO DE CUSTO-ALOCAÇ"/>
      <sheetName val="DINAMICA CONTRATOS"/>
      <sheetName val="RESUMO CONTRATOS"/>
      <sheetName val="PEDIDOS"/>
      <sheetName val="CONTRATOS EAP"/>
      <sheetName val="CONTRATOS"/>
      <sheetName val="sem arquivos pdf"/>
      <sheetName val="SUB CONTRATADOS"/>
      <sheetName val="Planilha1"/>
      <sheetName val="BOLETIM DE MEDIÇÃO"/>
      <sheetName val="NOTAS FISCAIS"/>
      <sheetName val="APOIO"/>
      <sheetName val="Planilha3"/>
      <sheetName val="Planilha2"/>
      <sheetName val="CADASTRO DE FORNECEDORES"/>
      <sheetName val="RESUMO DE ROMANEIOS"/>
      <sheetName val="RESUMO CONTRATO+ADIANTAMENTO"/>
      <sheetName val="RESUMO DE ADIANTAMENTOS"/>
      <sheetName val="%"/>
      <sheetName val="CC"/>
      <sheetName val="NOTAS PG SEGURO"/>
      <sheetName val="DINAMICA"/>
      <sheetName val="RELATORIO MENSAL"/>
      <sheetName val="Controle Liberação de Retenções"/>
      <sheetName val="Controle ADITIVOS"/>
      <sheetName val="AD TERRAM"/>
      <sheetName val="RELATÓRIO FINANCEIRO 02"/>
      <sheetName val="Planilha5"/>
      <sheetName val="UNIFICADO"/>
    </sheetNames>
    <sheetDataSet>
      <sheetData sheetId="0"/>
      <sheetData sheetId="1"/>
      <sheetData sheetId="2"/>
      <sheetData sheetId="3"/>
      <sheetData sheetId="4">
        <row r="2">
          <cell r="A2" t="str">
            <v>CENTRO DE CUSTO
ALOCAÇÃO</v>
          </cell>
          <cell r="C2" t="str">
            <v>EAP PMG</v>
          </cell>
        </row>
        <row r="3">
          <cell r="C3" t="str">
            <v>INICIAL</v>
          </cell>
        </row>
        <row r="4">
          <cell r="C4" t="e">
            <v>#N/A</v>
          </cell>
        </row>
        <row r="5">
          <cell r="A5">
            <v>1</v>
          </cell>
          <cell r="C5" t="e">
            <v>#N/A</v>
          </cell>
        </row>
        <row r="6">
          <cell r="A6">
            <v>1001</v>
          </cell>
          <cell r="C6" t="e">
            <v>#N/A</v>
          </cell>
        </row>
        <row r="7">
          <cell r="A7">
            <v>1001001</v>
          </cell>
          <cell r="C7">
            <v>4318265.12</v>
          </cell>
        </row>
        <row r="8">
          <cell r="A8">
            <v>1001001001</v>
          </cell>
          <cell r="C8">
            <v>2017612.69</v>
          </cell>
        </row>
        <row r="9">
          <cell r="A9">
            <v>1001001002</v>
          </cell>
          <cell r="C9">
            <v>2300652.4300000002</v>
          </cell>
        </row>
        <row r="10">
          <cell r="A10">
            <v>1001002</v>
          </cell>
          <cell r="C10" t="e">
            <v>#N/A</v>
          </cell>
        </row>
        <row r="11">
          <cell r="A11">
            <v>1001002001</v>
          </cell>
          <cell r="C11" t="e">
            <v>#N/A</v>
          </cell>
        </row>
        <row r="12">
          <cell r="A12">
            <v>1001002002</v>
          </cell>
          <cell r="C12">
            <v>4636906.6100000003</v>
          </cell>
        </row>
        <row r="13">
          <cell r="A13">
            <v>1001002003</v>
          </cell>
          <cell r="C13">
            <v>22691171.920000002</v>
          </cell>
        </row>
        <row r="14">
          <cell r="A14">
            <v>1001002004</v>
          </cell>
          <cell r="C14">
            <v>80552.539999999994</v>
          </cell>
        </row>
        <row r="15">
          <cell r="A15">
            <v>1001002005</v>
          </cell>
          <cell r="C15">
            <v>712470</v>
          </cell>
        </row>
        <row r="16">
          <cell r="A16">
            <v>1001002006</v>
          </cell>
          <cell r="C16">
            <v>6392000</v>
          </cell>
        </row>
        <row r="17">
          <cell r="A17">
            <v>1001002007</v>
          </cell>
          <cell r="C17">
            <v>800400</v>
          </cell>
        </row>
        <row r="18">
          <cell r="A18">
            <v>1001002008</v>
          </cell>
          <cell r="C18">
            <v>4632635.17</v>
          </cell>
        </row>
        <row r="19">
          <cell r="A19">
            <v>1001003</v>
          </cell>
          <cell r="C19" t="e">
            <v>#N/A</v>
          </cell>
        </row>
        <row r="20">
          <cell r="A20">
            <v>1001003001</v>
          </cell>
          <cell r="C20">
            <v>9773681.3300000001</v>
          </cell>
        </row>
        <row r="21">
          <cell r="A21">
            <v>1001003002</v>
          </cell>
          <cell r="C21">
            <v>12610439.23</v>
          </cell>
        </row>
        <row r="22">
          <cell r="A22">
            <v>1001003003</v>
          </cell>
          <cell r="C22">
            <v>39714154.840000004</v>
          </cell>
        </row>
        <row r="23">
          <cell r="A23">
            <v>1001003004</v>
          </cell>
          <cell r="C23">
            <v>16686202.039999999</v>
          </cell>
        </row>
        <row r="24">
          <cell r="A24">
            <v>1001003005</v>
          </cell>
          <cell r="C24">
            <v>2316824.14</v>
          </cell>
        </row>
        <row r="25">
          <cell r="A25">
            <v>1001003006</v>
          </cell>
          <cell r="C25">
            <v>750757.69</v>
          </cell>
        </row>
        <row r="26">
          <cell r="A26">
            <v>1001003007</v>
          </cell>
          <cell r="C26">
            <v>0</v>
          </cell>
        </row>
        <row r="27">
          <cell r="A27">
            <v>1001003008</v>
          </cell>
          <cell r="C27">
            <v>0</v>
          </cell>
        </row>
        <row r="28">
          <cell r="A28">
            <v>1001003009</v>
          </cell>
          <cell r="C28">
            <v>0</v>
          </cell>
        </row>
        <row r="29">
          <cell r="A29">
            <v>1001003010</v>
          </cell>
          <cell r="C29">
            <v>779756.42</v>
          </cell>
        </row>
        <row r="30">
          <cell r="A30">
            <v>1001003011</v>
          </cell>
          <cell r="C30">
            <v>2965707.48</v>
          </cell>
        </row>
        <row r="31">
          <cell r="A31">
            <v>1001003012</v>
          </cell>
          <cell r="C31">
            <v>311057.28000000003</v>
          </cell>
        </row>
        <row r="32">
          <cell r="A32">
            <v>1001003013</v>
          </cell>
          <cell r="C32">
            <v>781818.29</v>
          </cell>
        </row>
        <row r="33">
          <cell r="A33">
            <v>1001003014</v>
          </cell>
          <cell r="C33">
            <v>0</v>
          </cell>
        </row>
        <row r="34">
          <cell r="A34">
            <v>1001003015</v>
          </cell>
          <cell r="C34" t="e">
            <v>#N/A</v>
          </cell>
        </row>
        <row r="35">
          <cell r="A35">
            <v>1001004</v>
          </cell>
          <cell r="C35">
            <v>23248542.140000001</v>
          </cell>
        </row>
        <row r="36">
          <cell r="A36">
            <v>1001004001</v>
          </cell>
          <cell r="C36">
            <v>4576075.5999999996</v>
          </cell>
        </row>
        <row r="37">
          <cell r="A37">
            <v>1001004002</v>
          </cell>
          <cell r="C37">
            <v>9253125</v>
          </cell>
        </row>
        <row r="38">
          <cell r="A38">
            <v>1001004003</v>
          </cell>
          <cell r="C38">
            <v>0</v>
          </cell>
        </row>
        <row r="39">
          <cell r="A39">
            <v>1001004004</v>
          </cell>
          <cell r="C39">
            <v>0</v>
          </cell>
        </row>
        <row r="40">
          <cell r="A40">
            <v>1001004005</v>
          </cell>
          <cell r="C40">
            <v>1094800</v>
          </cell>
        </row>
        <row r="41">
          <cell r="A41">
            <v>1001004006</v>
          </cell>
          <cell r="C41">
            <v>4091136.15</v>
          </cell>
        </row>
        <row r="42">
          <cell r="A42">
            <v>1001004007</v>
          </cell>
          <cell r="C42">
            <v>2078605.39</v>
          </cell>
        </row>
        <row r="43">
          <cell r="A43">
            <v>1001004008</v>
          </cell>
          <cell r="C43">
            <v>40000</v>
          </cell>
        </row>
        <row r="44">
          <cell r="A44">
            <v>1001004009</v>
          </cell>
          <cell r="C44">
            <v>0</v>
          </cell>
        </row>
        <row r="45">
          <cell r="A45">
            <v>1001004010</v>
          </cell>
          <cell r="C45">
            <v>2114800</v>
          </cell>
        </row>
        <row r="46">
          <cell r="A46">
            <v>1001005</v>
          </cell>
          <cell r="C46">
            <v>27926047.350000001</v>
          </cell>
        </row>
        <row r="47">
          <cell r="A47">
            <v>1001005001</v>
          </cell>
          <cell r="C47">
            <v>27273269.68</v>
          </cell>
        </row>
        <row r="48">
          <cell r="A48">
            <v>1001005002</v>
          </cell>
          <cell r="C48">
            <v>652777.67000000004</v>
          </cell>
        </row>
        <row r="49">
          <cell r="A49">
            <v>1001006</v>
          </cell>
          <cell r="C49">
            <v>19931939.239999998</v>
          </cell>
        </row>
        <row r="50">
          <cell r="A50">
            <v>1001006001</v>
          </cell>
          <cell r="C50">
            <v>13356940.130000001</v>
          </cell>
        </row>
        <row r="51">
          <cell r="A51">
            <v>1001006002</v>
          </cell>
          <cell r="C51">
            <v>3354411.09</v>
          </cell>
        </row>
        <row r="52">
          <cell r="A52">
            <v>1001006003</v>
          </cell>
          <cell r="C52">
            <v>221200</v>
          </cell>
        </row>
        <row r="53">
          <cell r="A53">
            <v>1001006004</v>
          </cell>
          <cell r="C53">
            <v>836000</v>
          </cell>
        </row>
        <row r="54">
          <cell r="A54">
            <v>1001006005</v>
          </cell>
          <cell r="C54">
            <v>250000</v>
          </cell>
        </row>
        <row r="55">
          <cell r="A55">
            <v>1001006006</v>
          </cell>
          <cell r="C55">
            <v>1913388.02</v>
          </cell>
        </row>
        <row r="56">
          <cell r="A56">
            <v>1001006007</v>
          </cell>
          <cell r="C56">
            <v>0</v>
          </cell>
        </row>
        <row r="57">
          <cell r="A57">
            <v>1002</v>
          </cell>
          <cell r="C57">
            <v>134404294.03</v>
          </cell>
        </row>
        <row r="58">
          <cell r="A58">
            <v>1002001</v>
          </cell>
          <cell r="C58">
            <v>1402140.9</v>
          </cell>
        </row>
        <row r="59">
          <cell r="A59">
            <v>1002001001</v>
          </cell>
          <cell r="C59">
            <v>652140.9</v>
          </cell>
        </row>
        <row r="60">
          <cell r="A60">
            <v>1002001002</v>
          </cell>
          <cell r="C60">
            <v>750000</v>
          </cell>
        </row>
        <row r="61">
          <cell r="A61">
            <v>1002002</v>
          </cell>
          <cell r="C61">
            <v>107827103.44999999</v>
          </cell>
        </row>
        <row r="62">
          <cell r="A62">
            <v>1002002001</v>
          </cell>
          <cell r="C62">
            <v>23488208.93</v>
          </cell>
        </row>
        <row r="63">
          <cell r="A63">
            <v>1002002002</v>
          </cell>
          <cell r="C63">
            <v>63105862.43</v>
          </cell>
        </row>
        <row r="64">
          <cell r="A64">
            <v>1002002003</v>
          </cell>
          <cell r="C64">
            <v>16862598.43</v>
          </cell>
        </row>
        <row r="65">
          <cell r="A65">
            <v>1002002004</v>
          </cell>
          <cell r="C65">
            <v>3620433.66</v>
          </cell>
        </row>
        <row r="66">
          <cell r="A66">
            <v>1002002005</v>
          </cell>
          <cell r="C66">
            <v>250000</v>
          </cell>
        </row>
        <row r="67">
          <cell r="A67">
            <v>1002002006</v>
          </cell>
          <cell r="C67">
            <v>500000</v>
          </cell>
        </row>
        <row r="68">
          <cell r="A68">
            <v>1002003</v>
          </cell>
          <cell r="C68">
            <v>25175049.68</v>
          </cell>
        </row>
        <row r="69">
          <cell r="A69">
            <v>1002003001</v>
          </cell>
          <cell r="C69">
            <v>25175049.68</v>
          </cell>
        </row>
        <row r="70">
          <cell r="A70">
            <v>1003</v>
          </cell>
          <cell r="C70">
            <v>44294933.43</v>
          </cell>
        </row>
        <row r="71">
          <cell r="A71">
            <v>1003001</v>
          </cell>
          <cell r="C71">
            <v>12807447.34</v>
          </cell>
        </row>
        <row r="72">
          <cell r="A72">
            <v>1003001001</v>
          </cell>
          <cell r="C72">
            <v>12807447.34</v>
          </cell>
        </row>
        <row r="73">
          <cell r="A73">
            <v>1003002</v>
          </cell>
          <cell r="C73">
            <v>8740881.3000000007</v>
          </cell>
        </row>
        <row r="74">
          <cell r="A74">
            <v>1003002001</v>
          </cell>
          <cell r="C74">
            <v>1824735.05</v>
          </cell>
        </row>
        <row r="75">
          <cell r="A75">
            <v>1003002002</v>
          </cell>
          <cell r="C75">
            <v>6916146.25</v>
          </cell>
        </row>
        <row r="76">
          <cell r="A76">
            <v>1003003</v>
          </cell>
          <cell r="C76">
            <v>8331760.7599999998</v>
          </cell>
        </row>
        <row r="77">
          <cell r="A77">
            <v>1003003001</v>
          </cell>
          <cell r="C77">
            <v>3616579.1</v>
          </cell>
        </row>
        <row r="78">
          <cell r="A78">
            <v>1003003002</v>
          </cell>
          <cell r="C78">
            <v>4715181.66</v>
          </cell>
        </row>
        <row r="79">
          <cell r="A79">
            <v>1003004</v>
          </cell>
          <cell r="C79">
            <v>10910524.139999999</v>
          </cell>
        </row>
        <row r="80">
          <cell r="A80">
            <v>1003004001</v>
          </cell>
          <cell r="C80">
            <v>9431584.7899999991</v>
          </cell>
        </row>
        <row r="81">
          <cell r="A81">
            <v>1003004002</v>
          </cell>
          <cell r="C81">
            <v>1478939.35</v>
          </cell>
        </row>
        <row r="82">
          <cell r="A82">
            <v>1003005</v>
          </cell>
          <cell r="C82">
            <v>2566738.27</v>
          </cell>
        </row>
        <row r="83">
          <cell r="A83">
            <v>1003005001</v>
          </cell>
          <cell r="C83">
            <v>2566738.27</v>
          </cell>
        </row>
        <row r="84">
          <cell r="A84">
            <v>1003006</v>
          </cell>
          <cell r="C84">
            <v>937581.62</v>
          </cell>
        </row>
        <row r="85">
          <cell r="A85">
            <v>1003006001</v>
          </cell>
          <cell r="C85">
            <v>937581.62</v>
          </cell>
        </row>
        <row r="86">
          <cell r="A86">
            <v>1004</v>
          </cell>
          <cell r="C86">
            <v>4448328.92</v>
          </cell>
        </row>
        <row r="87">
          <cell r="A87">
            <v>1004001</v>
          </cell>
          <cell r="C87">
            <v>2203988.67</v>
          </cell>
        </row>
        <row r="88">
          <cell r="A88">
            <v>1004001001</v>
          </cell>
          <cell r="C88">
            <v>40000</v>
          </cell>
        </row>
        <row r="89">
          <cell r="A89">
            <v>1004001002</v>
          </cell>
          <cell r="C89">
            <v>180000</v>
          </cell>
        </row>
        <row r="90">
          <cell r="A90">
            <v>1004001003</v>
          </cell>
          <cell r="C90">
            <v>178456.92</v>
          </cell>
        </row>
        <row r="91">
          <cell r="A91">
            <v>1004001004</v>
          </cell>
          <cell r="C91">
            <v>1504031.75</v>
          </cell>
        </row>
        <row r="92">
          <cell r="A92">
            <v>1004001005</v>
          </cell>
          <cell r="C92">
            <v>301500</v>
          </cell>
        </row>
        <row r="93">
          <cell r="A93">
            <v>1004002</v>
          </cell>
          <cell r="C93">
            <v>2244340.25</v>
          </cell>
        </row>
        <row r="94">
          <cell r="A94">
            <v>1004002001</v>
          </cell>
          <cell r="C94">
            <v>552250</v>
          </cell>
        </row>
        <row r="95">
          <cell r="A95">
            <v>1004002002</v>
          </cell>
          <cell r="C95">
            <v>41260</v>
          </cell>
        </row>
        <row r="96">
          <cell r="A96">
            <v>1004002003</v>
          </cell>
          <cell r="C96">
            <v>63606.44</v>
          </cell>
        </row>
        <row r="97">
          <cell r="A97">
            <v>1004002004</v>
          </cell>
          <cell r="C97">
            <v>90000</v>
          </cell>
        </row>
        <row r="98">
          <cell r="A98">
            <v>1004002005</v>
          </cell>
          <cell r="C98">
            <v>75000</v>
          </cell>
        </row>
        <row r="99">
          <cell r="A99">
            <v>1004002006</v>
          </cell>
          <cell r="C99">
            <v>75000</v>
          </cell>
        </row>
        <row r="100">
          <cell r="A100">
            <v>1004002007</v>
          </cell>
          <cell r="C100">
            <v>75000</v>
          </cell>
        </row>
        <row r="101">
          <cell r="A101">
            <v>1004002008</v>
          </cell>
          <cell r="C101">
            <v>90000</v>
          </cell>
        </row>
        <row r="102">
          <cell r="A102">
            <v>1004002009</v>
          </cell>
          <cell r="C102">
            <v>167291.82999999999</v>
          </cell>
        </row>
        <row r="103">
          <cell r="A103">
            <v>1004002010</v>
          </cell>
          <cell r="C103">
            <v>864931.98</v>
          </cell>
        </row>
        <row r="104">
          <cell r="A104">
            <v>1004002011</v>
          </cell>
          <cell r="C104">
            <v>150000</v>
          </cell>
        </row>
        <row r="105">
          <cell r="A105">
            <v>1005</v>
          </cell>
          <cell r="C105">
            <v>1192703.22</v>
          </cell>
        </row>
        <row r="106">
          <cell r="A106">
            <v>1005001</v>
          </cell>
          <cell r="C106">
            <v>1192703.22</v>
          </cell>
        </row>
        <row r="107">
          <cell r="A107">
            <v>1005001001</v>
          </cell>
          <cell r="C107">
            <v>453155.09</v>
          </cell>
        </row>
        <row r="108">
          <cell r="A108">
            <v>1005001002</v>
          </cell>
          <cell r="C108">
            <v>207090.9</v>
          </cell>
        </row>
        <row r="109">
          <cell r="A109">
            <v>1005001003</v>
          </cell>
          <cell r="C109">
            <v>532457.23</v>
          </cell>
        </row>
        <row r="110">
          <cell r="A110">
            <v>2</v>
          </cell>
          <cell r="C110">
            <v>66801015.840684935</v>
          </cell>
        </row>
        <row r="111">
          <cell r="A111">
            <v>2001</v>
          </cell>
          <cell r="C111">
            <v>7862893.2806849321</v>
          </cell>
        </row>
        <row r="112">
          <cell r="A112">
            <v>2001001</v>
          </cell>
          <cell r="C112">
            <v>1512414.59</v>
          </cell>
        </row>
        <row r="113">
          <cell r="A113">
            <v>2001001001</v>
          </cell>
          <cell r="C113">
            <v>786497.6</v>
          </cell>
        </row>
        <row r="114">
          <cell r="A114">
            <v>2001001002</v>
          </cell>
          <cell r="C114">
            <v>345526.23</v>
          </cell>
        </row>
        <row r="115">
          <cell r="A115">
            <v>2001001003</v>
          </cell>
          <cell r="C115">
            <v>9000</v>
          </cell>
        </row>
        <row r="116">
          <cell r="A116">
            <v>2001001004</v>
          </cell>
          <cell r="C116">
            <v>0</v>
          </cell>
        </row>
        <row r="117">
          <cell r="A117">
            <v>2001001005</v>
          </cell>
          <cell r="C117">
            <v>49801.599999999999</v>
          </cell>
        </row>
        <row r="118">
          <cell r="A118">
            <v>2001001006</v>
          </cell>
          <cell r="C118">
            <v>233873.5</v>
          </cell>
        </row>
        <row r="119">
          <cell r="A119">
            <v>2001001007</v>
          </cell>
          <cell r="C119">
            <v>44330</v>
          </cell>
        </row>
        <row r="120">
          <cell r="A120">
            <v>2001001008</v>
          </cell>
          <cell r="C120">
            <v>0</v>
          </cell>
        </row>
        <row r="121">
          <cell r="A121">
            <v>2001001009</v>
          </cell>
          <cell r="C121">
            <v>0</v>
          </cell>
        </row>
        <row r="122">
          <cell r="A122">
            <v>2001001010</v>
          </cell>
          <cell r="C122">
            <v>43385.66</v>
          </cell>
        </row>
        <row r="123">
          <cell r="A123">
            <v>2001002</v>
          </cell>
          <cell r="C123">
            <v>1401130.51</v>
          </cell>
        </row>
        <row r="124">
          <cell r="A124">
            <v>2001002001</v>
          </cell>
          <cell r="C124">
            <v>1354518.18</v>
          </cell>
        </row>
        <row r="125">
          <cell r="A125">
            <v>2001002002</v>
          </cell>
          <cell r="C125">
            <v>42875</v>
          </cell>
        </row>
        <row r="126">
          <cell r="A126">
            <v>2001002003</v>
          </cell>
          <cell r="C126">
            <v>3737.33</v>
          </cell>
        </row>
        <row r="127">
          <cell r="A127">
            <v>2001003</v>
          </cell>
          <cell r="C127">
            <v>1078257.27</v>
          </cell>
        </row>
        <row r="128">
          <cell r="A128">
            <v>2001003001</v>
          </cell>
          <cell r="C128">
            <v>1078257.27</v>
          </cell>
        </row>
        <row r="129">
          <cell r="A129">
            <v>2001003002</v>
          </cell>
          <cell r="C129">
            <v>0</v>
          </cell>
        </row>
        <row r="130">
          <cell r="A130">
            <v>2001003003</v>
          </cell>
          <cell r="C130">
            <v>0</v>
          </cell>
        </row>
        <row r="131">
          <cell r="A131">
            <v>2001004</v>
          </cell>
          <cell r="C131">
            <v>105028.65000000001</v>
          </cell>
        </row>
        <row r="132">
          <cell r="A132">
            <v>2001004001</v>
          </cell>
          <cell r="C132">
            <v>90508.760000000009</v>
          </cell>
        </row>
        <row r="133">
          <cell r="A133">
            <v>2001004002</v>
          </cell>
          <cell r="C133">
            <v>12113.5</v>
          </cell>
        </row>
        <row r="134">
          <cell r="A134">
            <v>2001004003</v>
          </cell>
          <cell r="C134">
            <v>0</v>
          </cell>
        </row>
        <row r="135">
          <cell r="A135">
            <v>2001004004</v>
          </cell>
          <cell r="C135">
            <v>2406.39</v>
          </cell>
        </row>
        <row r="136">
          <cell r="A136">
            <v>2001005</v>
          </cell>
          <cell r="C136">
            <v>250000</v>
          </cell>
        </row>
        <row r="137">
          <cell r="A137">
            <v>2001005001</v>
          </cell>
          <cell r="C137">
            <v>0</v>
          </cell>
        </row>
        <row r="138">
          <cell r="A138">
            <v>2001005002</v>
          </cell>
          <cell r="C138">
            <v>250000</v>
          </cell>
        </row>
        <row r="139">
          <cell r="A139">
            <v>2001006</v>
          </cell>
          <cell r="C139">
            <v>166043.29999999999</v>
          </cell>
        </row>
        <row r="140">
          <cell r="A140">
            <v>2001006001</v>
          </cell>
          <cell r="C140">
            <v>163230</v>
          </cell>
        </row>
        <row r="141">
          <cell r="A141">
            <v>2001006002</v>
          </cell>
          <cell r="C141">
            <v>0</v>
          </cell>
        </row>
        <row r="142">
          <cell r="A142">
            <v>2001006003</v>
          </cell>
          <cell r="C142">
            <v>0</v>
          </cell>
        </row>
        <row r="143">
          <cell r="A143">
            <v>2001006004</v>
          </cell>
          <cell r="C143">
            <v>0</v>
          </cell>
        </row>
        <row r="144">
          <cell r="A144">
            <v>2001006005</v>
          </cell>
          <cell r="C144">
            <v>0</v>
          </cell>
        </row>
        <row r="145">
          <cell r="A145">
            <v>2001006006</v>
          </cell>
          <cell r="C145">
            <v>0</v>
          </cell>
        </row>
        <row r="146">
          <cell r="A146">
            <v>2001006007</v>
          </cell>
          <cell r="C146">
            <v>0</v>
          </cell>
        </row>
        <row r="147">
          <cell r="A147">
            <v>2001006008</v>
          </cell>
          <cell r="C147">
            <v>0</v>
          </cell>
        </row>
        <row r="148">
          <cell r="A148">
            <v>2001006009</v>
          </cell>
          <cell r="C148">
            <v>0</v>
          </cell>
        </row>
        <row r="149">
          <cell r="A149">
            <v>2001006010</v>
          </cell>
          <cell r="C149">
            <v>0</v>
          </cell>
        </row>
        <row r="150">
          <cell r="A150">
            <v>2001006011</v>
          </cell>
          <cell r="C150">
            <v>0</v>
          </cell>
        </row>
        <row r="151">
          <cell r="A151">
            <v>2001006012</v>
          </cell>
          <cell r="C151">
            <v>0</v>
          </cell>
        </row>
        <row r="152">
          <cell r="A152">
            <v>2001006013</v>
          </cell>
          <cell r="C152">
            <v>2813.3</v>
          </cell>
        </row>
        <row r="153">
          <cell r="A153">
            <v>2001006014</v>
          </cell>
          <cell r="C153">
            <v>0</v>
          </cell>
        </row>
        <row r="154">
          <cell r="A154">
            <v>2001006015</v>
          </cell>
          <cell r="C154">
            <v>0</v>
          </cell>
        </row>
        <row r="155">
          <cell r="A155">
            <v>2001006016</v>
          </cell>
          <cell r="C155">
            <v>0</v>
          </cell>
        </row>
        <row r="156">
          <cell r="A156">
            <v>2001006017</v>
          </cell>
          <cell r="C156">
            <v>0</v>
          </cell>
        </row>
        <row r="157">
          <cell r="A157">
            <v>2001006018</v>
          </cell>
          <cell r="C157">
            <v>0</v>
          </cell>
        </row>
        <row r="158">
          <cell r="A158">
            <v>2001006019</v>
          </cell>
          <cell r="C158">
            <v>0</v>
          </cell>
        </row>
        <row r="159">
          <cell r="A159">
            <v>2001006020</v>
          </cell>
          <cell r="C159">
            <v>0</v>
          </cell>
        </row>
        <row r="160">
          <cell r="A160">
            <v>2001007</v>
          </cell>
          <cell r="C160">
            <v>25100</v>
          </cell>
        </row>
        <row r="161">
          <cell r="A161">
            <v>2001007001</v>
          </cell>
          <cell r="C161">
            <v>0</v>
          </cell>
        </row>
        <row r="162">
          <cell r="A162">
            <v>2001007002</v>
          </cell>
          <cell r="C162">
            <v>0</v>
          </cell>
        </row>
        <row r="163">
          <cell r="A163">
            <v>2001007003</v>
          </cell>
          <cell r="C163">
            <v>25100</v>
          </cell>
        </row>
        <row r="164">
          <cell r="A164">
            <v>2001008</v>
          </cell>
          <cell r="C164">
            <v>13682.15</v>
          </cell>
        </row>
        <row r="165">
          <cell r="A165">
            <v>2001008001</v>
          </cell>
          <cell r="C165">
            <v>13682.15</v>
          </cell>
        </row>
        <row r="166">
          <cell r="A166">
            <v>2001008002</v>
          </cell>
          <cell r="C166">
            <v>0</v>
          </cell>
        </row>
        <row r="167">
          <cell r="A167">
            <v>2001008003</v>
          </cell>
          <cell r="C167">
            <v>0</v>
          </cell>
        </row>
        <row r="168">
          <cell r="A168">
            <v>2001009</v>
          </cell>
          <cell r="C168">
            <v>0</v>
          </cell>
        </row>
        <row r="169">
          <cell r="A169">
            <v>2001009001</v>
          </cell>
          <cell r="C169">
            <v>0</v>
          </cell>
        </row>
        <row r="170">
          <cell r="A170">
            <v>2001009002</v>
          </cell>
          <cell r="C170">
            <v>0</v>
          </cell>
        </row>
        <row r="171">
          <cell r="A171">
            <v>2001009003</v>
          </cell>
          <cell r="C171">
            <v>0</v>
          </cell>
        </row>
        <row r="172">
          <cell r="A172">
            <v>2001010</v>
          </cell>
          <cell r="C172">
            <v>2301.0300000000002</v>
          </cell>
        </row>
        <row r="173">
          <cell r="A173">
            <v>2001010001</v>
          </cell>
          <cell r="C173">
            <v>2301.0300000000002</v>
          </cell>
        </row>
        <row r="174">
          <cell r="A174">
            <v>2001011</v>
          </cell>
          <cell r="C174">
            <v>28020</v>
          </cell>
        </row>
        <row r="175">
          <cell r="A175">
            <v>2001011001</v>
          </cell>
          <cell r="C175">
            <v>28020</v>
          </cell>
        </row>
        <row r="176">
          <cell r="A176">
            <v>2001011002</v>
          </cell>
          <cell r="C176">
            <v>0</v>
          </cell>
        </row>
        <row r="177">
          <cell r="A177">
            <v>2001011003</v>
          </cell>
          <cell r="C177">
            <v>0</v>
          </cell>
        </row>
        <row r="178">
          <cell r="A178">
            <v>2001011004</v>
          </cell>
          <cell r="C178">
            <v>0</v>
          </cell>
        </row>
        <row r="179">
          <cell r="A179">
            <v>2001011005</v>
          </cell>
          <cell r="C179">
            <v>0</v>
          </cell>
        </row>
        <row r="180">
          <cell r="A180">
            <v>2001011006</v>
          </cell>
          <cell r="C180">
            <v>0</v>
          </cell>
        </row>
        <row r="181">
          <cell r="A181">
            <v>2001011007</v>
          </cell>
          <cell r="C181">
            <v>0</v>
          </cell>
        </row>
        <row r="182">
          <cell r="A182">
            <v>2001011008</v>
          </cell>
          <cell r="C182">
            <v>0</v>
          </cell>
        </row>
        <row r="183">
          <cell r="A183">
            <v>2001011009</v>
          </cell>
          <cell r="C183">
            <v>0</v>
          </cell>
        </row>
        <row r="184">
          <cell r="A184">
            <v>2001012</v>
          </cell>
          <cell r="C184">
            <v>0</v>
          </cell>
        </row>
        <row r="185">
          <cell r="A185">
            <v>2001012001</v>
          </cell>
          <cell r="C185">
            <v>0</v>
          </cell>
        </row>
        <row r="186">
          <cell r="A186">
            <v>2001012002</v>
          </cell>
          <cell r="C186">
            <v>0</v>
          </cell>
        </row>
        <row r="187">
          <cell r="A187">
            <v>2001012003</v>
          </cell>
          <cell r="C187">
            <v>0</v>
          </cell>
        </row>
        <row r="188">
          <cell r="A188">
            <v>2001012004</v>
          </cell>
          <cell r="C188">
            <v>0</v>
          </cell>
        </row>
        <row r="189">
          <cell r="A189">
            <v>2001012005</v>
          </cell>
          <cell r="C189">
            <v>0</v>
          </cell>
        </row>
        <row r="190">
          <cell r="A190">
            <v>2001012006</v>
          </cell>
          <cell r="C190">
            <v>0</v>
          </cell>
        </row>
        <row r="191">
          <cell r="A191">
            <v>2001012007</v>
          </cell>
          <cell r="C191">
            <v>0</v>
          </cell>
        </row>
        <row r="192">
          <cell r="A192">
            <v>2001012008</v>
          </cell>
          <cell r="C192">
            <v>0</v>
          </cell>
        </row>
        <row r="193">
          <cell r="A193">
            <v>2001012009</v>
          </cell>
          <cell r="C193">
            <v>0</v>
          </cell>
        </row>
        <row r="194">
          <cell r="A194">
            <v>2001012010</v>
          </cell>
          <cell r="C194">
            <v>0</v>
          </cell>
        </row>
        <row r="195">
          <cell r="A195">
            <v>2001012011</v>
          </cell>
          <cell r="C195">
            <v>0</v>
          </cell>
        </row>
        <row r="196">
          <cell r="A196">
            <v>2001013</v>
          </cell>
          <cell r="C196">
            <v>89600</v>
          </cell>
        </row>
        <row r="197">
          <cell r="A197">
            <v>2001013001</v>
          </cell>
          <cell r="C197">
            <v>89600</v>
          </cell>
        </row>
        <row r="198">
          <cell r="A198">
            <v>2001014</v>
          </cell>
          <cell r="C198">
            <v>0</v>
          </cell>
        </row>
        <row r="199">
          <cell r="A199">
            <v>2001014001</v>
          </cell>
          <cell r="C199">
            <v>0</v>
          </cell>
        </row>
        <row r="200">
          <cell r="A200">
            <v>2001014002</v>
          </cell>
          <cell r="C200">
            <v>0</v>
          </cell>
        </row>
        <row r="201">
          <cell r="A201">
            <v>2001015</v>
          </cell>
          <cell r="C201">
            <v>0</v>
          </cell>
        </row>
        <row r="202">
          <cell r="A202">
            <v>2001015001</v>
          </cell>
          <cell r="C202">
            <v>0</v>
          </cell>
        </row>
        <row r="203">
          <cell r="A203">
            <v>2001015002</v>
          </cell>
          <cell r="C203">
            <v>0</v>
          </cell>
        </row>
        <row r="204">
          <cell r="A204">
            <v>2001016</v>
          </cell>
          <cell r="C204">
            <v>0</v>
          </cell>
        </row>
        <row r="205">
          <cell r="A205">
            <v>2001016001</v>
          </cell>
          <cell r="C205">
            <v>0</v>
          </cell>
        </row>
        <row r="206">
          <cell r="A206">
            <v>2001017</v>
          </cell>
          <cell r="C206">
            <v>8000</v>
          </cell>
        </row>
        <row r="207">
          <cell r="A207">
            <v>2001017001</v>
          </cell>
          <cell r="C207">
            <v>0</v>
          </cell>
        </row>
        <row r="208">
          <cell r="A208">
            <v>2001017002</v>
          </cell>
          <cell r="C208">
            <v>8000</v>
          </cell>
        </row>
        <row r="209">
          <cell r="A209">
            <v>2001017003</v>
          </cell>
          <cell r="C209">
            <v>0</v>
          </cell>
        </row>
        <row r="210">
          <cell r="A210">
            <v>2001017004</v>
          </cell>
          <cell r="C210">
            <v>0</v>
          </cell>
        </row>
        <row r="211">
          <cell r="A211">
            <v>2001017005</v>
          </cell>
          <cell r="C211">
            <v>0</v>
          </cell>
        </row>
        <row r="212">
          <cell r="A212">
            <v>2001018</v>
          </cell>
          <cell r="C212">
            <v>0</v>
          </cell>
        </row>
        <row r="213">
          <cell r="A213">
            <v>2001018001</v>
          </cell>
          <cell r="C213">
            <v>0</v>
          </cell>
        </row>
        <row r="214">
          <cell r="A214">
            <v>2001018002</v>
          </cell>
          <cell r="C214">
            <v>0</v>
          </cell>
        </row>
        <row r="215">
          <cell r="A215">
            <v>2001018003</v>
          </cell>
          <cell r="C215">
            <v>0</v>
          </cell>
        </row>
        <row r="216">
          <cell r="A216">
            <v>2001019</v>
          </cell>
          <cell r="C216">
            <v>0</v>
          </cell>
        </row>
        <row r="217">
          <cell r="A217">
            <v>2001019001</v>
          </cell>
          <cell r="C217">
            <v>0</v>
          </cell>
        </row>
        <row r="218">
          <cell r="A218">
            <v>2001019002</v>
          </cell>
          <cell r="C218">
            <v>0</v>
          </cell>
        </row>
        <row r="219">
          <cell r="A219">
            <v>2001020</v>
          </cell>
          <cell r="C219">
            <v>0</v>
          </cell>
        </row>
        <row r="220">
          <cell r="A220">
            <v>2001020001</v>
          </cell>
          <cell r="C220">
            <v>0</v>
          </cell>
        </row>
        <row r="221">
          <cell r="A221">
            <v>2001020002</v>
          </cell>
          <cell r="C221">
            <v>0</v>
          </cell>
        </row>
        <row r="222">
          <cell r="A222">
            <v>2001021</v>
          </cell>
          <cell r="C222">
            <v>18360.670684931509</v>
          </cell>
        </row>
        <row r="223">
          <cell r="A223">
            <v>2001021001</v>
          </cell>
          <cell r="C223">
            <v>18360.670684931509</v>
          </cell>
        </row>
        <row r="224">
          <cell r="A224">
            <v>2001022</v>
          </cell>
          <cell r="C224">
            <v>1460.11</v>
          </cell>
        </row>
        <row r="225">
          <cell r="A225">
            <v>2001022001</v>
          </cell>
          <cell r="C225">
            <v>1460.11</v>
          </cell>
        </row>
        <row r="226">
          <cell r="A226">
            <v>2001023</v>
          </cell>
          <cell r="C226">
            <v>0</v>
          </cell>
        </row>
        <row r="227">
          <cell r="A227">
            <v>2001023001</v>
          </cell>
          <cell r="C227">
            <v>0</v>
          </cell>
        </row>
        <row r="228">
          <cell r="A228">
            <v>2001024</v>
          </cell>
          <cell r="C228">
            <v>863495</v>
          </cell>
        </row>
        <row r="229">
          <cell r="A229">
            <v>2001024001</v>
          </cell>
          <cell r="C229">
            <v>807115.4</v>
          </cell>
        </row>
        <row r="230">
          <cell r="A230">
            <v>2001024002</v>
          </cell>
          <cell r="C230">
            <v>0</v>
          </cell>
        </row>
        <row r="231">
          <cell r="A231">
            <v>2001024003</v>
          </cell>
          <cell r="C231">
            <v>0</v>
          </cell>
        </row>
        <row r="232">
          <cell r="A232">
            <v>2001024004</v>
          </cell>
          <cell r="C232">
            <v>799.6</v>
          </cell>
        </row>
        <row r="233">
          <cell r="A233">
            <v>2001024005</v>
          </cell>
          <cell r="C233">
            <v>0</v>
          </cell>
        </row>
        <row r="234">
          <cell r="A234">
            <v>2001024006</v>
          </cell>
          <cell r="C234">
            <v>0</v>
          </cell>
        </row>
        <row r="235">
          <cell r="A235">
            <v>2001024007</v>
          </cell>
          <cell r="C235">
            <v>0</v>
          </cell>
        </row>
        <row r="236">
          <cell r="A236">
            <v>2001024008</v>
          </cell>
          <cell r="C236">
            <v>0</v>
          </cell>
        </row>
        <row r="237">
          <cell r="A237">
            <v>2001024009</v>
          </cell>
          <cell r="C237">
            <v>0</v>
          </cell>
        </row>
        <row r="238">
          <cell r="A238">
            <v>2001024010</v>
          </cell>
          <cell r="C238">
            <v>55580</v>
          </cell>
        </row>
        <row r="239">
          <cell r="A239">
            <v>2001024011</v>
          </cell>
          <cell r="C239">
            <v>0</v>
          </cell>
        </row>
        <row r="240">
          <cell r="A240">
            <v>2001024012</v>
          </cell>
          <cell r="C240">
            <v>0</v>
          </cell>
        </row>
        <row r="241">
          <cell r="A241">
            <v>2001024013</v>
          </cell>
          <cell r="C241">
            <v>0</v>
          </cell>
        </row>
        <row r="242">
          <cell r="A242">
            <v>2001024014</v>
          </cell>
          <cell r="C242">
            <v>0</v>
          </cell>
        </row>
        <row r="243">
          <cell r="A243">
            <v>2001024015</v>
          </cell>
          <cell r="C243">
            <v>0</v>
          </cell>
        </row>
        <row r="244">
          <cell r="A244">
            <v>2001024016</v>
          </cell>
          <cell r="C244">
            <v>0</v>
          </cell>
        </row>
        <row r="245">
          <cell r="A245">
            <v>2001025</v>
          </cell>
          <cell r="C245">
            <v>2300000</v>
          </cell>
        </row>
        <row r="246">
          <cell r="A246">
            <v>2001025001</v>
          </cell>
          <cell r="C246">
            <v>2000000</v>
          </cell>
        </row>
        <row r="247">
          <cell r="A247">
            <v>2001025002</v>
          </cell>
          <cell r="C247">
            <v>300000</v>
          </cell>
        </row>
        <row r="248">
          <cell r="A248">
            <v>2002</v>
          </cell>
          <cell r="C248">
            <v>19609893.629999999</v>
          </cell>
        </row>
        <row r="249">
          <cell r="A249">
            <v>2002001</v>
          </cell>
          <cell r="C249">
            <v>19609893.629999999</v>
          </cell>
        </row>
        <row r="250">
          <cell r="A250">
            <v>2002001001</v>
          </cell>
          <cell r="C250">
            <v>19609893.629999999</v>
          </cell>
        </row>
        <row r="251">
          <cell r="A251">
            <v>2003</v>
          </cell>
          <cell r="C251">
            <v>39328228.93</v>
          </cell>
        </row>
        <row r="252">
          <cell r="A252">
            <v>2003001</v>
          </cell>
          <cell r="C252">
            <v>39328228.93</v>
          </cell>
        </row>
        <row r="253">
          <cell r="A253">
            <v>2003001001</v>
          </cell>
          <cell r="C253">
            <v>39328228.93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3A9CFFF8-B346-4586-AE90-90DC309C9145}">
    <nsvFilter filterId="{D85E2A6A-17AE-4529-93A8-BDB0B631A9C8}" ref="A9:M48" tableId="0"/>
  </namedSheetView>
</namedSheetView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329CE-1320-4ACC-88AD-55D9605DFE20}">
  <sheetPr>
    <tabColor theme="1"/>
    <outlinePr summaryBelow="0"/>
    <pageSetUpPr fitToPage="1"/>
  </sheetPr>
  <dimension ref="A1:O255"/>
  <sheetViews>
    <sheetView showGridLines="0" zoomScale="90" zoomScaleNormal="90" zoomScaleSheetLayoutView="70" workbookViewId="0">
      <pane ySplit="5" topLeftCell="A6" activePane="bottomLeft" state="frozen"/>
      <selection activeCell="C11" sqref="C11"/>
      <selection pane="bottomLeft" activeCell="B5" sqref="B5"/>
    </sheetView>
  </sheetViews>
  <sheetFormatPr defaultColWidth="9.140625" defaultRowHeight="18" outlineLevelRow="3"/>
  <cols>
    <col min="1" max="1" width="18.85546875" style="142" bestFit="1" customWidth="1"/>
    <col min="2" max="2" width="88.7109375" style="142" customWidth="1"/>
    <col min="3" max="3" width="28" style="142" bestFit="1" customWidth="1"/>
    <col min="4" max="5" width="28" style="142" customWidth="1"/>
    <col min="6" max="6" width="29.140625" style="142" bestFit="1" customWidth="1"/>
    <col min="7" max="7" width="29" style="142" bestFit="1" customWidth="1"/>
    <col min="8" max="8" width="24.140625" style="142" bestFit="1" customWidth="1"/>
    <col min="9" max="10" width="25.140625" style="142" bestFit="1" customWidth="1"/>
    <col min="11" max="11" width="27.7109375" style="142" bestFit="1" customWidth="1"/>
    <col min="12" max="12" width="20.7109375" style="258" customWidth="1"/>
    <col min="13" max="13" width="22.140625" style="258" bestFit="1" customWidth="1"/>
    <col min="14" max="14" width="9.140625" style="258"/>
    <col min="15" max="16384" width="9.140625" style="142"/>
  </cols>
  <sheetData>
    <row r="1" spans="1:15" s="139" customFormat="1" ht="75.75" customHeight="1">
      <c r="A1" s="136"/>
      <c r="B1" s="136"/>
      <c r="C1" s="136"/>
      <c r="D1" s="136"/>
      <c r="E1" s="136"/>
      <c r="F1" s="136"/>
      <c r="G1" s="136"/>
      <c r="H1" s="136"/>
      <c r="I1" s="263" t="s">
        <v>997</v>
      </c>
      <c r="J1" s="263"/>
      <c r="K1" s="263"/>
      <c r="L1" s="261"/>
      <c r="M1" s="261"/>
      <c r="N1" s="259"/>
      <c r="O1" s="138"/>
    </row>
    <row r="2" spans="1:15" s="139" customFormat="1">
      <c r="A2" s="137"/>
      <c r="B2" s="137"/>
      <c r="C2" s="137"/>
      <c r="D2" s="137"/>
      <c r="E2" s="137"/>
      <c r="F2" s="137"/>
      <c r="G2" s="137"/>
      <c r="H2" s="137"/>
      <c r="K2" s="140" t="s">
        <v>959</v>
      </c>
      <c r="L2" s="261"/>
      <c r="M2" s="261"/>
      <c r="N2" s="259"/>
      <c r="O2" s="138"/>
    </row>
    <row r="3" spans="1:15" s="139" customFormat="1">
      <c r="A3" s="137"/>
      <c r="B3" s="137"/>
      <c r="C3" s="137"/>
      <c r="D3" s="137"/>
      <c r="E3" s="137"/>
      <c r="F3" s="137"/>
      <c r="G3" s="137"/>
      <c r="H3" s="137"/>
      <c r="K3" s="140" t="s">
        <v>957</v>
      </c>
      <c r="L3" s="261"/>
      <c r="M3" s="261"/>
      <c r="N3" s="259"/>
      <c r="O3" s="138"/>
    </row>
    <row r="4" spans="1:15" s="139" customFormat="1" ht="25.15" customHeight="1">
      <c r="A4" s="264" t="s">
        <v>958</v>
      </c>
      <c r="B4" s="264"/>
      <c r="C4" s="264"/>
      <c r="D4" s="264"/>
      <c r="E4" s="264"/>
      <c r="F4" s="264"/>
      <c r="G4" s="264"/>
      <c r="H4" s="264"/>
      <c r="I4" s="264"/>
      <c r="J4" s="264"/>
      <c r="K4" s="264"/>
      <c r="L4" s="261"/>
      <c r="M4" s="261"/>
      <c r="N4" s="259"/>
      <c r="O4" s="138"/>
    </row>
    <row r="5" spans="1:15" s="139" customFormat="1" ht="36" customHeight="1">
      <c r="A5" s="126" t="s">
        <v>0</v>
      </c>
      <c r="B5" s="127" t="s">
        <v>1</v>
      </c>
      <c r="C5" s="127" t="s">
        <v>2</v>
      </c>
      <c r="D5" s="127" t="s">
        <v>1070</v>
      </c>
      <c r="E5" s="127"/>
      <c r="F5" s="128" t="s">
        <v>3</v>
      </c>
      <c r="G5" s="127" t="s">
        <v>4</v>
      </c>
      <c r="H5" s="127" t="s">
        <v>5</v>
      </c>
      <c r="I5" s="127" t="s">
        <v>6</v>
      </c>
      <c r="J5" s="127" t="s">
        <v>7</v>
      </c>
      <c r="K5" s="127" t="s">
        <v>8</v>
      </c>
      <c r="L5" s="261"/>
      <c r="M5" s="261"/>
      <c r="N5" s="259"/>
      <c r="O5" s="138"/>
    </row>
    <row r="6" spans="1:15" ht="20.100000000000001" customHeight="1">
      <c r="A6" s="141">
        <v>0</v>
      </c>
      <c r="B6" s="141" t="s">
        <v>9</v>
      </c>
      <c r="C6" s="253">
        <f t="shared" ref="C6:K6" si="0">SUBTOTAL(9,C7:C253)</f>
        <v>453202604.27068508</v>
      </c>
      <c r="D6" s="253"/>
      <c r="E6" s="253"/>
      <c r="F6" s="253">
        <f t="shared" si="0"/>
        <v>334650238.36620009</v>
      </c>
      <c r="G6" s="253">
        <f t="shared" si="0"/>
        <v>118552365.90448496</v>
      </c>
      <c r="H6" s="253">
        <f t="shared" si="0"/>
        <v>106749325.55000004</v>
      </c>
      <c r="I6" s="253">
        <f t="shared" si="0"/>
        <v>-267155.08021489799</v>
      </c>
      <c r="J6" s="253">
        <f t="shared" si="0"/>
        <v>334383083.28598523</v>
      </c>
      <c r="K6" s="253">
        <f t="shared" si="0"/>
        <v>118819520.98469985</v>
      </c>
      <c r="L6" s="261"/>
      <c r="M6" s="261"/>
      <c r="N6" s="259"/>
      <c r="O6" s="138"/>
    </row>
    <row r="7" spans="1:15" ht="20.100000000000001" customHeight="1">
      <c r="A7" s="141">
        <v>1</v>
      </c>
      <c r="B7" s="141" t="s">
        <v>10</v>
      </c>
      <c r="C7" s="253">
        <f>SUBTOTAL(9,C8:C109)</f>
        <v>386401588.43000013</v>
      </c>
      <c r="D7" s="154" t="e">
        <f>_xlfn.XLOOKUP(A7,'[1]CADASTRO CENTRO DE CUSTO-ALOCAÇ'!$A:$A,'[1]CADASTRO CENTRO DE CUSTO-ALOCAÇ'!$C:$C)</f>
        <v>#N/A</v>
      </c>
      <c r="E7" s="154" t="e">
        <f>C7-D7</f>
        <v>#N/A</v>
      </c>
      <c r="F7" s="253">
        <f t="shared" ref="F7:K7" si="1">SUBTOTAL(9,F8:F109)</f>
        <v>270371209.25090069</v>
      </c>
      <c r="G7" s="253">
        <f t="shared" si="1"/>
        <v>116030379.17909937</v>
      </c>
      <c r="H7" s="253">
        <f t="shared" si="1"/>
        <v>86608972.190000042</v>
      </c>
      <c r="I7" s="253">
        <f t="shared" si="1"/>
        <v>-427518.59021489962</v>
      </c>
      <c r="J7" s="253">
        <f t="shared" si="1"/>
        <v>269943690.66068584</v>
      </c>
      <c r="K7" s="253">
        <f t="shared" si="1"/>
        <v>116457897.76931426</v>
      </c>
      <c r="L7" s="261"/>
      <c r="M7" s="261"/>
      <c r="N7" s="259"/>
      <c r="O7" s="138"/>
    </row>
    <row r="8" spans="1:15" ht="20.100000000000001" customHeight="1" outlineLevel="1">
      <c r="A8" s="143">
        <v>1001</v>
      </c>
      <c r="B8" s="141" t="s">
        <v>11</v>
      </c>
      <c r="C8" s="253">
        <f t="shared" ref="C8:K8" si="2">SUBTOTAL(9,C9:C56)</f>
        <v>202061328.83000001</v>
      </c>
      <c r="D8" s="154" t="e">
        <f>_xlfn.XLOOKUP(A8,'[1]CADASTRO CENTRO DE CUSTO-ALOCAÇ'!$A:$A,'[1]CADASTRO CENTRO DE CUSTO-ALOCAÇ'!$C:$C)</f>
        <v>#N/A</v>
      </c>
      <c r="E8" s="154" t="e">
        <f t="shared" ref="E8:E71" si="3">C8-D8</f>
        <v>#N/A</v>
      </c>
      <c r="F8" s="253">
        <f t="shared" si="2"/>
        <v>140003303.4181805</v>
      </c>
      <c r="G8" s="253">
        <f t="shared" si="2"/>
        <v>62058025.411819525</v>
      </c>
      <c r="H8" s="253">
        <f t="shared" si="2"/>
        <v>71147138.700000018</v>
      </c>
      <c r="I8" s="253">
        <f t="shared" si="2"/>
        <v>-1750968.08</v>
      </c>
      <c r="J8" s="253">
        <f t="shared" si="2"/>
        <v>138252335.33818048</v>
      </c>
      <c r="K8" s="253">
        <f t="shared" si="2"/>
        <v>63808993.491819523</v>
      </c>
      <c r="L8" s="261"/>
      <c r="M8" s="261"/>
      <c r="N8" s="259"/>
      <c r="O8" s="138"/>
    </row>
    <row r="9" spans="1:15" ht="20.100000000000001" customHeight="1" outlineLevel="2">
      <c r="A9" s="144">
        <v>1001001</v>
      </c>
      <c r="B9" s="145" t="s">
        <v>12</v>
      </c>
      <c r="C9" s="254">
        <f>SUBTOTAL(9,C10:C11)</f>
        <v>4318265.12</v>
      </c>
      <c r="D9" s="154">
        <f>_xlfn.XLOOKUP(A9,'[1]CADASTRO CENTRO DE CUSTO-ALOCAÇ'!$A:$A,'[1]CADASTRO CENTRO DE CUSTO-ALOCAÇ'!$C:$C)</f>
        <v>4318265.12</v>
      </c>
      <c r="E9" s="154">
        <f t="shared" si="3"/>
        <v>0</v>
      </c>
      <c r="F9" s="254">
        <f t="shared" ref="F9:K9" si="4">SUBTOTAL(9,F10:F11)</f>
        <v>4160984.33</v>
      </c>
      <c r="G9" s="254">
        <f t="shared" si="4"/>
        <v>157280.79000000004</v>
      </c>
      <c r="H9" s="254">
        <f t="shared" si="4"/>
        <v>826261.20000000007</v>
      </c>
      <c r="I9" s="254">
        <f t="shared" si="4"/>
        <v>0</v>
      </c>
      <c r="J9" s="254">
        <f t="shared" si="4"/>
        <v>4160984.33</v>
      </c>
      <c r="K9" s="254">
        <f t="shared" si="4"/>
        <v>157280.79000000004</v>
      </c>
      <c r="L9" s="261"/>
      <c r="M9" s="261"/>
      <c r="N9" s="259"/>
      <c r="O9" s="138"/>
    </row>
    <row r="10" spans="1:15" ht="20.100000000000001" customHeight="1" outlineLevel="3">
      <c r="A10" s="146">
        <v>1001001001</v>
      </c>
      <c r="B10" s="147" t="s">
        <v>13</v>
      </c>
      <c r="C10" s="154">
        <v>2017612.69</v>
      </c>
      <c r="D10" s="154">
        <f>_xlfn.XLOOKUP(A10,'[1]CADASTRO CENTRO DE CUSTO-ALOCAÇ'!$A:$A,'[1]CADASTRO CENTRO DE CUSTO-ALOCAÇ'!$C:$C)</f>
        <v>2017612.69</v>
      </c>
      <c r="E10" s="154">
        <f t="shared" si="3"/>
        <v>0</v>
      </c>
      <c r="F10" s="154">
        <f>SUMIF('Contratos - G200'!E:E,'Detalhamento - G200'!A10,'Contratos - G200'!J:J)+SUMIF('Pedidos - G200'!D:D,'Detalhamento - G200'!A10,'Pedidos - G200'!H:H)</f>
        <v>2005691.69</v>
      </c>
      <c r="G10" s="154">
        <f>C10-F10</f>
        <v>11921</v>
      </c>
      <c r="H10" s="154">
        <f>SUMIF('Notas fiscais - G200'!D:D,'Detalhamento - G200'!A10,'Notas fiscais - G200'!T:T)</f>
        <v>654946.18000000005</v>
      </c>
      <c r="I10" s="154">
        <f>VLOOKUP(A10,'Projeções - G200'!B:F,5,FALSE)</f>
        <v>0</v>
      </c>
      <c r="J10" s="154">
        <f>F10+I10</f>
        <v>2005691.69</v>
      </c>
      <c r="K10" s="154">
        <f>C10-J10</f>
        <v>11921</v>
      </c>
      <c r="L10" s="261"/>
      <c r="M10" s="261"/>
      <c r="N10" s="259"/>
      <c r="O10" s="138"/>
    </row>
    <row r="11" spans="1:15" ht="20.100000000000001" customHeight="1" outlineLevel="3">
      <c r="A11" s="146">
        <v>1001001002</v>
      </c>
      <c r="B11" s="147" t="s">
        <v>14</v>
      </c>
      <c r="C11" s="154">
        <v>2300652.4300000002</v>
      </c>
      <c r="D11" s="154">
        <f>_xlfn.XLOOKUP(A11,'[1]CADASTRO CENTRO DE CUSTO-ALOCAÇ'!$A:$A,'[1]CADASTRO CENTRO DE CUSTO-ALOCAÇ'!$C:$C)</f>
        <v>2300652.4300000002</v>
      </c>
      <c r="E11" s="154">
        <f t="shared" si="3"/>
        <v>0</v>
      </c>
      <c r="F11" s="154">
        <f>SUMIF('Contratos - G200'!E:E,'Detalhamento - G200'!A11,'Contratos - G200'!J:J)+SUMIF('Pedidos - G200'!D:D,'Detalhamento - G200'!A11,'Pedidos - G200'!H:H)</f>
        <v>2155292.64</v>
      </c>
      <c r="G11" s="154">
        <f>C11-F11</f>
        <v>145359.79000000004</v>
      </c>
      <c r="H11" s="154">
        <f>SUMIF('Notas fiscais - G200'!D:D,'Detalhamento - G200'!A11,'Notas fiscais - G200'!T:T)</f>
        <v>171315.02</v>
      </c>
      <c r="I11" s="154">
        <f>VLOOKUP(A11,'Projeções - G200'!B:F,5,FALSE)</f>
        <v>0</v>
      </c>
      <c r="J11" s="154">
        <f t="shared" ref="J11" si="5">F11+I11</f>
        <v>2155292.64</v>
      </c>
      <c r="K11" s="154">
        <f>C11-J11</f>
        <v>145359.79000000004</v>
      </c>
      <c r="L11" s="261"/>
    </row>
    <row r="12" spans="1:15" ht="20.100000000000001" customHeight="1" outlineLevel="2">
      <c r="A12" s="144">
        <v>1001002</v>
      </c>
      <c r="B12" s="145" t="s">
        <v>15</v>
      </c>
      <c r="C12" s="254">
        <f t="shared" ref="C12:K12" si="6">SUBTOTAL(9,C13:C19)</f>
        <v>39946136.240000002</v>
      </c>
      <c r="D12" s="154" t="e">
        <f>_xlfn.XLOOKUP(A12,'[1]CADASTRO CENTRO DE CUSTO-ALOCAÇ'!$A:$A,'[1]CADASTRO CENTRO DE CUSTO-ALOCAÇ'!$C:$C)</f>
        <v>#N/A</v>
      </c>
      <c r="E12" s="154" t="e">
        <f t="shared" si="3"/>
        <v>#N/A</v>
      </c>
      <c r="F12" s="254">
        <f t="shared" si="6"/>
        <v>34428613.385447897</v>
      </c>
      <c r="G12" s="254">
        <f t="shared" si="6"/>
        <v>5517522.8545521004</v>
      </c>
      <c r="H12" s="254">
        <f t="shared" si="6"/>
        <v>13951580.700000001</v>
      </c>
      <c r="I12" s="254">
        <f t="shared" si="6"/>
        <v>0</v>
      </c>
      <c r="J12" s="254">
        <f t="shared" si="6"/>
        <v>34428613.385447897</v>
      </c>
      <c r="K12" s="254">
        <f t="shared" si="6"/>
        <v>5517522.8545521004</v>
      </c>
      <c r="L12" s="261"/>
    </row>
    <row r="13" spans="1:15" ht="20.100000000000001" customHeight="1" outlineLevel="3">
      <c r="A13" s="146">
        <v>1001002002</v>
      </c>
      <c r="B13" s="147" t="s">
        <v>16</v>
      </c>
      <c r="C13" s="154">
        <v>4636906.6100000003</v>
      </c>
      <c r="D13" s="154">
        <f>_xlfn.XLOOKUP(A13,'[1]CADASTRO CENTRO DE CUSTO-ALOCAÇ'!$A:$A,'[1]CADASTRO CENTRO DE CUSTO-ALOCAÇ'!$C:$C)</f>
        <v>4636906.6100000003</v>
      </c>
      <c r="E13" s="154">
        <f t="shared" si="3"/>
        <v>0</v>
      </c>
      <c r="F13" s="154">
        <f>SUMIF('Contratos - G200'!E:E,'Detalhamento - G200'!A13,'Contratos - G200'!J:J)+SUMIF('Pedidos - G200'!D:D,'Detalhamento - G200'!A13,'Pedidos - G200'!H:H)</f>
        <v>4636906.6100000003</v>
      </c>
      <c r="G13" s="154">
        <f t="shared" ref="G13:G19" si="7">C13-F13</f>
        <v>0</v>
      </c>
      <c r="H13" s="154">
        <f>SUMIF('Notas fiscais - G200'!D:D,'Detalhamento - G200'!A13,'Notas fiscais - G200'!T:T)</f>
        <v>4434001.7299999995</v>
      </c>
      <c r="I13" s="154">
        <f>VLOOKUP(A13,'Projeções - G200'!B:F,5,FALSE)</f>
        <v>0</v>
      </c>
      <c r="J13" s="154">
        <f t="shared" ref="J13:J19" si="8">F13+I13</f>
        <v>4636906.6100000003</v>
      </c>
      <c r="K13" s="154">
        <f t="shared" ref="K13:K19" si="9">C13-J13</f>
        <v>0</v>
      </c>
      <c r="L13" s="261"/>
    </row>
    <row r="14" spans="1:15" ht="20.100000000000001" customHeight="1" outlineLevel="3">
      <c r="A14" s="146">
        <v>1001002003</v>
      </c>
      <c r="B14" s="147" t="s">
        <v>17</v>
      </c>
      <c r="C14" s="154">
        <v>22691171.920000002</v>
      </c>
      <c r="D14" s="154">
        <f>_xlfn.XLOOKUP(A14,'[1]CADASTRO CENTRO DE CUSTO-ALOCAÇ'!$A:$A,'[1]CADASTRO CENTRO DE CUSTO-ALOCAÇ'!$C:$C)</f>
        <v>22691171.920000002</v>
      </c>
      <c r="E14" s="154">
        <f t="shared" si="3"/>
        <v>0</v>
      </c>
      <c r="F14" s="154">
        <f>SUMIF('Contratos - G200'!E:E,'Detalhamento - G200'!A14,'Contratos - G200'!J:J)+SUMIF('Pedidos - G200'!D:D,'Detalhamento - G200'!A14,'Pedidos - G200'!H:H)</f>
        <v>22341904.915463775</v>
      </c>
      <c r="G14" s="154">
        <f t="shared" si="7"/>
        <v>349267.00453622639</v>
      </c>
      <c r="H14" s="154">
        <f>SUMIF('Notas fiscais - G200'!D:D,'Detalhamento - G200'!A14,'Notas fiscais - G200'!T:T)</f>
        <v>7771538.3799999999</v>
      </c>
      <c r="I14" s="154">
        <f>VLOOKUP(A14,'Projeções - G200'!B:F,5,FALSE)</f>
        <v>0</v>
      </c>
      <c r="J14" s="154">
        <f t="shared" si="8"/>
        <v>22341904.915463775</v>
      </c>
      <c r="K14" s="154">
        <f t="shared" si="9"/>
        <v>349267.00453622639</v>
      </c>
      <c r="L14" s="261"/>
    </row>
    <row r="15" spans="1:15" ht="20.100000000000001" customHeight="1" outlineLevel="3">
      <c r="A15" s="146">
        <v>1001002004</v>
      </c>
      <c r="B15" s="147" t="s">
        <v>18</v>
      </c>
      <c r="C15" s="154">
        <v>80552.539999999994</v>
      </c>
      <c r="D15" s="154">
        <f>_xlfn.XLOOKUP(A15,'[1]CADASTRO CENTRO DE CUSTO-ALOCAÇ'!$A:$A,'[1]CADASTRO CENTRO DE CUSTO-ALOCAÇ'!$C:$C)</f>
        <v>80552.539999999994</v>
      </c>
      <c r="E15" s="154">
        <f t="shared" si="3"/>
        <v>0</v>
      </c>
      <c r="F15" s="154">
        <f>SUMIF('Contratos - G200'!E:E,'Detalhamento - G200'!A15,'Contratos - G200'!J:J)+SUMIF('Pedidos - G200'!D:D,'Detalhamento - G200'!A15,'Pedidos - G200'!H:H)</f>
        <v>0</v>
      </c>
      <c r="G15" s="154">
        <f t="shared" si="7"/>
        <v>80552.539999999994</v>
      </c>
      <c r="H15" s="154">
        <f>SUMIF('Notas fiscais - G200'!D:D,'Detalhamento - G200'!A15,'Notas fiscais - G200'!T:T)</f>
        <v>0</v>
      </c>
      <c r="I15" s="154">
        <f>VLOOKUP(A15,'Projeções - G200'!B:F,5,FALSE)</f>
        <v>0</v>
      </c>
      <c r="J15" s="154">
        <f t="shared" si="8"/>
        <v>0</v>
      </c>
      <c r="K15" s="154">
        <f t="shared" si="9"/>
        <v>80552.539999999994</v>
      </c>
      <c r="L15" s="261"/>
    </row>
    <row r="16" spans="1:15" ht="20.100000000000001" customHeight="1" outlineLevel="3">
      <c r="A16" s="146">
        <v>1001002005</v>
      </c>
      <c r="B16" s="147" t="s">
        <v>19</v>
      </c>
      <c r="C16" s="154">
        <v>712470</v>
      </c>
      <c r="D16" s="154">
        <f>_xlfn.XLOOKUP(A16,'[1]CADASTRO CENTRO DE CUSTO-ALOCAÇ'!$A:$A,'[1]CADASTRO CENTRO DE CUSTO-ALOCAÇ'!$C:$C)</f>
        <v>712470</v>
      </c>
      <c r="E16" s="154">
        <f t="shared" si="3"/>
        <v>0</v>
      </c>
      <c r="F16" s="154">
        <f>SUMIF('Contratos - G200'!E:E,'Detalhamento - G200'!A16,'Contratos - G200'!J:J)+SUMIF('Pedidos - G200'!D:D,'Detalhamento - G200'!A16,'Pedidos - G200'!H:H)</f>
        <v>575368.71</v>
      </c>
      <c r="G16" s="154">
        <f t="shared" si="7"/>
        <v>137101.29000000004</v>
      </c>
      <c r="H16" s="154">
        <f>SUMIF('Notas fiscais - G200'!D:D,'Detalhamento - G200'!A16,'Notas fiscais - G200'!T:T)</f>
        <v>0</v>
      </c>
      <c r="I16" s="154">
        <f>VLOOKUP(A16,'Projeções - G200'!B:F,5,FALSE)</f>
        <v>0</v>
      </c>
      <c r="J16" s="154">
        <f t="shared" si="8"/>
        <v>575368.71</v>
      </c>
      <c r="K16" s="154">
        <f t="shared" si="9"/>
        <v>137101.29000000004</v>
      </c>
      <c r="L16" s="261"/>
    </row>
    <row r="17" spans="1:14" ht="20.100000000000001" customHeight="1" outlineLevel="3">
      <c r="A17" s="146">
        <v>1001002006</v>
      </c>
      <c r="B17" s="147" t="s">
        <v>20</v>
      </c>
      <c r="C17" s="154">
        <v>6392000</v>
      </c>
      <c r="D17" s="154">
        <f>_xlfn.XLOOKUP(A17,'[1]CADASTRO CENTRO DE CUSTO-ALOCAÇ'!$A:$A,'[1]CADASTRO CENTRO DE CUSTO-ALOCAÇ'!$C:$C)</f>
        <v>6392000</v>
      </c>
      <c r="E17" s="154">
        <f t="shared" si="3"/>
        <v>0</v>
      </c>
      <c r="F17" s="154">
        <f>SUMIF('Contratos - G200'!E:E,'Detalhamento - G200'!A17,'Contratos - G200'!J:J)+SUMIF('Pedidos - G200'!D:D,'Detalhamento - G200'!A17,'Pedidos - G200'!H:H)</f>
        <v>5727065.0969723919</v>
      </c>
      <c r="G17" s="154">
        <f t="shared" si="7"/>
        <v>664934.90302760806</v>
      </c>
      <c r="H17" s="154">
        <f>SUMIF('Notas fiscais - G200'!D:D,'Detalhamento - G200'!A17,'Notas fiscais - G200'!T:T)</f>
        <v>1598299.81</v>
      </c>
      <c r="I17" s="154">
        <f>VLOOKUP(A17,'Projeções - G200'!B:F,5,FALSE)</f>
        <v>0</v>
      </c>
      <c r="J17" s="154">
        <f t="shared" si="8"/>
        <v>5727065.0969723919</v>
      </c>
      <c r="K17" s="154">
        <f t="shared" si="9"/>
        <v>664934.90302760806</v>
      </c>
      <c r="L17" s="261"/>
    </row>
    <row r="18" spans="1:14" ht="20.100000000000001" customHeight="1" outlineLevel="3">
      <c r="A18" s="146">
        <v>1001002007</v>
      </c>
      <c r="B18" s="147" t="s">
        <v>21</v>
      </c>
      <c r="C18" s="154">
        <v>800400</v>
      </c>
      <c r="D18" s="154">
        <f>_xlfn.XLOOKUP(A18,'[1]CADASTRO CENTRO DE CUSTO-ALOCAÇ'!$A:$A,'[1]CADASTRO CENTRO DE CUSTO-ALOCAÇ'!$C:$C)</f>
        <v>800400</v>
      </c>
      <c r="E18" s="154">
        <f t="shared" si="3"/>
        <v>0</v>
      </c>
      <c r="F18" s="154">
        <f>SUMIF('Contratos - G200'!E:E,'Detalhamento - G200'!A18,'Contratos - G200'!J:J)+SUMIF('Pedidos - G200'!D:D,'Detalhamento - G200'!A18,'Pedidos - G200'!H:H)</f>
        <v>800400.01</v>
      </c>
      <c r="G18" s="154">
        <f t="shared" si="7"/>
        <v>-1.0000000009313226E-2</v>
      </c>
      <c r="H18" s="154">
        <f>SUMIF('Notas fiscais - G200'!D:D,'Detalhamento - G200'!A18,'Notas fiscais - G200'!T:T)</f>
        <v>136068.71</v>
      </c>
      <c r="I18" s="154">
        <f>VLOOKUP(A18,'Projeções - G200'!B:F,5,FALSE)</f>
        <v>0</v>
      </c>
      <c r="J18" s="154">
        <f t="shared" si="8"/>
        <v>800400.01</v>
      </c>
      <c r="K18" s="154">
        <f t="shared" si="9"/>
        <v>-1.0000000009313226E-2</v>
      </c>
      <c r="L18" s="261"/>
    </row>
    <row r="19" spans="1:14" ht="20.100000000000001" customHeight="1" outlineLevel="3">
      <c r="A19" s="146">
        <v>1001002008</v>
      </c>
      <c r="B19" s="147" t="s">
        <v>22</v>
      </c>
      <c r="C19" s="154">
        <v>4632635.17</v>
      </c>
      <c r="D19" s="154">
        <f>_xlfn.XLOOKUP(A19,'[1]CADASTRO CENTRO DE CUSTO-ALOCAÇ'!$A:$A,'[1]CADASTRO CENTRO DE CUSTO-ALOCAÇ'!$C:$C)</f>
        <v>4632635.17</v>
      </c>
      <c r="E19" s="154">
        <f t="shared" si="3"/>
        <v>0</v>
      </c>
      <c r="F19" s="154">
        <f>SUMIF('Contratos - G200'!E:E,'Detalhamento - G200'!A19,'Contratos - G200'!J:J)+SUMIF('Pedidos - G200'!D:D,'Detalhamento - G200'!A19,'Pedidos - G200'!H:H)</f>
        <v>346968.04301173409</v>
      </c>
      <c r="G19" s="154">
        <f t="shared" si="7"/>
        <v>4285667.1269882657</v>
      </c>
      <c r="H19" s="154">
        <f>SUMIF('Notas fiscais - G200'!D:D,'Detalhamento - G200'!A19,'Notas fiscais - G200'!T:T)</f>
        <v>11672.07</v>
      </c>
      <c r="I19" s="154">
        <f>VLOOKUP(A19,'Projeções - G200'!B:F,5,FALSE)</f>
        <v>0</v>
      </c>
      <c r="J19" s="154">
        <f t="shared" si="8"/>
        <v>346968.04301173409</v>
      </c>
      <c r="K19" s="154">
        <f t="shared" si="9"/>
        <v>4285667.1269882657</v>
      </c>
      <c r="L19" s="261"/>
    </row>
    <row r="20" spans="1:14" ht="20.100000000000001" customHeight="1" outlineLevel="2">
      <c r="A20" s="144">
        <v>1001003</v>
      </c>
      <c r="B20" s="145" t="s">
        <v>23</v>
      </c>
      <c r="C20" s="254">
        <f t="shared" ref="C20:K20" si="10">SUBTOTAL(9,C21:C34)</f>
        <v>86690398.74000001</v>
      </c>
      <c r="D20" s="154" t="e">
        <f>_xlfn.XLOOKUP(A20,'[1]CADASTRO CENTRO DE CUSTO-ALOCAÇ'!$A:$A,'[1]CADASTRO CENTRO DE CUSTO-ALOCAÇ'!$C:$C)</f>
        <v>#N/A</v>
      </c>
      <c r="E20" s="154" t="e">
        <f t="shared" si="3"/>
        <v>#N/A</v>
      </c>
      <c r="F20" s="254">
        <f t="shared" si="10"/>
        <v>65637368.760425061</v>
      </c>
      <c r="G20" s="254">
        <f t="shared" si="10"/>
        <v>21053029.979574949</v>
      </c>
      <c r="H20" s="254">
        <f t="shared" si="10"/>
        <v>42534556.140000008</v>
      </c>
      <c r="I20" s="254">
        <f t="shared" si="10"/>
        <v>-646893.62</v>
      </c>
      <c r="J20" s="254">
        <f t="shared" si="10"/>
        <v>64990475.140425064</v>
      </c>
      <c r="K20" s="254">
        <f t="shared" si="10"/>
        <v>21699923.59957495</v>
      </c>
      <c r="L20" s="261"/>
    </row>
    <row r="21" spans="1:14" ht="20.100000000000001" customHeight="1" outlineLevel="3">
      <c r="A21" s="146">
        <v>1001003001</v>
      </c>
      <c r="B21" s="147" t="s">
        <v>24</v>
      </c>
      <c r="C21" s="154">
        <v>9773681.3300000001</v>
      </c>
      <c r="D21" s="154">
        <f>_xlfn.XLOOKUP(A21,'[1]CADASTRO CENTRO DE CUSTO-ALOCAÇ'!$A:$A,'[1]CADASTRO CENTRO DE CUSTO-ALOCAÇ'!$C:$C)</f>
        <v>9773681.3300000001</v>
      </c>
      <c r="E21" s="154">
        <f t="shared" si="3"/>
        <v>0</v>
      </c>
      <c r="F21" s="154">
        <f>SUMIF('Contratos - G200'!E:E,'Detalhamento - G200'!A21,'Contratos - G200'!J:J)+SUMIF('Pedidos - G200'!D:D,'Detalhamento - G200'!A21,'Pedidos - G200'!H:H)</f>
        <v>7710689.8404452605</v>
      </c>
      <c r="G21" s="154">
        <f t="shared" ref="G21:G34" si="11">C21-F21</f>
        <v>2062991.4895547396</v>
      </c>
      <c r="H21" s="154">
        <f>SUMIF('Notas fiscais - G200'!D:D,'Detalhamento - G200'!A21,'Notas fiscais - G200'!T:T)</f>
        <v>893277.54000000015</v>
      </c>
      <c r="I21" s="154">
        <f>VLOOKUP(A21,'Projeções - G200'!B:F,5,FALSE)</f>
        <v>0</v>
      </c>
      <c r="J21" s="154">
        <f t="shared" ref="J21:J34" si="12">F21+I21</f>
        <v>7710689.8404452605</v>
      </c>
      <c r="K21" s="154">
        <f t="shared" ref="K21:K34" si="13">C21-J21</f>
        <v>2062991.4895547396</v>
      </c>
      <c r="L21" s="261"/>
    </row>
    <row r="22" spans="1:14" ht="20.100000000000001" customHeight="1" outlineLevel="3">
      <c r="A22" s="146">
        <v>1001003002</v>
      </c>
      <c r="B22" s="147" t="s">
        <v>25</v>
      </c>
      <c r="C22" s="154">
        <v>12610439.23</v>
      </c>
      <c r="D22" s="154">
        <f>_xlfn.XLOOKUP(A22,'[1]CADASTRO CENTRO DE CUSTO-ALOCAÇ'!$A:$A,'[1]CADASTRO CENTRO DE CUSTO-ALOCAÇ'!$C:$C)</f>
        <v>12610439.23</v>
      </c>
      <c r="E22" s="154">
        <f t="shared" si="3"/>
        <v>0</v>
      </c>
      <c r="F22" s="154">
        <f>SUMIF('Contratos - G200'!E:E,'Detalhamento - G200'!A22,'Contratos - G200'!J:J)+SUMIF('Pedidos - G200'!D:D,'Detalhamento - G200'!A22,'Pedidos - G200'!H:H)</f>
        <v>14432796.836928722</v>
      </c>
      <c r="G22" s="154">
        <f t="shared" si="11"/>
        <v>-1822357.6069287211</v>
      </c>
      <c r="H22" s="154">
        <f>SUMIF('Notas fiscais - G200'!D:D,'Detalhamento - G200'!A22,'Notas fiscais - G200'!T:T)</f>
        <v>38764242.140000008</v>
      </c>
      <c r="I22" s="154">
        <f>VLOOKUP(A22,'Projeções - G200'!B:F,5,FALSE)</f>
        <v>0</v>
      </c>
      <c r="J22" s="154">
        <f t="shared" si="12"/>
        <v>14432796.836928722</v>
      </c>
      <c r="K22" s="154">
        <f t="shared" si="13"/>
        <v>-1822357.6069287211</v>
      </c>
      <c r="L22" s="261"/>
    </row>
    <row r="23" spans="1:14" ht="20.100000000000001" customHeight="1" outlineLevel="3">
      <c r="A23" s="146">
        <v>1001003003</v>
      </c>
      <c r="B23" s="147" t="s">
        <v>26</v>
      </c>
      <c r="C23" s="154">
        <v>39714154.840000004</v>
      </c>
      <c r="D23" s="154">
        <f>_xlfn.XLOOKUP(A23,'[1]CADASTRO CENTRO DE CUSTO-ALOCAÇ'!$A:$A,'[1]CADASTRO CENTRO DE CUSTO-ALOCAÇ'!$C:$C)</f>
        <v>39714154.840000004</v>
      </c>
      <c r="E23" s="154">
        <f t="shared" si="3"/>
        <v>0</v>
      </c>
      <c r="F23" s="154">
        <f>SUMIF('Contratos - G200'!E:E,'Detalhamento - G200'!A23,'Contratos - G200'!J:J)+SUMIF('Pedidos - G200'!D:D,'Detalhamento - G200'!A23,'Pedidos - G200'!H:H)</f>
        <v>39251593.840000004</v>
      </c>
      <c r="G23" s="154">
        <f t="shared" si="11"/>
        <v>462561</v>
      </c>
      <c r="H23" s="154">
        <f>SUMIF('Notas fiscais - G200'!D:D,'Detalhamento - G200'!A23,'Notas fiscais - G200'!T:T)</f>
        <v>0</v>
      </c>
      <c r="I23" s="154">
        <f>VLOOKUP(A23,'Projeções - G200'!B:F,5,FALSE)</f>
        <v>0</v>
      </c>
      <c r="J23" s="154">
        <f t="shared" si="12"/>
        <v>39251593.840000004</v>
      </c>
      <c r="K23" s="154">
        <f t="shared" si="13"/>
        <v>462561</v>
      </c>
      <c r="L23" s="261"/>
    </row>
    <row r="24" spans="1:14" s="139" customFormat="1" ht="20.100000000000001" customHeight="1" outlineLevel="3">
      <c r="A24" s="146">
        <v>1001003004</v>
      </c>
      <c r="B24" s="147" t="s">
        <v>27</v>
      </c>
      <c r="C24" s="154">
        <v>16686202.039999999</v>
      </c>
      <c r="D24" s="154">
        <f>_xlfn.XLOOKUP(A24,'[1]CADASTRO CENTRO DE CUSTO-ALOCAÇ'!$A:$A,'[1]CADASTRO CENTRO DE CUSTO-ALOCAÇ'!$C:$C)</f>
        <v>16686202.039999999</v>
      </c>
      <c r="E24" s="154">
        <f t="shared" si="3"/>
        <v>0</v>
      </c>
      <c r="F24" s="154">
        <f>SUMIF('Contratos - G200'!E:E,'Detalhamento - G200'!A24,'Contratos - G200'!J:J)+SUMIF('Pedidos - G200'!D:D,'Detalhamento - G200'!A24,'Pedidos - G200'!H:H)</f>
        <v>0</v>
      </c>
      <c r="G24" s="154">
        <f t="shared" si="11"/>
        <v>16686202.039999999</v>
      </c>
      <c r="H24" s="154">
        <f>SUMIF('Notas fiscais - G200'!D:D,'Detalhamento - G200'!A24,'Notas fiscais - G200'!T:T)</f>
        <v>0</v>
      </c>
      <c r="I24" s="154">
        <f>VLOOKUP(A24,'Projeções - G200'!B:F,5,FALSE)</f>
        <v>0</v>
      </c>
      <c r="J24" s="154">
        <f t="shared" si="12"/>
        <v>0</v>
      </c>
      <c r="K24" s="154">
        <f t="shared" si="13"/>
        <v>16686202.039999999</v>
      </c>
      <c r="L24" s="261"/>
      <c r="M24" s="247"/>
      <c r="N24" s="247"/>
    </row>
    <row r="25" spans="1:14" ht="20.100000000000001" customHeight="1" outlineLevel="3">
      <c r="A25" s="146">
        <v>1001003005</v>
      </c>
      <c r="B25" s="147" t="s">
        <v>28</v>
      </c>
      <c r="C25" s="154">
        <v>2316824.14</v>
      </c>
      <c r="D25" s="154">
        <f>_xlfn.XLOOKUP(A25,'[1]CADASTRO CENTRO DE CUSTO-ALOCAÇ'!$A:$A,'[1]CADASTRO CENTRO DE CUSTO-ALOCAÇ'!$C:$C)</f>
        <v>2316824.14</v>
      </c>
      <c r="E25" s="154">
        <f t="shared" si="3"/>
        <v>0</v>
      </c>
      <c r="F25" s="154">
        <f>SUMIF('Contratos - G200'!E:E,'Detalhamento - G200'!A25,'Contratos - G200'!J:J)+SUMIF('Pedidos - G200'!D:D,'Detalhamento - G200'!A25,'Pedidos - G200'!H:H)</f>
        <v>1450590</v>
      </c>
      <c r="G25" s="154">
        <f t="shared" si="11"/>
        <v>866234.14000000013</v>
      </c>
      <c r="H25" s="154">
        <f>SUMIF('Notas fiscais - G200'!D:D,'Detalhamento - G200'!A25,'Notas fiscais - G200'!T:T)</f>
        <v>1112193</v>
      </c>
      <c r="I25" s="154">
        <f>VLOOKUP(A25,'Projeções - G200'!B:F,5,FALSE)</f>
        <v>0</v>
      </c>
      <c r="J25" s="154">
        <f t="shared" si="12"/>
        <v>1450590</v>
      </c>
      <c r="K25" s="154">
        <f t="shared" si="13"/>
        <v>866234.14000000013</v>
      </c>
      <c r="L25" s="261"/>
    </row>
    <row r="26" spans="1:14" ht="20.100000000000001" customHeight="1" outlineLevel="3">
      <c r="A26" s="146">
        <v>1001003006</v>
      </c>
      <c r="B26" s="147" t="s">
        <v>29</v>
      </c>
      <c r="C26" s="154">
        <v>750757.69</v>
      </c>
      <c r="D26" s="154">
        <f>_xlfn.XLOOKUP(A26,'[1]CADASTRO CENTRO DE CUSTO-ALOCAÇ'!$A:$A,'[1]CADASTRO CENTRO DE CUSTO-ALOCAÇ'!$C:$C)</f>
        <v>750757.69</v>
      </c>
      <c r="E26" s="154">
        <f t="shared" si="3"/>
        <v>0</v>
      </c>
      <c r="F26" s="154">
        <f>SUMIF('Contratos - G200'!E:E,'Detalhamento - G200'!A26,'Contratos - G200'!J:J)+SUMIF('Pedidos - G200'!D:D,'Detalhamento - G200'!A26,'Pedidos - G200'!H:H)</f>
        <v>30241.363051070977</v>
      </c>
      <c r="G26" s="154">
        <f t="shared" si="11"/>
        <v>720516.326948929</v>
      </c>
      <c r="H26" s="154">
        <f>SUMIF('Notas fiscais - G200'!D:D,'Detalhamento - G200'!A26,'Notas fiscais - G200'!T:T)</f>
        <v>1017.32</v>
      </c>
      <c r="I26" s="154">
        <f>VLOOKUP(A26,'Projeções - G200'!B:F,5,FALSE)</f>
        <v>0</v>
      </c>
      <c r="J26" s="154">
        <f t="shared" si="12"/>
        <v>30241.363051070977</v>
      </c>
      <c r="K26" s="154">
        <f t="shared" si="13"/>
        <v>720516.326948929</v>
      </c>
      <c r="L26" s="261"/>
    </row>
    <row r="27" spans="1:14" ht="20.100000000000001" customHeight="1" outlineLevel="3">
      <c r="A27" s="146">
        <v>1001003007</v>
      </c>
      <c r="B27" s="147" t="s">
        <v>30</v>
      </c>
      <c r="C27" s="154">
        <v>0</v>
      </c>
      <c r="D27" s="154">
        <f>_xlfn.XLOOKUP(A27,'[1]CADASTRO CENTRO DE CUSTO-ALOCAÇ'!$A:$A,'[1]CADASTRO CENTRO DE CUSTO-ALOCAÇ'!$C:$C)</f>
        <v>0</v>
      </c>
      <c r="E27" s="154">
        <f t="shared" si="3"/>
        <v>0</v>
      </c>
      <c r="F27" s="154">
        <f>SUMIF('Contratos - G200'!E:E,'Detalhamento - G200'!A27,'Contratos - G200'!J:J)+SUMIF('Pedidos - G200'!D:D,'Detalhamento - G200'!A27,'Pedidos - G200'!H:H)</f>
        <v>0</v>
      </c>
      <c r="G27" s="154">
        <f t="shared" si="11"/>
        <v>0</v>
      </c>
      <c r="H27" s="154">
        <f>SUMIF('Notas fiscais - G200'!D:D,'Detalhamento - G200'!A27,'Notas fiscais - G200'!T:T)</f>
        <v>0</v>
      </c>
      <c r="I27" s="154">
        <f>VLOOKUP(A27,'Projeções - G200'!B:F,5,FALSE)</f>
        <v>0</v>
      </c>
      <c r="J27" s="154">
        <f t="shared" si="12"/>
        <v>0</v>
      </c>
      <c r="K27" s="154">
        <f t="shared" si="13"/>
        <v>0</v>
      </c>
      <c r="L27" s="261"/>
    </row>
    <row r="28" spans="1:14" ht="20.100000000000001" customHeight="1" outlineLevel="3">
      <c r="A28" s="146">
        <v>1001003008</v>
      </c>
      <c r="B28" s="147" t="s">
        <v>31</v>
      </c>
      <c r="C28" s="154">
        <v>0</v>
      </c>
      <c r="D28" s="154">
        <f>_xlfn.XLOOKUP(A28,'[1]CADASTRO CENTRO DE CUSTO-ALOCAÇ'!$A:$A,'[1]CADASTRO CENTRO DE CUSTO-ALOCAÇ'!$C:$C)</f>
        <v>0</v>
      </c>
      <c r="E28" s="154">
        <f t="shared" si="3"/>
        <v>0</v>
      </c>
      <c r="F28" s="154">
        <f>SUMIF('Contratos - G200'!E:E,'Detalhamento - G200'!A28,'Contratos - G200'!J:J)+SUMIF('Pedidos - G200'!D:D,'Detalhamento - G200'!A28,'Pedidos - G200'!H:H)</f>
        <v>0</v>
      </c>
      <c r="G28" s="154">
        <f t="shared" si="11"/>
        <v>0</v>
      </c>
      <c r="H28" s="154">
        <f>SUMIF('Notas fiscais - G200'!D:D,'Detalhamento - G200'!A28,'Notas fiscais - G200'!T:T)</f>
        <v>0</v>
      </c>
      <c r="I28" s="154">
        <f>VLOOKUP(A28,'Projeções - G200'!B:F,5,FALSE)</f>
        <v>0</v>
      </c>
      <c r="J28" s="154">
        <f t="shared" si="12"/>
        <v>0</v>
      </c>
      <c r="K28" s="154">
        <f t="shared" si="13"/>
        <v>0</v>
      </c>
      <c r="L28" s="261"/>
    </row>
    <row r="29" spans="1:14" ht="20.100000000000001" customHeight="1" outlineLevel="3">
      <c r="A29" s="146">
        <v>1001003009</v>
      </c>
      <c r="B29" s="147" t="s">
        <v>32</v>
      </c>
      <c r="C29" s="154">
        <v>0</v>
      </c>
      <c r="D29" s="154">
        <f>_xlfn.XLOOKUP(A29,'[1]CADASTRO CENTRO DE CUSTO-ALOCAÇ'!$A:$A,'[1]CADASTRO CENTRO DE CUSTO-ALOCAÇ'!$C:$C)</f>
        <v>0</v>
      </c>
      <c r="E29" s="154">
        <f t="shared" si="3"/>
        <v>0</v>
      </c>
      <c r="F29" s="154">
        <f>SUMIF('Contratos - G200'!E:E,'Detalhamento - G200'!A29,'Contratos - G200'!J:J)+SUMIF('Pedidos - G200'!D:D,'Detalhamento - G200'!A29,'Pedidos - G200'!H:H)</f>
        <v>0</v>
      </c>
      <c r="G29" s="154">
        <f t="shared" si="11"/>
        <v>0</v>
      </c>
      <c r="H29" s="154">
        <f>SUMIF('Notas fiscais - G200'!D:D,'Detalhamento - G200'!A29,'Notas fiscais - G200'!T:T)</f>
        <v>0</v>
      </c>
      <c r="I29" s="154">
        <f>VLOOKUP(A29,'Projeções - G200'!B:F,5,FALSE)</f>
        <v>0</v>
      </c>
      <c r="J29" s="154">
        <f t="shared" si="12"/>
        <v>0</v>
      </c>
      <c r="K29" s="154">
        <f t="shared" si="13"/>
        <v>0</v>
      </c>
      <c r="L29" s="261"/>
    </row>
    <row r="30" spans="1:14" s="139" customFormat="1" ht="20.100000000000001" customHeight="1" outlineLevel="3">
      <c r="A30" s="146">
        <v>1001003010</v>
      </c>
      <c r="B30" s="147" t="s">
        <v>33</v>
      </c>
      <c r="C30" s="154">
        <v>779756.42</v>
      </c>
      <c r="D30" s="154">
        <f>_xlfn.XLOOKUP(A30,'[1]CADASTRO CENTRO DE CUSTO-ALOCAÇ'!$A:$A,'[1]CADASTRO CENTRO DE CUSTO-ALOCAÇ'!$C:$C)</f>
        <v>779756.42</v>
      </c>
      <c r="E30" s="154">
        <f t="shared" si="3"/>
        <v>0</v>
      </c>
      <c r="F30" s="154">
        <f>SUMIF('Contratos - G200'!E:E,'Detalhamento - G200'!A30,'Contratos - G200'!J:J)+SUMIF('Pedidos - G200'!D:D,'Detalhamento - G200'!A30,'Pedidos - G200'!H:H)</f>
        <v>611161.88</v>
      </c>
      <c r="G30" s="154">
        <f t="shared" si="11"/>
        <v>168594.54000000004</v>
      </c>
      <c r="H30" s="154">
        <f>SUMIF('Notas fiscais - G200'!D:D,'Detalhamento - G200'!A30,'Notas fiscais - G200'!T:T)</f>
        <v>115550.02</v>
      </c>
      <c r="I30" s="154">
        <f>VLOOKUP(A30,'Projeções - G200'!B:F,5,FALSE)</f>
        <v>0</v>
      </c>
      <c r="J30" s="154">
        <f t="shared" si="12"/>
        <v>611161.88</v>
      </c>
      <c r="K30" s="154">
        <f t="shared" si="13"/>
        <v>168594.54000000004</v>
      </c>
      <c r="L30" s="261"/>
      <c r="M30" s="247"/>
      <c r="N30" s="247"/>
    </row>
    <row r="31" spans="1:14" ht="20.100000000000001" customHeight="1" outlineLevel="3">
      <c r="A31" s="146">
        <v>1001003011</v>
      </c>
      <c r="B31" s="147" t="s">
        <v>34</v>
      </c>
      <c r="C31" s="154">
        <v>2965707.48</v>
      </c>
      <c r="D31" s="154">
        <f>_xlfn.XLOOKUP(A31,'[1]CADASTRO CENTRO DE CUSTO-ALOCAÇ'!$A:$A,'[1]CADASTRO CENTRO DE CUSTO-ALOCAÇ'!$C:$C)</f>
        <v>2965707.48</v>
      </c>
      <c r="E31" s="154">
        <f t="shared" si="3"/>
        <v>0</v>
      </c>
      <c r="F31" s="154">
        <f>SUMIF('Contratos - G200'!E:E,'Detalhamento - G200'!A31,'Contratos - G200'!J:J)+SUMIF('Pedidos - G200'!D:D,'Detalhamento - G200'!A31,'Pedidos - G200'!H:H)</f>
        <v>2149410</v>
      </c>
      <c r="G31" s="154">
        <f t="shared" si="11"/>
        <v>816297.48</v>
      </c>
      <c r="H31" s="154">
        <f>SUMIF('Notas fiscais - G200'!D:D,'Detalhamento - G200'!A31,'Notas fiscais - G200'!T:T)</f>
        <v>1648276.1199999999</v>
      </c>
      <c r="I31" s="154">
        <f>VLOOKUP(A31,'Projeções - G200'!B:F,5,FALSE)</f>
        <v>-646893.62</v>
      </c>
      <c r="J31" s="154">
        <f t="shared" si="12"/>
        <v>1502516.38</v>
      </c>
      <c r="K31" s="154">
        <f t="shared" si="13"/>
        <v>1463191.1</v>
      </c>
      <c r="L31" s="261"/>
    </row>
    <row r="32" spans="1:14" ht="20.100000000000001" customHeight="1" outlineLevel="3">
      <c r="A32" s="146">
        <v>1001003012</v>
      </c>
      <c r="B32" s="147" t="s">
        <v>35</v>
      </c>
      <c r="C32" s="154">
        <v>311057.28000000003</v>
      </c>
      <c r="D32" s="154">
        <f>_xlfn.XLOOKUP(A32,'[1]CADASTRO CENTRO DE CUSTO-ALOCAÇ'!$A:$A,'[1]CADASTRO CENTRO DE CUSTO-ALOCAÇ'!$C:$C)</f>
        <v>311057.28000000003</v>
      </c>
      <c r="E32" s="154">
        <f t="shared" si="3"/>
        <v>0</v>
      </c>
      <c r="F32" s="154">
        <f>SUMIF('Contratos - G200'!E:E,'Detalhamento - G200'!A32,'Contratos - G200'!J:J)+SUMIF('Pedidos - G200'!D:D,'Detalhamento - G200'!A32,'Pedidos - G200'!H:H)</f>
        <v>0</v>
      </c>
      <c r="G32" s="154">
        <f t="shared" si="11"/>
        <v>311057.28000000003</v>
      </c>
      <c r="H32" s="154">
        <f>SUMIF('Notas fiscais - G200'!D:D,'Detalhamento - G200'!A32,'Notas fiscais - G200'!T:T)</f>
        <v>0</v>
      </c>
      <c r="I32" s="154">
        <f>VLOOKUP(A32,'Projeções - G200'!B:F,5,FALSE)</f>
        <v>0</v>
      </c>
      <c r="J32" s="154">
        <f t="shared" si="12"/>
        <v>0</v>
      </c>
      <c r="K32" s="154">
        <f t="shared" si="13"/>
        <v>311057.28000000003</v>
      </c>
      <c r="L32" s="261"/>
    </row>
    <row r="33" spans="1:14" ht="20.100000000000001" customHeight="1" outlineLevel="3">
      <c r="A33" s="146">
        <v>1001003013</v>
      </c>
      <c r="B33" s="147" t="s">
        <v>36</v>
      </c>
      <c r="C33" s="154">
        <v>781818.29</v>
      </c>
      <c r="D33" s="154">
        <f>_xlfn.XLOOKUP(A33,'[1]CADASTRO CENTRO DE CUSTO-ALOCAÇ'!$A:$A,'[1]CADASTRO CENTRO DE CUSTO-ALOCAÇ'!$C:$C)</f>
        <v>781818.29</v>
      </c>
      <c r="E33" s="154">
        <f t="shared" si="3"/>
        <v>0</v>
      </c>
      <c r="F33" s="154">
        <f>SUMIF('Contratos - G200'!E:E,'Detalhamento - G200'!A33,'Contratos - G200'!J:J)+SUMIF('Pedidos - G200'!D:D,'Detalhamento - G200'!A33,'Pedidos - G200'!H:H)</f>
        <v>0</v>
      </c>
      <c r="G33" s="154">
        <f t="shared" si="11"/>
        <v>781818.29</v>
      </c>
      <c r="H33" s="154">
        <f>SUMIF('Notas fiscais - G200'!D:D,'Detalhamento - G200'!A33,'Notas fiscais - G200'!T:T)</f>
        <v>0</v>
      </c>
      <c r="I33" s="154">
        <f>VLOOKUP(A33,'Projeções - G200'!B:F,5,FALSE)</f>
        <v>0</v>
      </c>
      <c r="J33" s="154">
        <f t="shared" si="12"/>
        <v>0</v>
      </c>
      <c r="K33" s="154">
        <f t="shared" si="13"/>
        <v>781818.29</v>
      </c>
      <c r="L33" s="261"/>
    </row>
    <row r="34" spans="1:14" ht="20.100000000000001" customHeight="1" outlineLevel="3">
      <c r="A34" s="146">
        <v>1001003014</v>
      </c>
      <c r="B34" s="147" t="s">
        <v>37</v>
      </c>
      <c r="C34" s="154">
        <v>0</v>
      </c>
      <c r="D34" s="154">
        <f>_xlfn.XLOOKUP(A34,'[1]CADASTRO CENTRO DE CUSTO-ALOCAÇ'!$A:$A,'[1]CADASTRO CENTRO DE CUSTO-ALOCAÇ'!$C:$C)</f>
        <v>0</v>
      </c>
      <c r="E34" s="154">
        <f t="shared" si="3"/>
        <v>0</v>
      </c>
      <c r="F34" s="154">
        <f>SUMIF('Contratos - G200'!E:E,'Detalhamento - G200'!A34,'Contratos - G200'!J:J)+SUMIF('Pedidos - G200'!D:D,'Detalhamento - G200'!A34,'Pedidos - G200'!H:H)</f>
        <v>885</v>
      </c>
      <c r="G34" s="154">
        <f t="shared" si="11"/>
        <v>-885</v>
      </c>
      <c r="H34" s="154">
        <f>SUMIF('Notas fiscais - G200'!D:D,'Detalhamento - G200'!A34,'Notas fiscais - G200'!T:T)</f>
        <v>0</v>
      </c>
      <c r="I34" s="154">
        <f>VLOOKUP(A34,'Projeções - G200'!B:F,5,FALSE)</f>
        <v>0</v>
      </c>
      <c r="J34" s="154">
        <f t="shared" si="12"/>
        <v>885</v>
      </c>
      <c r="K34" s="154">
        <f t="shared" si="13"/>
        <v>-885</v>
      </c>
      <c r="L34" s="261"/>
    </row>
    <row r="35" spans="1:14" ht="20.100000000000001" customHeight="1" outlineLevel="2">
      <c r="A35" s="144">
        <v>1001004</v>
      </c>
      <c r="B35" s="145" t="s">
        <v>38</v>
      </c>
      <c r="C35" s="254">
        <f>SUBTOTAL(9,C36:C45)</f>
        <v>23248542.140000001</v>
      </c>
      <c r="D35" s="154">
        <f>_xlfn.XLOOKUP(A35,'[1]CADASTRO CENTRO DE CUSTO-ALOCAÇ'!$A:$A,'[1]CADASTRO CENTRO DE CUSTO-ALOCAÇ'!$C:$C)</f>
        <v>23248542.140000001</v>
      </c>
      <c r="E35" s="154">
        <f t="shared" si="3"/>
        <v>0</v>
      </c>
      <c r="F35" s="254">
        <f>SUBTOTAL(9,F36:F45)</f>
        <v>9355187.5437880531</v>
      </c>
      <c r="G35" s="254">
        <f t="shared" ref="G35:K35" si="14">SUBTOTAL(9,G36:G45)</f>
        <v>13893354.596211946</v>
      </c>
      <c r="H35" s="254">
        <f t="shared" si="14"/>
        <v>29165.31</v>
      </c>
      <c r="I35" s="254">
        <f t="shared" si="14"/>
        <v>0</v>
      </c>
      <c r="J35" s="254">
        <f t="shared" si="14"/>
        <v>9355187.5437880531</v>
      </c>
      <c r="K35" s="254">
        <f t="shared" si="14"/>
        <v>13893354.596211946</v>
      </c>
      <c r="L35" s="261"/>
    </row>
    <row r="36" spans="1:14" ht="20.100000000000001" customHeight="1" outlineLevel="3">
      <c r="A36" s="146">
        <v>1001004001</v>
      </c>
      <c r="B36" s="147" t="s">
        <v>39</v>
      </c>
      <c r="C36" s="154">
        <v>4576075.5999999996</v>
      </c>
      <c r="D36" s="154">
        <f>_xlfn.XLOOKUP(A36,'[1]CADASTRO CENTRO DE CUSTO-ALOCAÇ'!$A:$A,'[1]CADASTRO CENTRO DE CUSTO-ALOCAÇ'!$C:$C)</f>
        <v>4576075.5999999996</v>
      </c>
      <c r="E36" s="154">
        <f t="shared" si="3"/>
        <v>0</v>
      </c>
      <c r="F36" s="154">
        <f>SUMIF('Contratos - G200'!E:E,'Detalhamento - G200'!A36,'Contratos - G200'!J:J)+SUMIF('Pedidos - G200'!D:D,'Detalhamento - G200'!A36,'Pedidos - G200'!H:H)</f>
        <v>2882643.6606475231</v>
      </c>
      <c r="G36" s="154">
        <f t="shared" ref="G36:G45" si="15">C36-F36</f>
        <v>1693431.9393524765</v>
      </c>
      <c r="H36" s="154">
        <f>SUMIF('Notas fiscais - G200'!D:D,'Detalhamento - G200'!A36,'Notas fiscais - G200'!T:T)</f>
        <v>0</v>
      </c>
      <c r="I36" s="154">
        <f>VLOOKUP(A36,'Projeções - G200'!B:F,5,FALSE)</f>
        <v>0</v>
      </c>
      <c r="J36" s="154">
        <f t="shared" ref="J36:J45" si="16">F36+I36</f>
        <v>2882643.6606475231</v>
      </c>
      <c r="K36" s="154">
        <f t="shared" ref="K36:K45" si="17">C36-J36</f>
        <v>1693431.9393524765</v>
      </c>
      <c r="L36" s="261"/>
    </row>
    <row r="37" spans="1:14" ht="20.100000000000001" customHeight="1" outlineLevel="3">
      <c r="A37" s="146">
        <v>1001004002</v>
      </c>
      <c r="B37" s="147" t="s">
        <v>40</v>
      </c>
      <c r="C37" s="154">
        <v>9253125</v>
      </c>
      <c r="D37" s="154">
        <f>_xlfn.XLOOKUP(A37,'[1]CADASTRO CENTRO DE CUSTO-ALOCAÇ'!$A:$A,'[1]CADASTRO CENTRO DE CUSTO-ALOCAÇ'!$C:$C)</f>
        <v>9253125</v>
      </c>
      <c r="E37" s="154">
        <f t="shared" si="3"/>
        <v>0</v>
      </c>
      <c r="F37" s="154">
        <f>SUMIF('Contratos - G200'!E:E,'Detalhamento - G200'!A37,'Contratos - G200'!J:J)+SUMIF('Pedidos - G200'!D:D,'Detalhamento - G200'!A37,'Pedidos - G200'!H:H)</f>
        <v>2739057.2914486369</v>
      </c>
      <c r="G37" s="154">
        <f t="shared" si="15"/>
        <v>6514067.7085513631</v>
      </c>
      <c r="H37" s="154">
        <f>SUMIF('Notas fiscais - G200'!D:D,'Detalhamento - G200'!A37,'Notas fiscais - G200'!T:T)</f>
        <v>15983.14</v>
      </c>
      <c r="I37" s="154">
        <f>VLOOKUP(A37,'Projeções - G200'!B:F,5,FALSE)</f>
        <v>0</v>
      </c>
      <c r="J37" s="154">
        <f t="shared" si="16"/>
        <v>2739057.2914486369</v>
      </c>
      <c r="K37" s="154">
        <f t="shared" si="17"/>
        <v>6514067.7085513631</v>
      </c>
      <c r="L37" s="261"/>
    </row>
    <row r="38" spans="1:14" ht="20.100000000000001" customHeight="1" outlineLevel="3">
      <c r="A38" s="146">
        <v>1001004003</v>
      </c>
      <c r="B38" s="147" t="s">
        <v>41</v>
      </c>
      <c r="C38" s="154">
        <v>0</v>
      </c>
      <c r="D38" s="154">
        <f>_xlfn.XLOOKUP(A38,'[1]CADASTRO CENTRO DE CUSTO-ALOCAÇ'!$A:$A,'[1]CADASTRO CENTRO DE CUSTO-ALOCAÇ'!$C:$C)</f>
        <v>0</v>
      </c>
      <c r="E38" s="154">
        <f t="shared" si="3"/>
        <v>0</v>
      </c>
      <c r="F38" s="154">
        <f>SUMIF('Contratos - G200'!E:E,'Detalhamento - G200'!A38,'Contratos - G200'!J:J)+SUMIF('Pedidos - G200'!D:D,'Detalhamento - G200'!A38,'Pedidos - G200'!H:H)</f>
        <v>0</v>
      </c>
      <c r="G38" s="154">
        <f t="shared" si="15"/>
        <v>0</v>
      </c>
      <c r="H38" s="154">
        <f>SUMIF('Notas fiscais - G200'!D:D,'Detalhamento - G200'!A38,'Notas fiscais - G200'!T:T)</f>
        <v>0</v>
      </c>
      <c r="I38" s="154">
        <f>VLOOKUP(A38,'Projeções - G200'!B:F,5,FALSE)</f>
        <v>0</v>
      </c>
      <c r="J38" s="154">
        <f t="shared" si="16"/>
        <v>0</v>
      </c>
      <c r="K38" s="154">
        <f t="shared" si="17"/>
        <v>0</v>
      </c>
      <c r="L38" s="261"/>
    </row>
    <row r="39" spans="1:14" ht="20.100000000000001" customHeight="1" outlineLevel="3">
      <c r="A39" s="146">
        <v>1001004004</v>
      </c>
      <c r="B39" s="147" t="s">
        <v>42</v>
      </c>
      <c r="C39" s="154">
        <v>0</v>
      </c>
      <c r="D39" s="154">
        <f>_xlfn.XLOOKUP(A39,'[1]CADASTRO CENTRO DE CUSTO-ALOCAÇ'!$A:$A,'[1]CADASTRO CENTRO DE CUSTO-ALOCAÇ'!$C:$C)</f>
        <v>0</v>
      </c>
      <c r="E39" s="154">
        <f t="shared" si="3"/>
        <v>0</v>
      </c>
      <c r="F39" s="154">
        <f>SUMIF('Contratos - G200'!E:E,'Detalhamento - G200'!A39,'Contratos - G200'!J:J)+SUMIF('Pedidos - G200'!D:D,'Detalhamento - G200'!A39,'Pedidos - G200'!H:H)</f>
        <v>0</v>
      </c>
      <c r="G39" s="154">
        <f t="shared" si="15"/>
        <v>0</v>
      </c>
      <c r="H39" s="154">
        <f>SUMIF('Notas fiscais - G200'!D:D,'Detalhamento - G200'!A39,'Notas fiscais - G200'!T:T)</f>
        <v>0</v>
      </c>
      <c r="I39" s="154">
        <f>VLOOKUP(A39,'Projeções - G200'!B:F,5,FALSE)</f>
        <v>0</v>
      </c>
      <c r="J39" s="154">
        <f t="shared" si="16"/>
        <v>0</v>
      </c>
      <c r="K39" s="154">
        <f t="shared" si="17"/>
        <v>0</v>
      </c>
      <c r="L39" s="261"/>
    </row>
    <row r="40" spans="1:14" ht="20.100000000000001" customHeight="1" outlineLevel="3">
      <c r="A40" s="146">
        <v>1001004005</v>
      </c>
      <c r="B40" s="147" t="s">
        <v>43</v>
      </c>
      <c r="C40" s="154">
        <v>1094800</v>
      </c>
      <c r="D40" s="154">
        <f>_xlfn.XLOOKUP(A40,'[1]CADASTRO CENTRO DE CUSTO-ALOCAÇ'!$A:$A,'[1]CADASTRO CENTRO DE CUSTO-ALOCAÇ'!$C:$C)</f>
        <v>1094800</v>
      </c>
      <c r="E40" s="154">
        <f t="shared" si="3"/>
        <v>0</v>
      </c>
      <c r="F40" s="154">
        <f>SUMIF('Contratos - G200'!E:E,'Detalhamento - G200'!A40,'Contratos - G200'!J:J)+SUMIF('Pedidos - G200'!D:D,'Detalhamento - G200'!A40,'Pedidos - G200'!H:H)</f>
        <v>192891.59844066697</v>
      </c>
      <c r="G40" s="154">
        <f t="shared" si="15"/>
        <v>901908.40155933308</v>
      </c>
      <c r="H40" s="154">
        <f>SUMIF('Notas fiscais - G200'!D:D,'Detalhamento - G200'!A40,'Notas fiscais - G200'!T:T)</f>
        <v>1634.24</v>
      </c>
      <c r="I40" s="154">
        <f>VLOOKUP(A40,'Projeções - G200'!B:F,5,FALSE)</f>
        <v>0</v>
      </c>
      <c r="J40" s="154">
        <f t="shared" si="16"/>
        <v>192891.59844066697</v>
      </c>
      <c r="K40" s="154">
        <f t="shared" si="17"/>
        <v>901908.40155933308</v>
      </c>
      <c r="L40" s="261"/>
    </row>
    <row r="41" spans="1:14" ht="20.100000000000001" customHeight="1" outlineLevel="3">
      <c r="A41" s="146">
        <v>1001004006</v>
      </c>
      <c r="B41" s="147" t="s">
        <v>44</v>
      </c>
      <c r="C41" s="154">
        <v>4091136.15</v>
      </c>
      <c r="D41" s="154">
        <f>_xlfn.XLOOKUP(A41,'[1]CADASTRO CENTRO DE CUSTO-ALOCAÇ'!$A:$A,'[1]CADASTRO CENTRO DE CUSTO-ALOCAÇ'!$C:$C)</f>
        <v>4091136.15</v>
      </c>
      <c r="E41" s="154">
        <f t="shared" si="3"/>
        <v>0</v>
      </c>
      <c r="F41" s="154">
        <f>SUMIF('Contratos - G200'!E:E,'Detalhamento - G200'!A41,'Contratos - G200'!J:J)+SUMIF('Pedidos - G200'!D:D,'Detalhamento - G200'!A41,'Pedidos - G200'!H:H)</f>
        <v>740085.43759363308</v>
      </c>
      <c r="G41" s="154">
        <f t="shared" si="15"/>
        <v>3351050.7124063671</v>
      </c>
      <c r="H41" s="154">
        <f>SUMIF('Notas fiscais - G200'!D:D,'Detalhamento - G200'!A41,'Notas fiscais - G200'!T:T)</f>
        <v>11547.93</v>
      </c>
      <c r="I41" s="154">
        <f>VLOOKUP(A41,'Projeções - G200'!B:F,5,FALSE)</f>
        <v>0</v>
      </c>
      <c r="J41" s="154">
        <f t="shared" si="16"/>
        <v>740085.43759363308</v>
      </c>
      <c r="K41" s="154">
        <f t="shared" si="17"/>
        <v>3351050.7124063671</v>
      </c>
      <c r="L41" s="261"/>
    </row>
    <row r="42" spans="1:14" s="139" customFormat="1" ht="20.100000000000001" customHeight="1" outlineLevel="3">
      <c r="A42" s="146">
        <v>1001004007</v>
      </c>
      <c r="B42" s="147" t="s">
        <v>45</v>
      </c>
      <c r="C42" s="154">
        <v>2078605.39</v>
      </c>
      <c r="D42" s="154">
        <f>_xlfn.XLOOKUP(A42,'[1]CADASTRO CENTRO DE CUSTO-ALOCAÇ'!$A:$A,'[1]CADASTRO CENTRO DE CUSTO-ALOCAÇ'!$C:$C)</f>
        <v>2078605.39</v>
      </c>
      <c r="E42" s="154">
        <f t="shared" si="3"/>
        <v>0</v>
      </c>
      <c r="F42" s="154">
        <f>SUMIF('Contratos - G200'!E:E,'Detalhamento - G200'!A42,'Contratos - G200'!J:J)+SUMIF('Pedidos - G200'!D:D,'Detalhamento - G200'!A42,'Pedidos - G200'!H:H)</f>
        <v>1924371.2527224447</v>
      </c>
      <c r="G42" s="154">
        <f t="shared" si="15"/>
        <v>154234.13727755519</v>
      </c>
      <c r="H42" s="154">
        <f>SUMIF('Notas fiscais - G200'!D:D,'Detalhamento - G200'!A42,'Notas fiscais - G200'!T:T)</f>
        <v>0</v>
      </c>
      <c r="I42" s="154">
        <f>VLOOKUP(A42,'Projeções - G200'!B:F,5,FALSE)</f>
        <v>0</v>
      </c>
      <c r="J42" s="154">
        <f t="shared" si="16"/>
        <v>1924371.2527224447</v>
      </c>
      <c r="K42" s="154">
        <f t="shared" si="17"/>
        <v>154234.13727755519</v>
      </c>
      <c r="L42" s="261"/>
      <c r="M42" s="247"/>
      <c r="N42" s="247"/>
    </row>
    <row r="43" spans="1:14" ht="20.100000000000001" customHeight="1" outlineLevel="3">
      <c r="A43" s="146">
        <v>1001004008</v>
      </c>
      <c r="B43" s="147" t="s">
        <v>46</v>
      </c>
      <c r="C43" s="154">
        <v>40000</v>
      </c>
      <c r="D43" s="154">
        <f>_xlfn.XLOOKUP(A43,'[1]CADASTRO CENTRO DE CUSTO-ALOCAÇ'!$A:$A,'[1]CADASTRO CENTRO DE CUSTO-ALOCAÇ'!$C:$C)</f>
        <v>40000</v>
      </c>
      <c r="E43" s="154">
        <f t="shared" si="3"/>
        <v>0</v>
      </c>
      <c r="F43" s="154">
        <f>SUMIF('Contratos - G200'!E:E,'Detalhamento - G200'!A43,'Contratos - G200'!J:J)+SUMIF('Pedidos - G200'!D:D,'Detalhamento - G200'!A43,'Pedidos - G200'!H:H)</f>
        <v>0</v>
      </c>
      <c r="G43" s="154">
        <f t="shared" si="15"/>
        <v>40000</v>
      </c>
      <c r="H43" s="154">
        <f>SUMIF('Notas fiscais - G200'!D:D,'Detalhamento - G200'!A43,'Notas fiscais - G200'!T:T)</f>
        <v>0</v>
      </c>
      <c r="I43" s="154">
        <f>VLOOKUP(A43,'Projeções - G200'!B:F,5,FALSE)</f>
        <v>0</v>
      </c>
      <c r="J43" s="154">
        <f t="shared" si="16"/>
        <v>0</v>
      </c>
      <c r="K43" s="154">
        <f t="shared" si="17"/>
        <v>40000</v>
      </c>
      <c r="L43" s="261"/>
    </row>
    <row r="44" spans="1:14" ht="20.100000000000001" customHeight="1" outlineLevel="3">
      <c r="A44" s="146">
        <v>1001004009</v>
      </c>
      <c r="B44" s="147" t="s">
        <v>47</v>
      </c>
      <c r="C44" s="154">
        <v>0</v>
      </c>
      <c r="D44" s="154">
        <f>_xlfn.XLOOKUP(A44,'[1]CADASTRO CENTRO DE CUSTO-ALOCAÇ'!$A:$A,'[1]CADASTRO CENTRO DE CUSTO-ALOCAÇ'!$C:$C)</f>
        <v>0</v>
      </c>
      <c r="E44" s="154">
        <f t="shared" si="3"/>
        <v>0</v>
      </c>
      <c r="F44" s="154">
        <f>SUMIF('Contratos - G200'!E:E,'Detalhamento - G200'!A44,'Contratos - G200'!J:J)+SUMIF('Pedidos - G200'!D:D,'Detalhamento - G200'!A44,'Pedidos - G200'!H:H)</f>
        <v>0</v>
      </c>
      <c r="G44" s="154">
        <f t="shared" si="15"/>
        <v>0</v>
      </c>
      <c r="H44" s="154">
        <f>SUMIF('Notas fiscais - G200'!D:D,'Detalhamento - G200'!A44,'Notas fiscais - G200'!T:T)</f>
        <v>0</v>
      </c>
      <c r="I44" s="154">
        <f>VLOOKUP(A44,'Projeções - G200'!B:F,5,FALSE)</f>
        <v>0</v>
      </c>
      <c r="J44" s="154">
        <f t="shared" si="16"/>
        <v>0</v>
      </c>
      <c r="K44" s="154">
        <f t="shared" si="17"/>
        <v>0</v>
      </c>
      <c r="L44" s="261"/>
    </row>
    <row r="45" spans="1:14" ht="20.100000000000001" customHeight="1" outlineLevel="3">
      <c r="A45" s="146">
        <v>1001004010</v>
      </c>
      <c r="B45" s="147" t="s">
        <v>48</v>
      </c>
      <c r="C45" s="154">
        <v>2114800</v>
      </c>
      <c r="D45" s="154">
        <f>_xlfn.XLOOKUP(A45,'[1]CADASTRO CENTRO DE CUSTO-ALOCAÇ'!$A:$A,'[1]CADASTRO CENTRO DE CUSTO-ALOCAÇ'!$C:$C)</f>
        <v>2114800</v>
      </c>
      <c r="E45" s="154">
        <f t="shared" si="3"/>
        <v>0</v>
      </c>
      <c r="F45" s="154">
        <f>SUMIF('Contratos - G200'!E:E,'Detalhamento - G200'!A45,'Contratos - G200'!J:J)+SUMIF('Pedidos - G200'!D:D,'Detalhamento - G200'!A45,'Pedidos - G200'!H:H)</f>
        <v>876138.30293514696</v>
      </c>
      <c r="G45" s="154">
        <f t="shared" si="15"/>
        <v>1238661.697064853</v>
      </c>
      <c r="H45" s="154">
        <f>SUMIF('Notas fiscais - G200'!D:D,'Detalhamento - G200'!A45,'Notas fiscais - G200'!T:T)</f>
        <v>0</v>
      </c>
      <c r="I45" s="154">
        <f>VLOOKUP(A45,'Projeções - G200'!B:F,5,FALSE)</f>
        <v>0</v>
      </c>
      <c r="J45" s="154">
        <f t="shared" si="16"/>
        <v>876138.30293514696</v>
      </c>
      <c r="K45" s="154">
        <f t="shared" si="17"/>
        <v>1238661.697064853</v>
      </c>
      <c r="L45" s="261"/>
    </row>
    <row r="46" spans="1:14" outlineLevel="2">
      <c r="A46" s="144">
        <v>1001005</v>
      </c>
      <c r="B46" s="145" t="s">
        <v>838</v>
      </c>
      <c r="C46" s="254">
        <f>SUBTOTAL(9,C47:C48)</f>
        <v>27926047.350000001</v>
      </c>
      <c r="D46" s="154">
        <f>_xlfn.XLOOKUP(A46,'[1]CADASTRO CENTRO DE CUSTO-ALOCAÇ'!$A:$A,'[1]CADASTRO CENTRO DE CUSTO-ALOCAÇ'!$C:$C)</f>
        <v>27926047.350000001</v>
      </c>
      <c r="E46" s="154">
        <f t="shared" si="3"/>
        <v>0</v>
      </c>
      <c r="F46" s="254">
        <f>SUBTOTAL(9,F47:F48)</f>
        <v>23761031.406591866</v>
      </c>
      <c r="G46" s="254">
        <f t="shared" ref="G46:K46" si="18">SUBTOTAL(9,G47:G48)</f>
        <v>4165015.9434081325</v>
      </c>
      <c r="H46" s="254">
        <f t="shared" si="18"/>
        <v>12677418.859999999</v>
      </c>
      <c r="I46" s="254">
        <f t="shared" si="18"/>
        <v>-1067074.46</v>
      </c>
      <c r="J46" s="254">
        <f t="shared" si="18"/>
        <v>22693956.946591865</v>
      </c>
      <c r="K46" s="254">
        <f t="shared" si="18"/>
        <v>5232090.4034081334</v>
      </c>
      <c r="L46" s="261"/>
    </row>
    <row r="47" spans="1:14" ht="20.100000000000001" customHeight="1" outlineLevel="3">
      <c r="A47" s="146">
        <v>1001005001</v>
      </c>
      <c r="B47" s="147" t="s">
        <v>49</v>
      </c>
      <c r="C47" s="154">
        <v>27273269.68</v>
      </c>
      <c r="D47" s="154">
        <f>_xlfn.XLOOKUP(A47,'[1]CADASTRO CENTRO DE CUSTO-ALOCAÇ'!$A:$A,'[1]CADASTRO CENTRO DE CUSTO-ALOCAÇ'!$C:$C)</f>
        <v>27273269.68</v>
      </c>
      <c r="E47" s="154">
        <f t="shared" si="3"/>
        <v>0</v>
      </c>
      <c r="F47" s="154">
        <f>SUMIF('Contratos - G200'!E:E,'Detalhamento - G200'!A47,'Contratos - G200'!J:J)+SUMIF('Pedidos - G200'!D:D,'Detalhamento - G200'!A47,'Pedidos - G200'!H:H)</f>
        <v>23131832.866591867</v>
      </c>
      <c r="G47" s="154">
        <f>C47-F47</f>
        <v>4141436.8134081326</v>
      </c>
      <c r="H47" s="154">
        <f>SUMIF('Notas fiscais - G200'!D:D,'Detalhamento - G200'!A47,'Notas fiscais - G200'!T:T)</f>
        <v>12601759.119999999</v>
      </c>
      <c r="I47" s="154">
        <f>VLOOKUP(A47,'Projeções - G200'!B:F,5,FALSE)</f>
        <v>-1067074.46</v>
      </c>
      <c r="J47" s="154">
        <f t="shared" ref="J47:J48" si="19">F47+I47</f>
        <v>22064758.406591866</v>
      </c>
      <c r="K47" s="154">
        <f>C47-J47</f>
        <v>5208511.2734081335</v>
      </c>
      <c r="L47" s="261"/>
    </row>
    <row r="48" spans="1:14" ht="20.100000000000001" customHeight="1" outlineLevel="3">
      <c r="A48" s="146">
        <v>1001005002</v>
      </c>
      <c r="B48" s="147" t="s">
        <v>50</v>
      </c>
      <c r="C48" s="154">
        <v>652777.67000000004</v>
      </c>
      <c r="D48" s="154">
        <f>_xlfn.XLOOKUP(A48,'[1]CADASTRO CENTRO DE CUSTO-ALOCAÇ'!$A:$A,'[1]CADASTRO CENTRO DE CUSTO-ALOCAÇ'!$C:$C)</f>
        <v>652777.67000000004</v>
      </c>
      <c r="E48" s="154">
        <f t="shared" si="3"/>
        <v>0</v>
      </c>
      <c r="F48" s="154">
        <f>SUMIF('Contratos - G200'!E:E,'Detalhamento - G200'!A48,'Contratos - G200'!J:J)+SUMIF('Pedidos - G200'!D:D,'Detalhamento - G200'!A48,'Pedidos - G200'!H:H)</f>
        <v>629198.54</v>
      </c>
      <c r="G48" s="154">
        <f>C48-F48</f>
        <v>23579.130000000005</v>
      </c>
      <c r="H48" s="154">
        <f>SUMIF('Notas fiscais - G200'!D:D,'Detalhamento - G200'!A48,'Notas fiscais - G200'!T:T)</f>
        <v>75659.739999999991</v>
      </c>
      <c r="I48" s="154">
        <f>VLOOKUP(A48,'Projeções - G200'!B:F,5,FALSE)</f>
        <v>0</v>
      </c>
      <c r="J48" s="154">
        <f t="shared" si="19"/>
        <v>629198.54</v>
      </c>
      <c r="K48" s="154">
        <f>C48-J48</f>
        <v>23579.130000000005</v>
      </c>
      <c r="L48" s="261"/>
    </row>
    <row r="49" spans="1:12" outlineLevel="2">
      <c r="A49" s="144">
        <v>1001006</v>
      </c>
      <c r="B49" s="145" t="s">
        <v>51</v>
      </c>
      <c r="C49" s="254">
        <f>SUBTOTAL(9,C50:C56)</f>
        <v>19931939.239999998</v>
      </c>
      <c r="D49" s="154">
        <f>_xlfn.XLOOKUP(A49,'[1]CADASTRO CENTRO DE CUSTO-ALOCAÇ'!$A:$A,'[1]CADASTRO CENTRO DE CUSTO-ALOCAÇ'!$C:$C)</f>
        <v>19931939.239999998</v>
      </c>
      <c r="E49" s="154">
        <f t="shared" si="3"/>
        <v>0</v>
      </c>
      <c r="F49" s="254">
        <f>SUBTOTAL(9,F50:F56)</f>
        <v>2660117.9919276093</v>
      </c>
      <c r="G49" s="254">
        <f t="shared" ref="G49:K49" si="20">SUBTOTAL(9,G50:G56)</f>
        <v>17271821.248072393</v>
      </c>
      <c r="H49" s="254">
        <f t="shared" si="20"/>
        <v>1128156.49</v>
      </c>
      <c r="I49" s="254">
        <f t="shared" si="20"/>
        <v>-37000</v>
      </c>
      <c r="J49" s="254">
        <f t="shared" si="20"/>
        <v>2623117.9919276093</v>
      </c>
      <c r="K49" s="254">
        <f t="shared" si="20"/>
        <v>17308821.248072393</v>
      </c>
      <c r="L49" s="261"/>
    </row>
    <row r="50" spans="1:12" ht="20.100000000000001" customHeight="1" outlineLevel="3">
      <c r="A50" s="146">
        <v>1001006001</v>
      </c>
      <c r="B50" s="147" t="s">
        <v>52</v>
      </c>
      <c r="C50" s="154">
        <v>13356940.130000001</v>
      </c>
      <c r="D50" s="154">
        <f>_xlfn.XLOOKUP(A50,'[1]CADASTRO CENTRO DE CUSTO-ALOCAÇ'!$A:$A,'[1]CADASTRO CENTRO DE CUSTO-ALOCAÇ'!$C:$C)</f>
        <v>13356940.130000001</v>
      </c>
      <c r="E50" s="154">
        <f t="shared" si="3"/>
        <v>0</v>
      </c>
      <c r="F50" s="154">
        <f>SUMIF('Contratos - G200'!E:E,'Detalhamento - G200'!A50,'Contratos - G200'!J:J)+SUMIF('Pedidos - G200'!D:D,'Detalhamento - G200'!A50,'Pedidos - G200'!H:H)</f>
        <v>23.88</v>
      </c>
      <c r="G50" s="154">
        <f>C50-F50</f>
        <v>13356916.25</v>
      </c>
      <c r="H50" s="154">
        <f>SUMIF('Notas fiscais - G200'!D:D,'Detalhamento - G200'!A50,'Notas fiscais - G200'!T:T)</f>
        <v>0</v>
      </c>
      <c r="I50" s="154">
        <f>VLOOKUP(A50,'Projeções - G200'!B:F,5,FALSE)</f>
        <v>0</v>
      </c>
      <c r="J50" s="154">
        <f t="shared" ref="J50:J56" si="21">F50+I50</f>
        <v>23.88</v>
      </c>
      <c r="K50" s="154">
        <f t="shared" ref="K50:K56" si="22">C50-J50</f>
        <v>13356916.25</v>
      </c>
      <c r="L50" s="261"/>
    </row>
    <row r="51" spans="1:12" ht="20.100000000000001" customHeight="1" outlineLevel="3">
      <c r="A51" s="146">
        <v>1001006002</v>
      </c>
      <c r="B51" s="147" t="s">
        <v>53</v>
      </c>
      <c r="C51" s="154">
        <v>3354411.09</v>
      </c>
      <c r="D51" s="154">
        <f>_xlfn.XLOOKUP(A51,'[1]CADASTRO CENTRO DE CUSTO-ALOCAÇ'!$A:$A,'[1]CADASTRO CENTRO DE CUSTO-ALOCAÇ'!$C:$C)</f>
        <v>3354411.09</v>
      </c>
      <c r="E51" s="154">
        <f t="shared" si="3"/>
        <v>0</v>
      </c>
      <c r="F51" s="154">
        <f>SUMIF('Contratos - G200'!E:E,'Detalhamento - G200'!A51,'Contratos - G200'!J:J)+SUMIF('Pedidos - G200'!D:D,'Detalhamento - G200'!A51,'Pedidos - G200'!H:H)</f>
        <v>23.88</v>
      </c>
      <c r="G51" s="154">
        <f>C51-F51</f>
        <v>3354387.21</v>
      </c>
      <c r="H51" s="154">
        <f>SUMIF('Notas fiscais - G200'!D:D,'Detalhamento - G200'!A51,'Notas fiscais - G200'!T:T)</f>
        <v>0</v>
      </c>
      <c r="I51" s="154">
        <f>VLOOKUP(A51,'Projeções - G200'!B:F,5,FALSE)</f>
        <v>0</v>
      </c>
      <c r="J51" s="154">
        <f t="shared" si="21"/>
        <v>23.88</v>
      </c>
      <c r="K51" s="154">
        <f t="shared" si="22"/>
        <v>3354387.21</v>
      </c>
      <c r="L51" s="261"/>
    </row>
    <row r="52" spans="1:12" outlineLevel="3">
      <c r="A52" s="146">
        <v>1001006003</v>
      </c>
      <c r="B52" s="147" t="s">
        <v>54</v>
      </c>
      <c r="C52" s="154">
        <v>221200</v>
      </c>
      <c r="D52" s="154">
        <f>_xlfn.XLOOKUP(A52,'[1]CADASTRO CENTRO DE CUSTO-ALOCAÇ'!$A:$A,'[1]CADASTRO CENTRO DE CUSTO-ALOCAÇ'!$C:$C)</f>
        <v>221200</v>
      </c>
      <c r="E52" s="154">
        <f t="shared" si="3"/>
        <v>0</v>
      </c>
      <c r="F52" s="154">
        <f>SUMIF('Contratos - G200'!E:E,'Detalhamento - G200'!A52,'Contratos - G200'!J:J)+SUMIF('Pedidos - G200'!D:D,'Detalhamento - G200'!A52,'Pedidos - G200'!H:H)</f>
        <v>288238.27</v>
      </c>
      <c r="G52" s="154">
        <f t="shared" ref="G52" si="23">C52-F52</f>
        <v>-67038.270000000019</v>
      </c>
      <c r="H52" s="154">
        <f>SUMIF('Notas fiscais - G200'!D:D,'Detalhamento - G200'!A52,'Notas fiscais - G200'!T:T)</f>
        <v>137101.73000000001</v>
      </c>
      <c r="I52" s="154">
        <f>VLOOKUP(A52,'Projeções - G200'!B:F,5,FALSE)</f>
        <v>0</v>
      </c>
      <c r="J52" s="154">
        <f t="shared" si="21"/>
        <v>288238.27</v>
      </c>
      <c r="K52" s="154">
        <f t="shared" si="22"/>
        <v>-67038.270000000019</v>
      </c>
      <c r="L52" s="261"/>
    </row>
    <row r="53" spans="1:12" outlineLevel="3">
      <c r="A53" s="146">
        <v>1001006004</v>
      </c>
      <c r="B53" s="147" t="s">
        <v>55</v>
      </c>
      <c r="C53" s="154">
        <v>836000</v>
      </c>
      <c r="D53" s="154">
        <f>_xlfn.XLOOKUP(A53,'[1]CADASTRO CENTRO DE CUSTO-ALOCAÇ'!$A:$A,'[1]CADASTRO CENTRO DE CUSTO-ALOCAÇ'!$C:$C)</f>
        <v>836000</v>
      </c>
      <c r="E53" s="154">
        <f t="shared" si="3"/>
        <v>0</v>
      </c>
      <c r="F53" s="154">
        <f>SUMIF('Contratos - G200'!E:E,'Detalhamento - G200'!A53,'Contratos - G200'!J:J)+SUMIF('Pedidos - G200'!D:D,'Detalhamento - G200'!A53,'Pedidos - G200'!H:H)</f>
        <v>799000</v>
      </c>
      <c r="G53" s="154">
        <f t="shared" ref="G53:G54" si="24">C53-F53</f>
        <v>37000</v>
      </c>
      <c r="H53" s="154">
        <f>SUMIF('Notas fiscais - G200'!D:D,'Detalhamento - G200'!A53,'Notas fiscais - G200'!T:T)</f>
        <v>639200</v>
      </c>
      <c r="I53" s="154">
        <f>VLOOKUP(A53,'Projeções - G200'!B:F,5,FALSE)</f>
        <v>-37000</v>
      </c>
      <c r="J53" s="154">
        <f t="shared" si="21"/>
        <v>762000</v>
      </c>
      <c r="K53" s="154">
        <f t="shared" si="22"/>
        <v>74000</v>
      </c>
      <c r="L53" s="261"/>
    </row>
    <row r="54" spans="1:12" outlineLevel="3">
      <c r="A54" s="146">
        <v>1001006005</v>
      </c>
      <c r="B54" s="147" t="s">
        <v>56</v>
      </c>
      <c r="C54" s="154">
        <v>250000</v>
      </c>
      <c r="D54" s="154">
        <f>_xlfn.XLOOKUP(A54,'[1]CADASTRO CENTRO DE CUSTO-ALOCAÇ'!$A:$A,'[1]CADASTRO CENTRO DE CUSTO-ALOCAÇ'!$C:$C)</f>
        <v>250000</v>
      </c>
      <c r="E54" s="154">
        <f t="shared" si="3"/>
        <v>0</v>
      </c>
      <c r="F54" s="154">
        <f>SUMIF('Contratos - G200'!E:E,'Detalhamento - G200'!A54,'Contratos - G200'!J:J)+SUMIF('Pedidos - G200'!D:D,'Detalhamento - G200'!A54,'Pedidos - G200'!H:H)</f>
        <v>0</v>
      </c>
      <c r="G54" s="154">
        <f t="shared" si="24"/>
        <v>250000</v>
      </c>
      <c r="H54" s="154">
        <f>SUMIF('Notas fiscais - G200'!D:D,'Detalhamento - G200'!A54,'Notas fiscais - G200'!T:T)</f>
        <v>0</v>
      </c>
      <c r="I54" s="154">
        <f>VLOOKUP(A54,'Projeções - G200'!B:F,5,FALSE)</f>
        <v>0</v>
      </c>
      <c r="J54" s="154">
        <f t="shared" si="21"/>
        <v>0</v>
      </c>
      <c r="K54" s="154">
        <f t="shared" si="22"/>
        <v>250000</v>
      </c>
      <c r="L54" s="261"/>
    </row>
    <row r="55" spans="1:12" outlineLevel="3">
      <c r="A55" s="146">
        <v>1001006006</v>
      </c>
      <c r="B55" s="147" t="s">
        <v>57</v>
      </c>
      <c r="C55" s="154">
        <v>1913388.02</v>
      </c>
      <c r="D55" s="154">
        <f>_xlfn.XLOOKUP(A55,'[1]CADASTRO CENTRO DE CUSTO-ALOCAÇ'!$A:$A,'[1]CADASTRO CENTRO DE CUSTO-ALOCAÇ'!$C:$C)</f>
        <v>1913388.02</v>
      </c>
      <c r="E55" s="154">
        <f t="shared" si="3"/>
        <v>0</v>
      </c>
      <c r="F55" s="154">
        <f>SUMIF('Contratos - G200'!E:E,'Detalhamento - G200'!A55,'Contratos - G200'!J:J)+SUMIF('Pedidos - G200'!D:D,'Detalhamento - G200'!A55,'Pedidos - G200'!H:H)</f>
        <v>1572831.9619276093</v>
      </c>
      <c r="G55" s="154">
        <f>C55-F55</f>
        <v>340556.05807239073</v>
      </c>
      <c r="H55" s="154">
        <f>SUMIF('Notas fiscais - G200'!D:D,'Detalhamento - G200'!A55,'Notas fiscais - G200'!T:T)</f>
        <v>351854.76</v>
      </c>
      <c r="I55" s="154">
        <f>VLOOKUP(A55,'Projeções - G200'!B:F,5,FALSE)</f>
        <v>0</v>
      </c>
      <c r="J55" s="154">
        <f t="shared" si="21"/>
        <v>1572831.9619276093</v>
      </c>
      <c r="K55" s="154">
        <f t="shared" si="22"/>
        <v>340556.05807239073</v>
      </c>
      <c r="L55" s="261"/>
    </row>
    <row r="56" spans="1:12" outlineLevel="3">
      <c r="A56" s="146">
        <v>1001006007</v>
      </c>
      <c r="B56" s="147" t="s">
        <v>58</v>
      </c>
      <c r="C56" s="154">
        <v>0</v>
      </c>
      <c r="D56" s="154">
        <f>_xlfn.XLOOKUP(A56,'[1]CADASTRO CENTRO DE CUSTO-ALOCAÇ'!$A:$A,'[1]CADASTRO CENTRO DE CUSTO-ALOCAÇ'!$C:$C)</f>
        <v>0</v>
      </c>
      <c r="E56" s="154">
        <f t="shared" si="3"/>
        <v>0</v>
      </c>
      <c r="F56" s="154">
        <f>SUMIF('Contratos - G200'!E:E,'Detalhamento - G200'!A56,'Contratos - G200'!J:J)+SUMIF('Pedidos - G200'!D:D,'Detalhamento - G200'!A56,'Pedidos - G200'!H:H)</f>
        <v>0</v>
      </c>
      <c r="G56" s="154">
        <f>C56-F56</f>
        <v>0</v>
      </c>
      <c r="H56" s="154">
        <f>SUMIF('Notas fiscais - G200'!D:D,'Detalhamento - G200'!A56,'Notas fiscais - G200'!T:T)</f>
        <v>0</v>
      </c>
      <c r="I56" s="154">
        <f>VLOOKUP(A56,'Projeções - G200'!B:F,5,FALSE)</f>
        <v>0</v>
      </c>
      <c r="J56" s="154">
        <f t="shared" si="21"/>
        <v>0</v>
      </c>
      <c r="K56" s="154">
        <f t="shared" si="22"/>
        <v>0</v>
      </c>
      <c r="L56" s="261"/>
    </row>
    <row r="57" spans="1:12" outlineLevel="1">
      <c r="A57" s="143">
        <v>1002</v>
      </c>
      <c r="B57" s="141" t="s">
        <v>59</v>
      </c>
      <c r="C57" s="253">
        <f>SUBTOTAL(9,C58:C69)</f>
        <v>134404294.03</v>
      </c>
      <c r="D57" s="154">
        <f>_xlfn.XLOOKUP(A57,'[1]CADASTRO CENTRO DE CUSTO-ALOCAÇ'!$A:$A,'[1]CADASTRO CENTRO DE CUSTO-ALOCAÇ'!$C:$C)</f>
        <v>134404294.03</v>
      </c>
      <c r="E57" s="154">
        <f t="shared" si="3"/>
        <v>0</v>
      </c>
      <c r="F57" s="253">
        <f t="shared" ref="F57:K57" si="25">SUBTOTAL(9,F58:F69)</f>
        <v>85475779.139133543</v>
      </c>
      <c r="G57" s="253">
        <f t="shared" si="25"/>
        <v>48928514.890866466</v>
      </c>
      <c r="H57" s="253">
        <f t="shared" si="25"/>
        <v>5047777.6500000004</v>
      </c>
      <c r="I57" s="253">
        <f t="shared" si="25"/>
        <v>2224759.7497851001</v>
      </c>
      <c r="J57" s="253">
        <f t="shared" si="25"/>
        <v>87700538.888918638</v>
      </c>
      <c r="K57" s="253">
        <f t="shared" si="25"/>
        <v>46703755.14108137</v>
      </c>
      <c r="L57" s="261"/>
    </row>
    <row r="58" spans="1:12" outlineLevel="2">
      <c r="A58" s="144">
        <v>1002001</v>
      </c>
      <c r="B58" s="145" t="s">
        <v>60</v>
      </c>
      <c r="C58" s="254">
        <f>SUBTOTAL(9,C59:C60)</f>
        <v>1402140.9</v>
      </c>
      <c r="D58" s="154">
        <f>_xlfn.XLOOKUP(A58,'[1]CADASTRO CENTRO DE CUSTO-ALOCAÇ'!$A:$A,'[1]CADASTRO CENTRO DE CUSTO-ALOCAÇ'!$C:$C)</f>
        <v>1402140.9</v>
      </c>
      <c r="E58" s="154">
        <f t="shared" si="3"/>
        <v>0</v>
      </c>
      <c r="F58" s="254">
        <f t="shared" ref="F58" si="26">SUBTOTAL(9,F59:F60)</f>
        <v>100000</v>
      </c>
      <c r="G58" s="254">
        <f t="shared" ref="G58" si="27">SUBTOTAL(9,G59:G60)</f>
        <v>1302140.8999999999</v>
      </c>
      <c r="H58" s="254">
        <f t="shared" ref="H58" si="28">SUBTOTAL(9,H59:H60)</f>
        <v>0</v>
      </c>
      <c r="I58" s="254">
        <f t="shared" ref="I58" si="29">SUBTOTAL(9,I59:I60)</f>
        <v>0</v>
      </c>
      <c r="J58" s="254">
        <f t="shared" ref="J58" si="30">SUBTOTAL(9,J59:J60)</f>
        <v>100000</v>
      </c>
      <c r="K58" s="254">
        <f t="shared" ref="K58" si="31">SUBTOTAL(9,K59:K60)</f>
        <v>1302140.8999999999</v>
      </c>
      <c r="L58" s="261"/>
    </row>
    <row r="59" spans="1:12" outlineLevel="3">
      <c r="A59" s="146">
        <v>1002001001</v>
      </c>
      <c r="B59" s="147" t="s">
        <v>61</v>
      </c>
      <c r="C59" s="154">
        <v>652140.9</v>
      </c>
      <c r="D59" s="154">
        <f>_xlfn.XLOOKUP(A59,'[1]CADASTRO CENTRO DE CUSTO-ALOCAÇ'!$A:$A,'[1]CADASTRO CENTRO DE CUSTO-ALOCAÇ'!$C:$C)</f>
        <v>652140.9</v>
      </c>
      <c r="E59" s="154">
        <f t="shared" si="3"/>
        <v>0</v>
      </c>
      <c r="F59" s="154">
        <f>SUMIF('Contratos - G200'!E:E,'Detalhamento - G200'!A59,'Contratos - G200'!J:J)+SUMIF('Pedidos - G200'!D:D,'Detalhamento - G200'!A59,'Pedidos - G200'!H:H)</f>
        <v>0</v>
      </c>
      <c r="G59" s="154">
        <f t="shared" ref="G59:G60" si="32">C59-F59</f>
        <v>652140.9</v>
      </c>
      <c r="H59" s="154">
        <f>SUMIF('Notas fiscais - G200'!D:D,'Detalhamento - G200'!A59,'Notas fiscais - G200'!T:T)</f>
        <v>0</v>
      </c>
      <c r="I59" s="154">
        <f>VLOOKUP(A59,'Projeções - G200'!B:F,5,FALSE)</f>
        <v>0</v>
      </c>
      <c r="J59" s="154">
        <f t="shared" ref="J59:J60" si="33">F59+I59</f>
        <v>0</v>
      </c>
      <c r="K59" s="154">
        <f>C59-J59</f>
        <v>652140.9</v>
      </c>
      <c r="L59" s="261"/>
    </row>
    <row r="60" spans="1:12" outlineLevel="3">
      <c r="A60" s="146">
        <v>1002001002</v>
      </c>
      <c r="B60" s="147" t="s">
        <v>62</v>
      </c>
      <c r="C60" s="154">
        <v>750000</v>
      </c>
      <c r="D60" s="154">
        <f>_xlfn.XLOOKUP(A60,'[1]CADASTRO CENTRO DE CUSTO-ALOCAÇ'!$A:$A,'[1]CADASTRO CENTRO DE CUSTO-ALOCAÇ'!$C:$C)</f>
        <v>750000</v>
      </c>
      <c r="E60" s="154">
        <f t="shared" si="3"/>
        <v>0</v>
      </c>
      <c r="F60" s="154">
        <f>SUMIF('Contratos - G200'!E:E,'Detalhamento - G200'!A60,'Contratos - G200'!J:J)+SUMIF('Pedidos - G200'!D:D,'Detalhamento - G200'!A60,'Pedidos - G200'!H:H)</f>
        <v>100000</v>
      </c>
      <c r="G60" s="154">
        <f t="shared" si="32"/>
        <v>650000</v>
      </c>
      <c r="H60" s="154">
        <f>SUMIF('Notas fiscais - G200'!D:D,'Detalhamento - G200'!A60,'Notas fiscais - G200'!T:T)</f>
        <v>0</v>
      </c>
      <c r="I60" s="154">
        <f>VLOOKUP(A60,'Projeções - G200'!B:F,5,FALSE)</f>
        <v>0</v>
      </c>
      <c r="J60" s="154">
        <f t="shared" si="33"/>
        <v>100000</v>
      </c>
      <c r="K60" s="154">
        <f>C60-J60</f>
        <v>650000</v>
      </c>
      <c r="L60" s="261"/>
    </row>
    <row r="61" spans="1:12" outlineLevel="2">
      <c r="A61" s="144">
        <v>1002002</v>
      </c>
      <c r="B61" s="145" t="s">
        <v>63</v>
      </c>
      <c r="C61" s="254">
        <f>SUBTOTAL(9,C62:C67)</f>
        <v>107827103.44999999</v>
      </c>
      <c r="D61" s="154">
        <f>_xlfn.XLOOKUP(A61,'[1]CADASTRO CENTRO DE CUSTO-ALOCAÇ'!$A:$A,'[1]CADASTRO CENTRO DE CUSTO-ALOCAÇ'!$C:$C)</f>
        <v>107827103.44999999</v>
      </c>
      <c r="E61" s="154">
        <f t="shared" si="3"/>
        <v>0</v>
      </c>
      <c r="F61" s="254">
        <f t="shared" ref="F61:K61" si="34">SUBTOTAL(9,F62:F67)</f>
        <v>61765254.269253559</v>
      </c>
      <c r="G61" s="254">
        <f t="shared" si="34"/>
        <v>46061849.180746444</v>
      </c>
      <c r="H61" s="254">
        <f t="shared" si="34"/>
        <v>2555449.02</v>
      </c>
      <c r="I61" s="254">
        <f t="shared" si="34"/>
        <v>2224759.7497851001</v>
      </c>
      <c r="J61" s="254">
        <f t="shared" si="34"/>
        <v>63990014.019038655</v>
      </c>
      <c r="K61" s="254">
        <f t="shared" si="34"/>
        <v>43837089.430961348</v>
      </c>
      <c r="L61" s="261"/>
    </row>
    <row r="62" spans="1:12" outlineLevel="3">
      <c r="A62" s="146">
        <v>1002002001</v>
      </c>
      <c r="B62" s="147" t="s">
        <v>64</v>
      </c>
      <c r="C62" s="154">
        <v>23488208.93</v>
      </c>
      <c r="D62" s="154">
        <f>_xlfn.XLOOKUP(A62,'[1]CADASTRO CENTRO DE CUSTO-ALOCAÇ'!$A:$A,'[1]CADASTRO CENTRO DE CUSTO-ALOCAÇ'!$C:$C)</f>
        <v>23488208.93</v>
      </c>
      <c r="E62" s="154">
        <f t="shared" si="3"/>
        <v>0</v>
      </c>
      <c r="F62" s="154">
        <f>SUMIF('Contratos - G200'!E:E,'Detalhamento - G200'!A62,'Contratos - G200'!J:J)+SUMIF('Pedidos - G200'!D:D,'Detalhamento - G200'!A62,'Pedidos - G200'!H:H)</f>
        <v>1428595.8294684584</v>
      </c>
      <c r="G62" s="154">
        <f t="shared" ref="G62:G67" si="35">C62-F62</f>
        <v>22059613.100531541</v>
      </c>
      <c r="H62" s="154">
        <f>SUMIF('Notas fiscais - G200'!D:D,'Detalhamento - G200'!A62,'Notas fiscais - G200'!T:T)</f>
        <v>1220174.75</v>
      </c>
      <c r="I62" s="154">
        <f>VLOOKUP(A62,'Projeções - G200'!B:F,5,FALSE)</f>
        <v>0</v>
      </c>
      <c r="J62" s="154">
        <f t="shared" ref="J62:J67" si="36">F62+I62</f>
        <v>1428595.8294684584</v>
      </c>
      <c r="K62" s="154">
        <f t="shared" ref="K62:K67" si="37">C62-J62</f>
        <v>22059613.100531541</v>
      </c>
      <c r="L62" s="261"/>
    </row>
    <row r="63" spans="1:12" outlineLevel="3">
      <c r="A63" s="146">
        <v>1002002002</v>
      </c>
      <c r="B63" s="147" t="s">
        <v>65</v>
      </c>
      <c r="C63" s="154">
        <v>63105862.43</v>
      </c>
      <c r="D63" s="154">
        <f>_xlfn.XLOOKUP(A63,'[1]CADASTRO CENTRO DE CUSTO-ALOCAÇ'!$A:$A,'[1]CADASTRO CENTRO DE CUSTO-ALOCAÇ'!$C:$C)</f>
        <v>63105862.43</v>
      </c>
      <c r="E63" s="154">
        <f t="shared" si="3"/>
        <v>0</v>
      </c>
      <c r="F63" s="154">
        <f>SUMIF('Contratos - G200'!E:E,'Detalhamento - G200'!A63,'Contratos - G200'!J:J)+SUMIF('Pedidos - G200'!D:D,'Detalhamento - G200'!A63,'Pedidos - G200'!H:H)</f>
        <v>58737884.669785097</v>
      </c>
      <c r="G63" s="154">
        <f t="shared" si="35"/>
        <v>4367977.7602149025</v>
      </c>
      <c r="H63" s="154">
        <f>SUMIF('Notas fiscais - G200'!D:D,'Detalhamento - G200'!A63,'Notas fiscais - G200'!T:T)</f>
        <v>1015524.21</v>
      </c>
      <c r="I63" s="154">
        <f>VLOOKUP(A63,'Projeções - G200'!B:F,5,FALSE)</f>
        <v>2472610.8797851</v>
      </c>
      <c r="J63" s="154">
        <f t="shared" si="36"/>
        <v>61210495.549570195</v>
      </c>
      <c r="K63" s="154">
        <f t="shared" si="37"/>
        <v>1895366.8804298043</v>
      </c>
      <c r="L63" s="261"/>
    </row>
    <row r="64" spans="1:12" outlineLevel="3">
      <c r="A64" s="146">
        <v>1002002003</v>
      </c>
      <c r="B64" s="147" t="s">
        <v>66</v>
      </c>
      <c r="C64" s="154">
        <v>16862598.43</v>
      </c>
      <c r="D64" s="154">
        <f>_xlfn.XLOOKUP(A64,'[1]CADASTRO CENTRO DE CUSTO-ALOCAÇ'!$A:$A,'[1]CADASTRO CENTRO DE CUSTO-ALOCAÇ'!$C:$C)</f>
        <v>16862598.43</v>
      </c>
      <c r="E64" s="154">
        <f t="shared" si="3"/>
        <v>0</v>
      </c>
      <c r="F64" s="154">
        <f>SUMIF('Contratos - G200'!E:E,'Detalhamento - G200'!A64,'Contratos - G200'!J:J)+SUMIF('Pedidos - G200'!D:D,'Detalhamento - G200'!A64,'Pedidos - G200'!H:H)</f>
        <v>0</v>
      </c>
      <c r="G64" s="154">
        <f t="shared" si="35"/>
        <v>16862598.43</v>
      </c>
      <c r="H64" s="154">
        <f>SUMIF('Notas fiscais - G200'!D:D,'Detalhamento - G200'!A64,'Notas fiscais - G200'!T:T)</f>
        <v>0</v>
      </c>
      <c r="I64" s="154">
        <f>VLOOKUP(A64,'Projeções - G200'!B:F,5,FALSE)</f>
        <v>0</v>
      </c>
      <c r="J64" s="154">
        <f t="shared" si="36"/>
        <v>0</v>
      </c>
      <c r="K64" s="154">
        <f t="shared" si="37"/>
        <v>16862598.43</v>
      </c>
      <c r="L64" s="261"/>
    </row>
    <row r="65" spans="1:12" outlineLevel="3">
      <c r="A65" s="146">
        <v>1002002004</v>
      </c>
      <c r="B65" s="147" t="s">
        <v>67</v>
      </c>
      <c r="C65" s="154">
        <v>3620433.66</v>
      </c>
      <c r="D65" s="154">
        <f>_xlfn.XLOOKUP(A65,'[1]CADASTRO CENTRO DE CUSTO-ALOCAÇ'!$A:$A,'[1]CADASTRO CENTRO DE CUSTO-ALOCAÇ'!$C:$C)</f>
        <v>3620433.66</v>
      </c>
      <c r="E65" s="154">
        <f t="shared" si="3"/>
        <v>0</v>
      </c>
      <c r="F65" s="154">
        <f>SUMIF('Contratos - G200'!E:E,'Detalhamento - G200'!A65,'Contratos - G200'!J:J)+SUMIF('Pedidos - G200'!D:D,'Detalhamento - G200'!A65,'Pedidos - G200'!H:H)</f>
        <v>1598773.77</v>
      </c>
      <c r="G65" s="154">
        <f t="shared" si="35"/>
        <v>2021659.8900000001</v>
      </c>
      <c r="H65" s="154">
        <f>SUMIF('Notas fiscais - G200'!D:D,'Detalhamento - G200'!A65,'Notas fiscais - G200'!T:T)</f>
        <v>319750.06</v>
      </c>
      <c r="I65" s="154">
        <f>VLOOKUP(A65,'Projeções - G200'!B:F,5,FALSE)</f>
        <v>-247851.13</v>
      </c>
      <c r="J65" s="154">
        <f t="shared" si="36"/>
        <v>1350922.6400000001</v>
      </c>
      <c r="K65" s="154">
        <f t="shared" si="37"/>
        <v>2269511.02</v>
      </c>
      <c r="L65" s="261"/>
    </row>
    <row r="66" spans="1:12" outlineLevel="3">
      <c r="A66" s="146">
        <v>1002002005</v>
      </c>
      <c r="B66" s="147" t="s">
        <v>68</v>
      </c>
      <c r="C66" s="154">
        <v>250000</v>
      </c>
      <c r="D66" s="154">
        <f>_xlfn.XLOOKUP(A66,'[1]CADASTRO CENTRO DE CUSTO-ALOCAÇ'!$A:$A,'[1]CADASTRO CENTRO DE CUSTO-ALOCAÇ'!$C:$C)</f>
        <v>250000</v>
      </c>
      <c r="E66" s="154">
        <f t="shared" si="3"/>
        <v>0</v>
      </c>
      <c r="F66" s="154">
        <f>SUMIF('Contratos - G200'!E:E,'Detalhamento - G200'!A66,'Contratos - G200'!J:J)+SUMIF('Pedidos - G200'!D:D,'Detalhamento - G200'!A66,'Pedidos - G200'!H:H)</f>
        <v>0</v>
      </c>
      <c r="G66" s="154">
        <f t="shared" si="35"/>
        <v>250000</v>
      </c>
      <c r="H66" s="154">
        <f>SUMIF('Notas fiscais - G200'!D:D,'Detalhamento - G200'!A66,'Notas fiscais - G200'!T:T)</f>
        <v>0</v>
      </c>
      <c r="I66" s="154">
        <f>VLOOKUP(A66,'Projeções - G200'!B:F,5,FALSE)</f>
        <v>0</v>
      </c>
      <c r="J66" s="154">
        <f t="shared" si="36"/>
        <v>0</v>
      </c>
      <c r="K66" s="154">
        <f t="shared" si="37"/>
        <v>250000</v>
      </c>
      <c r="L66" s="261"/>
    </row>
    <row r="67" spans="1:12" outlineLevel="3">
      <c r="A67" s="146">
        <v>1002002006</v>
      </c>
      <c r="B67" s="147" t="s">
        <v>69</v>
      </c>
      <c r="C67" s="154">
        <v>500000</v>
      </c>
      <c r="D67" s="154">
        <f>_xlfn.XLOOKUP(A67,'[1]CADASTRO CENTRO DE CUSTO-ALOCAÇ'!$A:$A,'[1]CADASTRO CENTRO DE CUSTO-ALOCAÇ'!$C:$C)</f>
        <v>500000</v>
      </c>
      <c r="E67" s="154">
        <f t="shared" si="3"/>
        <v>0</v>
      </c>
      <c r="F67" s="154">
        <f>SUMIF('Contratos - G200'!E:E,'Detalhamento - G200'!A67,'Contratos - G200'!J:J)+SUMIF('Pedidos - G200'!D:D,'Detalhamento - G200'!A67,'Pedidos - G200'!H:H)</f>
        <v>0</v>
      </c>
      <c r="G67" s="154">
        <f t="shared" si="35"/>
        <v>500000</v>
      </c>
      <c r="H67" s="154">
        <f>SUMIF('Notas fiscais - G200'!D:D,'Detalhamento - G200'!A67,'Notas fiscais - G200'!T:T)</f>
        <v>0</v>
      </c>
      <c r="I67" s="154">
        <f>VLOOKUP(A67,'Projeções - G200'!B:F,5,FALSE)</f>
        <v>0</v>
      </c>
      <c r="J67" s="154">
        <f t="shared" si="36"/>
        <v>0</v>
      </c>
      <c r="K67" s="154">
        <f t="shared" si="37"/>
        <v>500000</v>
      </c>
      <c r="L67" s="261"/>
    </row>
    <row r="68" spans="1:12" outlineLevel="2">
      <c r="A68" s="144">
        <v>1002003</v>
      </c>
      <c r="B68" s="145" t="s">
        <v>70</v>
      </c>
      <c r="C68" s="254">
        <f>SUBTOTAL(9,C69)</f>
        <v>25175049.68</v>
      </c>
      <c r="D68" s="154">
        <f>_xlfn.XLOOKUP(A68,'[1]CADASTRO CENTRO DE CUSTO-ALOCAÇ'!$A:$A,'[1]CADASTRO CENTRO DE CUSTO-ALOCAÇ'!$C:$C)</f>
        <v>25175049.68</v>
      </c>
      <c r="E68" s="154">
        <f t="shared" si="3"/>
        <v>0</v>
      </c>
      <c r="F68" s="254">
        <f t="shared" ref="F68:K68" si="38">SUBTOTAL(9,F69)</f>
        <v>23610524.869879976</v>
      </c>
      <c r="G68" s="254">
        <f t="shared" si="38"/>
        <v>1564524.8101200238</v>
      </c>
      <c r="H68" s="254">
        <f t="shared" si="38"/>
        <v>2492328.63</v>
      </c>
      <c r="I68" s="254">
        <f t="shared" si="38"/>
        <v>0</v>
      </c>
      <c r="J68" s="254">
        <f t="shared" si="38"/>
        <v>23610524.869879976</v>
      </c>
      <c r="K68" s="254">
        <f t="shared" si="38"/>
        <v>1564524.8101200238</v>
      </c>
      <c r="L68" s="261"/>
    </row>
    <row r="69" spans="1:12" outlineLevel="3">
      <c r="A69" s="146">
        <v>1002003001</v>
      </c>
      <c r="B69" s="147" t="s">
        <v>71</v>
      </c>
      <c r="C69" s="154">
        <v>25175049.68</v>
      </c>
      <c r="D69" s="154">
        <f>_xlfn.XLOOKUP(A69,'[1]CADASTRO CENTRO DE CUSTO-ALOCAÇ'!$A:$A,'[1]CADASTRO CENTRO DE CUSTO-ALOCAÇ'!$C:$C)</f>
        <v>25175049.68</v>
      </c>
      <c r="E69" s="154">
        <f t="shared" si="3"/>
        <v>0</v>
      </c>
      <c r="F69" s="154">
        <f>SUMIF('Contratos - G200'!E:E,'Detalhamento - G200'!A69,'Contratos - G200'!J:J)+SUMIF('Pedidos - G200'!D:D,'Detalhamento - G200'!A69,'Pedidos - G200'!H:H)</f>
        <v>23610524.869879976</v>
      </c>
      <c r="G69" s="154">
        <f t="shared" ref="G69" si="39">C69-F69</f>
        <v>1564524.8101200238</v>
      </c>
      <c r="H69" s="154">
        <f>SUMIF('Notas fiscais - G200'!D:D,'Detalhamento - G200'!A69,'Notas fiscais - G200'!T:T)</f>
        <v>2492328.63</v>
      </c>
      <c r="I69" s="154">
        <f>VLOOKUP(A69,'Projeções - G200'!B:F,5,FALSE)</f>
        <v>0</v>
      </c>
      <c r="J69" s="154">
        <f>F69+I69</f>
        <v>23610524.869879976</v>
      </c>
      <c r="K69" s="154">
        <f>C69-J69</f>
        <v>1564524.8101200238</v>
      </c>
      <c r="L69" s="261"/>
    </row>
    <row r="70" spans="1:12" outlineLevel="1">
      <c r="A70" s="143">
        <v>1003</v>
      </c>
      <c r="B70" s="141" t="s">
        <v>72</v>
      </c>
      <c r="C70" s="253">
        <f>SUBTOTAL(9,C71:C85)</f>
        <v>44294933.43</v>
      </c>
      <c r="D70" s="154">
        <f>_xlfn.XLOOKUP(A70,'[1]CADASTRO CENTRO DE CUSTO-ALOCAÇ'!$A:$A,'[1]CADASTRO CENTRO DE CUSTO-ALOCAÇ'!$C:$C)</f>
        <v>44294933.43</v>
      </c>
      <c r="E70" s="154">
        <f t="shared" si="3"/>
        <v>0</v>
      </c>
      <c r="F70" s="253">
        <f t="shared" ref="F70:K70" si="40">SUBTOTAL(9,F71:F85)</f>
        <v>42726114.960000001</v>
      </c>
      <c r="G70" s="253">
        <f t="shared" si="40"/>
        <v>1568818.469999999</v>
      </c>
      <c r="H70" s="253">
        <f t="shared" si="40"/>
        <v>8967779.6300000008</v>
      </c>
      <c r="I70" s="253">
        <f t="shared" si="40"/>
        <v>-892310.25999999954</v>
      </c>
      <c r="J70" s="253">
        <f t="shared" si="40"/>
        <v>41833804.70000001</v>
      </c>
      <c r="K70" s="253">
        <f t="shared" si="40"/>
        <v>2461128.7299999981</v>
      </c>
      <c r="L70" s="261"/>
    </row>
    <row r="71" spans="1:12" outlineLevel="2">
      <c r="A71" s="144">
        <v>1003001</v>
      </c>
      <c r="B71" s="145" t="s">
        <v>73</v>
      </c>
      <c r="C71" s="254">
        <f>SUBTOTAL(9,C72)</f>
        <v>12807447.34</v>
      </c>
      <c r="D71" s="154">
        <f>_xlfn.XLOOKUP(A71,'[1]CADASTRO CENTRO DE CUSTO-ALOCAÇ'!$A:$A,'[1]CADASTRO CENTRO DE CUSTO-ALOCAÇ'!$C:$C)</f>
        <v>12807447.34</v>
      </c>
      <c r="E71" s="154">
        <f t="shared" si="3"/>
        <v>0</v>
      </c>
      <c r="F71" s="254">
        <f t="shared" ref="F71:K71" si="41">SUBTOTAL(9,F72)</f>
        <v>11915137.07</v>
      </c>
      <c r="G71" s="254">
        <f t="shared" si="41"/>
        <v>892310.26999999955</v>
      </c>
      <c r="H71" s="254">
        <f t="shared" si="41"/>
        <v>3575077.66</v>
      </c>
      <c r="I71" s="254">
        <f t="shared" si="41"/>
        <v>-892310.27</v>
      </c>
      <c r="J71" s="254">
        <f t="shared" si="41"/>
        <v>11022826.800000001</v>
      </c>
      <c r="K71" s="254">
        <f t="shared" si="41"/>
        <v>1784620.5399999991</v>
      </c>
      <c r="L71" s="261"/>
    </row>
    <row r="72" spans="1:12" outlineLevel="3">
      <c r="A72" s="146">
        <v>1003001001</v>
      </c>
      <c r="B72" s="147" t="s">
        <v>74</v>
      </c>
      <c r="C72" s="154">
        <v>12807447.34</v>
      </c>
      <c r="D72" s="154">
        <f>_xlfn.XLOOKUP(A72,'[1]CADASTRO CENTRO DE CUSTO-ALOCAÇ'!$A:$A,'[1]CADASTRO CENTRO DE CUSTO-ALOCAÇ'!$C:$C)</f>
        <v>12807447.34</v>
      </c>
      <c r="E72" s="154">
        <f t="shared" ref="E72:E135" si="42">C72-D72</f>
        <v>0</v>
      </c>
      <c r="F72" s="154">
        <f>SUMIF('Contratos - G200'!E:E,'Detalhamento - G200'!A72,'Contratos - G200'!J:J)+SUMIF('Pedidos - G200'!D:D,'Detalhamento - G200'!A72,'Pedidos - G200'!H:H)</f>
        <v>11915137.07</v>
      </c>
      <c r="G72" s="154">
        <f t="shared" ref="G72" si="43">C72-F72</f>
        <v>892310.26999999955</v>
      </c>
      <c r="H72" s="154">
        <f>SUMIF('Notas fiscais - G200'!D:D,'Detalhamento - G200'!A72,'Notas fiscais - G200'!T:T)</f>
        <v>3575077.66</v>
      </c>
      <c r="I72" s="154">
        <f>VLOOKUP(A72,'Projeções - G200'!B:F,5,FALSE)</f>
        <v>-892310.27</v>
      </c>
      <c r="J72" s="154">
        <f>F72+I72</f>
        <v>11022826.800000001</v>
      </c>
      <c r="K72" s="154">
        <f>C72-J72</f>
        <v>1784620.5399999991</v>
      </c>
      <c r="L72" s="261"/>
    </row>
    <row r="73" spans="1:12" outlineLevel="2">
      <c r="A73" s="144">
        <v>1003002</v>
      </c>
      <c r="B73" s="145" t="s">
        <v>75</v>
      </c>
      <c r="C73" s="254">
        <f>SUBTOTAL(9,C74:C75)</f>
        <v>8740881.3000000007</v>
      </c>
      <c r="D73" s="154">
        <f>_xlfn.XLOOKUP(A73,'[1]CADASTRO CENTRO DE CUSTO-ALOCAÇ'!$A:$A,'[1]CADASTRO CENTRO DE CUSTO-ALOCAÇ'!$C:$C)</f>
        <v>8740881.3000000007</v>
      </c>
      <c r="E73" s="154">
        <f t="shared" si="42"/>
        <v>0</v>
      </c>
      <c r="F73" s="254">
        <f t="shared" ref="F73:K73" si="44">SUBTOTAL(9,F74:F75)</f>
        <v>8740881.3100000005</v>
      </c>
      <c r="G73" s="254">
        <f t="shared" si="44"/>
        <v>-9.9999997764825821E-3</v>
      </c>
      <c r="H73" s="254">
        <f t="shared" si="44"/>
        <v>1127043.95</v>
      </c>
      <c r="I73" s="254">
        <f t="shared" si="44"/>
        <v>9.9999997764825804E-3</v>
      </c>
      <c r="J73" s="254">
        <f t="shared" si="44"/>
        <v>8740881.3200000003</v>
      </c>
      <c r="K73" s="254">
        <f t="shared" si="44"/>
        <v>-1.9999999552965164E-2</v>
      </c>
      <c r="L73" s="261"/>
    </row>
    <row r="74" spans="1:12" outlineLevel="3">
      <c r="A74" s="146">
        <v>1003002001</v>
      </c>
      <c r="B74" s="147" t="s">
        <v>76</v>
      </c>
      <c r="C74" s="154">
        <v>1824735.05</v>
      </c>
      <c r="D74" s="154">
        <f>_xlfn.XLOOKUP(A74,'[1]CADASTRO CENTRO DE CUSTO-ALOCAÇ'!$A:$A,'[1]CADASTRO CENTRO DE CUSTO-ALOCAÇ'!$C:$C)</f>
        <v>1824735.05</v>
      </c>
      <c r="E74" s="154">
        <f t="shared" si="42"/>
        <v>0</v>
      </c>
      <c r="F74" s="154">
        <f>SUMIF('Contratos - G200'!E:E,'Detalhamento - G200'!A74,'Contratos - G200'!J:J)+SUMIF('Pedidos - G200'!D:D,'Detalhamento - G200'!A74,'Pedidos - G200'!H:H)</f>
        <v>1824735.05</v>
      </c>
      <c r="G74" s="154">
        <f t="shared" ref="G74:G75" si="45">C74-F74</f>
        <v>0</v>
      </c>
      <c r="H74" s="154">
        <f>SUMIF('Notas fiscais - G200'!D:D,'Detalhamento - G200'!A74,'Notas fiscais - G200'!T:T)</f>
        <v>235202.91999999998</v>
      </c>
      <c r="I74" s="154">
        <f>VLOOKUP(A74,'Projeções - G200'!B:F,5,FALSE)</f>
        <v>0</v>
      </c>
      <c r="J74" s="154">
        <f t="shared" ref="J74:J75" si="46">F74+I74</f>
        <v>1824735.05</v>
      </c>
      <c r="K74" s="154">
        <f>C74-J74</f>
        <v>0</v>
      </c>
      <c r="L74" s="261"/>
    </row>
    <row r="75" spans="1:12" outlineLevel="3">
      <c r="A75" s="146">
        <v>1003002002</v>
      </c>
      <c r="B75" s="147" t="s">
        <v>77</v>
      </c>
      <c r="C75" s="154">
        <v>6916146.25</v>
      </c>
      <c r="D75" s="154">
        <f>_xlfn.XLOOKUP(A75,'[1]CADASTRO CENTRO DE CUSTO-ALOCAÇ'!$A:$A,'[1]CADASTRO CENTRO DE CUSTO-ALOCAÇ'!$C:$C)</f>
        <v>6916146.25</v>
      </c>
      <c r="E75" s="154">
        <f t="shared" si="42"/>
        <v>0</v>
      </c>
      <c r="F75" s="154">
        <f>SUMIF('Contratos - G200'!E:E,'Detalhamento - G200'!A75,'Contratos - G200'!J:J)+SUMIF('Pedidos - G200'!D:D,'Detalhamento - G200'!A75,'Pedidos - G200'!H:H)</f>
        <v>6916146.2599999998</v>
      </c>
      <c r="G75" s="154">
        <f t="shared" si="45"/>
        <v>-9.9999997764825821E-3</v>
      </c>
      <c r="H75" s="154">
        <f>SUMIF('Notas fiscais - G200'!D:D,'Detalhamento - G200'!A75,'Notas fiscais - G200'!T:T)</f>
        <v>891841.03</v>
      </c>
      <c r="I75" s="154">
        <f>VLOOKUP(A75,'Projeções - G200'!B:F,5,FALSE)</f>
        <v>9.9999997764825804E-3</v>
      </c>
      <c r="J75" s="154">
        <f t="shared" si="46"/>
        <v>6916146.2699999996</v>
      </c>
      <c r="K75" s="154">
        <f>C75-J75</f>
        <v>-1.9999999552965164E-2</v>
      </c>
      <c r="L75" s="261"/>
    </row>
    <row r="76" spans="1:12" outlineLevel="2">
      <c r="A76" s="144">
        <v>1003003</v>
      </c>
      <c r="B76" s="145" t="s">
        <v>78</v>
      </c>
      <c r="C76" s="254">
        <f>SUBTOTAL(9,C77:C78)</f>
        <v>8331760.7599999998</v>
      </c>
      <c r="D76" s="154">
        <f>_xlfn.XLOOKUP(A76,'[1]CADASTRO CENTRO DE CUSTO-ALOCAÇ'!$A:$A,'[1]CADASTRO CENTRO DE CUSTO-ALOCAÇ'!$C:$C)</f>
        <v>8331760.7599999998</v>
      </c>
      <c r="E76" s="154">
        <f t="shared" si="42"/>
        <v>0</v>
      </c>
      <c r="F76" s="254">
        <f t="shared" ref="F76:K76" si="47">SUBTOTAL(9,F77:F78)</f>
        <v>8331760.7599999998</v>
      </c>
      <c r="G76" s="254">
        <f t="shared" si="47"/>
        <v>0</v>
      </c>
      <c r="H76" s="254">
        <f t="shared" si="47"/>
        <v>2206471.5099999998</v>
      </c>
      <c r="I76" s="254">
        <f t="shared" si="47"/>
        <v>0</v>
      </c>
      <c r="J76" s="254">
        <f t="shared" si="47"/>
        <v>8331760.7599999998</v>
      </c>
      <c r="K76" s="254">
        <f t="shared" si="47"/>
        <v>0</v>
      </c>
      <c r="L76" s="261"/>
    </row>
    <row r="77" spans="1:12" outlineLevel="3">
      <c r="A77" s="146">
        <v>1003003001</v>
      </c>
      <c r="B77" s="147" t="s">
        <v>79</v>
      </c>
      <c r="C77" s="154">
        <v>3616579.1</v>
      </c>
      <c r="D77" s="154">
        <f>_xlfn.XLOOKUP(A77,'[1]CADASTRO CENTRO DE CUSTO-ALOCAÇ'!$A:$A,'[1]CADASTRO CENTRO DE CUSTO-ALOCAÇ'!$C:$C)</f>
        <v>3616579.1</v>
      </c>
      <c r="E77" s="154">
        <f t="shared" si="42"/>
        <v>0</v>
      </c>
      <c r="F77" s="154">
        <f>SUMIF('Contratos - G200'!E:E,'Detalhamento - G200'!A77,'Contratos - G200'!J:J)+SUMIF('Pedidos - G200'!D:D,'Detalhamento - G200'!A77,'Pedidos - G200'!H:H)</f>
        <v>3616579.1</v>
      </c>
      <c r="G77" s="154">
        <f t="shared" ref="G77:G78" si="48">C77-F77</f>
        <v>0</v>
      </c>
      <c r="H77" s="154">
        <f>SUMIF('Notas fiscais - G200'!D:D,'Detalhamento - G200'!A77,'Notas fiscais - G200'!T:T)</f>
        <v>971381.53</v>
      </c>
      <c r="I77" s="154">
        <f>VLOOKUP(A77,'Projeções - G200'!B:F,5,FALSE)</f>
        <v>0</v>
      </c>
      <c r="J77" s="154">
        <f t="shared" ref="J77:J78" si="49">F77+I77</f>
        <v>3616579.1</v>
      </c>
      <c r="K77" s="154">
        <f>C77-J77</f>
        <v>0</v>
      </c>
      <c r="L77" s="261"/>
    </row>
    <row r="78" spans="1:12" outlineLevel="3">
      <c r="A78" s="146">
        <v>1003003002</v>
      </c>
      <c r="B78" s="147" t="s">
        <v>80</v>
      </c>
      <c r="C78" s="154">
        <v>4715181.66</v>
      </c>
      <c r="D78" s="154">
        <f>_xlfn.XLOOKUP(A78,'[1]CADASTRO CENTRO DE CUSTO-ALOCAÇ'!$A:$A,'[1]CADASTRO CENTRO DE CUSTO-ALOCAÇ'!$C:$C)</f>
        <v>4715181.66</v>
      </c>
      <c r="E78" s="154">
        <f t="shared" si="42"/>
        <v>0</v>
      </c>
      <c r="F78" s="154">
        <f>SUMIF('Contratos - G200'!E:E,'Detalhamento - G200'!A78,'Contratos - G200'!J:J)+SUMIF('Pedidos - G200'!D:D,'Detalhamento - G200'!A78,'Pedidos - G200'!H:H)</f>
        <v>4715181.66</v>
      </c>
      <c r="G78" s="154">
        <f t="shared" si="48"/>
        <v>0</v>
      </c>
      <c r="H78" s="154">
        <f>SUMIF('Notas fiscais - G200'!D:D,'Detalhamento - G200'!A78,'Notas fiscais - G200'!T:T)</f>
        <v>1235089.98</v>
      </c>
      <c r="I78" s="154">
        <f>VLOOKUP(A78,'Projeções - G200'!B:F,5,FALSE)</f>
        <v>0</v>
      </c>
      <c r="J78" s="154">
        <f t="shared" si="49"/>
        <v>4715181.66</v>
      </c>
      <c r="K78" s="154">
        <f>C78-J78</f>
        <v>0</v>
      </c>
      <c r="L78" s="261"/>
    </row>
    <row r="79" spans="1:12" outlineLevel="2">
      <c r="A79" s="144">
        <v>1003004</v>
      </c>
      <c r="B79" s="145" t="s">
        <v>81</v>
      </c>
      <c r="C79" s="254">
        <f>SUBTOTAL(9,C80:C81)</f>
        <v>10910524.139999999</v>
      </c>
      <c r="D79" s="154">
        <f>_xlfn.XLOOKUP(A79,'[1]CADASTRO CENTRO DE CUSTO-ALOCAÇ'!$A:$A,'[1]CADASTRO CENTRO DE CUSTO-ALOCAÇ'!$C:$C)</f>
        <v>10910524.139999999</v>
      </c>
      <c r="E79" s="154">
        <f t="shared" si="42"/>
        <v>0</v>
      </c>
      <c r="F79" s="254">
        <f t="shared" ref="F79:K79" si="50">SUBTOTAL(9,F80:F81)</f>
        <v>10910524.140000001</v>
      </c>
      <c r="G79" s="254">
        <f t="shared" si="50"/>
        <v>-6.9849193096160889E-10</v>
      </c>
      <c r="H79" s="254">
        <f t="shared" si="50"/>
        <v>1127289.71</v>
      </c>
      <c r="I79" s="254">
        <f t="shared" si="50"/>
        <v>6.9900352173135616E-10</v>
      </c>
      <c r="J79" s="254">
        <f t="shared" si="50"/>
        <v>10910524.140000001</v>
      </c>
      <c r="K79" s="254">
        <f t="shared" si="50"/>
        <v>-1.3969838619232178E-9</v>
      </c>
      <c r="L79" s="261"/>
    </row>
    <row r="80" spans="1:12" outlineLevel="3">
      <c r="A80" s="146">
        <v>1003004001</v>
      </c>
      <c r="B80" s="147" t="s">
        <v>82</v>
      </c>
      <c r="C80" s="154">
        <v>9431584.7899999991</v>
      </c>
      <c r="D80" s="154">
        <f>_xlfn.XLOOKUP(A80,'[1]CADASTRO CENTRO DE CUSTO-ALOCAÇ'!$A:$A,'[1]CADASTRO CENTRO DE CUSTO-ALOCAÇ'!$C:$C)</f>
        <v>9431584.7899999991</v>
      </c>
      <c r="E80" s="154">
        <f t="shared" si="42"/>
        <v>0</v>
      </c>
      <c r="F80" s="154">
        <f>SUMIF('Contratos - G200'!E:E,'Detalhamento - G200'!A80,'Contratos - G200'!J:J)+SUMIF('Pedidos - G200'!D:D,'Detalhamento - G200'!A80,'Pedidos - G200'!H:H)</f>
        <v>9431821.1699999999</v>
      </c>
      <c r="G80" s="154">
        <f t="shared" ref="G80:G81" si="51">C80-F80</f>
        <v>-236.38000000081956</v>
      </c>
      <c r="H80" s="154">
        <f>SUMIF('Notas fiscais - G200'!D:D,'Detalhamento - G200'!A80,'Notas fiscais - G200'!T:T)</f>
        <v>916244.92999999993</v>
      </c>
      <c r="I80" s="154">
        <f>VLOOKUP(A80,'Projeções - G200'!B:F,5,FALSE)</f>
        <v>236.38000000081999</v>
      </c>
      <c r="J80" s="154">
        <f t="shared" ref="J80:J81" si="52">F80+I80</f>
        <v>9432057.5500000007</v>
      </c>
      <c r="K80" s="154">
        <f>C80-J80</f>
        <v>-472.76000000163913</v>
      </c>
      <c r="L80" s="261"/>
    </row>
    <row r="81" spans="1:14" outlineLevel="3">
      <c r="A81" s="146">
        <v>1003004002</v>
      </c>
      <c r="B81" s="147" t="s">
        <v>83</v>
      </c>
      <c r="C81" s="154">
        <v>1478939.35</v>
      </c>
      <c r="D81" s="154">
        <f>_xlfn.XLOOKUP(A81,'[1]CADASTRO CENTRO DE CUSTO-ALOCAÇ'!$A:$A,'[1]CADASTRO CENTRO DE CUSTO-ALOCAÇ'!$C:$C)</f>
        <v>1478939.35</v>
      </c>
      <c r="E81" s="154">
        <f t="shared" si="42"/>
        <v>0</v>
      </c>
      <c r="F81" s="154">
        <f>SUMIF('Contratos - G200'!E:E,'Detalhamento - G200'!A81,'Contratos - G200'!J:J)+SUMIF('Pedidos - G200'!D:D,'Detalhamento - G200'!A81,'Pedidos - G200'!H:H)</f>
        <v>1478702.97</v>
      </c>
      <c r="G81" s="154">
        <f t="shared" si="51"/>
        <v>236.38000000012107</v>
      </c>
      <c r="H81" s="154">
        <f>SUMIF('Notas fiscais - G200'!D:D,'Detalhamento - G200'!A81,'Notas fiscais - G200'!T:T)</f>
        <v>211044.78</v>
      </c>
      <c r="I81" s="154">
        <f>VLOOKUP(A81,'Projeções - G200'!B:F,5,FALSE)</f>
        <v>-236.38000000012099</v>
      </c>
      <c r="J81" s="154">
        <f t="shared" si="52"/>
        <v>1478466.5899999999</v>
      </c>
      <c r="K81" s="154">
        <f>C81-J81</f>
        <v>472.76000000024214</v>
      </c>
      <c r="L81" s="261"/>
    </row>
    <row r="82" spans="1:14" outlineLevel="2">
      <c r="A82" s="144">
        <v>1003005</v>
      </c>
      <c r="B82" s="145" t="s">
        <v>84</v>
      </c>
      <c r="C82" s="254">
        <f>SUBTOTAL(9,C83)</f>
        <v>2566738.27</v>
      </c>
      <c r="D82" s="154">
        <f>_xlfn.XLOOKUP(A82,'[1]CADASTRO CENTRO DE CUSTO-ALOCAÇ'!$A:$A,'[1]CADASTRO CENTRO DE CUSTO-ALOCAÇ'!$C:$C)</f>
        <v>2566738.27</v>
      </c>
      <c r="E82" s="154">
        <f t="shared" si="42"/>
        <v>0</v>
      </c>
      <c r="F82" s="254">
        <f t="shared" ref="F82:K82" si="53">SUBTOTAL(9,F83)</f>
        <v>1890230.06</v>
      </c>
      <c r="G82" s="254">
        <f t="shared" si="53"/>
        <v>676508.21</v>
      </c>
      <c r="H82" s="254">
        <f t="shared" si="53"/>
        <v>64700.01</v>
      </c>
      <c r="I82" s="254">
        <f t="shared" si="53"/>
        <v>0</v>
      </c>
      <c r="J82" s="254">
        <f t="shared" si="53"/>
        <v>1890230.06</v>
      </c>
      <c r="K82" s="254">
        <f t="shared" si="53"/>
        <v>676508.21</v>
      </c>
      <c r="L82" s="261"/>
    </row>
    <row r="83" spans="1:14" outlineLevel="3">
      <c r="A83" s="146">
        <v>1003005001</v>
      </c>
      <c r="B83" s="147" t="s">
        <v>85</v>
      </c>
      <c r="C83" s="154">
        <v>2566738.27</v>
      </c>
      <c r="D83" s="154">
        <f>_xlfn.XLOOKUP(A83,'[1]CADASTRO CENTRO DE CUSTO-ALOCAÇ'!$A:$A,'[1]CADASTRO CENTRO DE CUSTO-ALOCAÇ'!$C:$C)</f>
        <v>2566738.27</v>
      </c>
      <c r="E83" s="154">
        <f t="shared" si="42"/>
        <v>0</v>
      </c>
      <c r="F83" s="154">
        <f>SUMIF('Contratos - G200'!E:E,'Detalhamento - G200'!A83,'Contratos - G200'!J:J)+SUMIF('Pedidos - G200'!D:D,'Detalhamento - G200'!A83,'Pedidos - G200'!H:H)</f>
        <v>1890230.06</v>
      </c>
      <c r="G83" s="154">
        <f t="shared" ref="G83" si="54">C83-F83</f>
        <v>676508.21</v>
      </c>
      <c r="H83" s="154">
        <f>SUMIF('Notas fiscais - G200'!D:D,'Detalhamento - G200'!A83,'Notas fiscais - G200'!T:T)</f>
        <v>64700.01</v>
      </c>
      <c r="I83" s="154">
        <f>VLOOKUP(A83,'Projeções - G200'!B:F,5,FALSE)</f>
        <v>0</v>
      </c>
      <c r="J83" s="154">
        <f>F83+I83</f>
        <v>1890230.06</v>
      </c>
      <c r="K83" s="154">
        <f>C83-J83</f>
        <v>676508.21</v>
      </c>
      <c r="L83" s="261"/>
    </row>
    <row r="84" spans="1:14" outlineLevel="2">
      <c r="A84" s="144">
        <v>1003006</v>
      </c>
      <c r="B84" s="145" t="s">
        <v>86</v>
      </c>
      <c r="C84" s="254">
        <f>SUBTOTAL(9,C85)</f>
        <v>937581.62</v>
      </c>
      <c r="D84" s="154">
        <f>_xlfn.XLOOKUP(A84,'[1]CADASTRO CENTRO DE CUSTO-ALOCAÇ'!$A:$A,'[1]CADASTRO CENTRO DE CUSTO-ALOCAÇ'!$C:$C)</f>
        <v>937581.62</v>
      </c>
      <c r="E84" s="154">
        <f t="shared" si="42"/>
        <v>0</v>
      </c>
      <c r="F84" s="254">
        <f t="shared" ref="F84:K84" si="55">SUBTOTAL(9,F85)</f>
        <v>937581.62</v>
      </c>
      <c r="G84" s="254">
        <f t="shared" si="55"/>
        <v>0</v>
      </c>
      <c r="H84" s="254">
        <f t="shared" si="55"/>
        <v>867196.79</v>
      </c>
      <c r="I84" s="254">
        <f t="shared" si="55"/>
        <v>0</v>
      </c>
      <c r="J84" s="254">
        <f t="shared" si="55"/>
        <v>937581.62</v>
      </c>
      <c r="K84" s="254">
        <f t="shared" si="55"/>
        <v>0</v>
      </c>
      <c r="L84" s="261"/>
    </row>
    <row r="85" spans="1:14" outlineLevel="3">
      <c r="A85" s="146">
        <v>1003006001</v>
      </c>
      <c r="B85" s="147" t="s">
        <v>87</v>
      </c>
      <c r="C85" s="154">
        <v>937581.62</v>
      </c>
      <c r="D85" s="154">
        <f>_xlfn.XLOOKUP(A85,'[1]CADASTRO CENTRO DE CUSTO-ALOCAÇ'!$A:$A,'[1]CADASTRO CENTRO DE CUSTO-ALOCAÇ'!$C:$C)</f>
        <v>937581.62</v>
      </c>
      <c r="E85" s="154">
        <f t="shared" si="42"/>
        <v>0</v>
      </c>
      <c r="F85" s="154">
        <f>SUMIF('Contratos - G200'!E:E,'Detalhamento - G200'!A85,'Contratos - G200'!J:J)+SUMIF('Pedidos - G200'!D:D,'Detalhamento - G200'!A85,'Pedidos - G200'!H:H)</f>
        <v>937581.62</v>
      </c>
      <c r="G85" s="154">
        <f t="shared" ref="G85" si="56">C85-F85</f>
        <v>0</v>
      </c>
      <c r="H85" s="154">
        <f>SUMIF('Notas fiscais - G200'!D:D,'Detalhamento - G200'!A85,'Notas fiscais - G200'!T:T)</f>
        <v>867196.79</v>
      </c>
      <c r="I85" s="154">
        <f>VLOOKUP(A85,'Projeções - G200'!B:F,5,FALSE)</f>
        <v>0</v>
      </c>
      <c r="J85" s="154">
        <f>F85+I85</f>
        <v>937581.62</v>
      </c>
      <c r="K85" s="154">
        <f>C85-J85</f>
        <v>0</v>
      </c>
      <c r="L85" s="261"/>
    </row>
    <row r="86" spans="1:14" outlineLevel="1">
      <c r="A86" s="143">
        <v>1004</v>
      </c>
      <c r="B86" s="141" t="s">
        <v>88</v>
      </c>
      <c r="C86" s="253">
        <f>SUBTOTAL(9,C87:C104)</f>
        <v>4448328.92</v>
      </c>
      <c r="D86" s="154">
        <f>_xlfn.XLOOKUP(A86,'[1]CADASTRO CENTRO DE CUSTO-ALOCAÇ'!$A:$A,'[1]CADASTRO CENTRO DE CUSTO-ALOCAÇ'!$C:$C)</f>
        <v>4448328.92</v>
      </c>
      <c r="E86" s="154">
        <f t="shared" si="42"/>
        <v>0</v>
      </c>
      <c r="F86" s="253">
        <f t="shared" ref="F86:K86" si="57">SUBTOTAL(9,F87:F104)</f>
        <v>2166011.7335866583</v>
      </c>
      <c r="G86" s="253">
        <f t="shared" si="57"/>
        <v>2282317.1864133417</v>
      </c>
      <c r="H86" s="253">
        <f t="shared" si="57"/>
        <v>253572.99</v>
      </c>
      <c r="I86" s="253">
        <f t="shared" si="57"/>
        <v>-9000</v>
      </c>
      <c r="J86" s="253">
        <f t="shared" si="57"/>
        <v>2157011.7335866583</v>
      </c>
      <c r="K86" s="253">
        <f t="shared" si="57"/>
        <v>2291317.1864133417</v>
      </c>
      <c r="L86" s="261"/>
    </row>
    <row r="87" spans="1:14" outlineLevel="2">
      <c r="A87" s="144">
        <v>1004001</v>
      </c>
      <c r="B87" s="145" t="s">
        <v>89</v>
      </c>
      <c r="C87" s="254">
        <f>SUBTOTAL(9,C88:C92)</f>
        <v>2203988.67</v>
      </c>
      <c r="D87" s="154">
        <f>_xlfn.XLOOKUP(A87,'[1]CADASTRO CENTRO DE CUSTO-ALOCAÇ'!$A:$A,'[1]CADASTRO CENTRO DE CUSTO-ALOCAÇ'!$C:$C)</f>
        <v>2203988.67</v>
      </c>
      <c r="E87" s="154">
        <f t="shared" si="42"/>
        <v>0</v>
      </c>
      <c r="F87" s="254">
        <f t="shared" ref="F87:K87" si="58">SUBTOTAL(9,F88:F92)</f>
        <v>1849458.1935866582</v>
      </c>
      <c r="G87" s="254">
        <f t="shared" si="58"/>
        <v>354530.47641334188</v>
      </c>
      <c r="H87" s="254">
        <f t="shared" si="58"/>
        <v>127000.44</v>
      </c>
      <c r="I87" s="254">
        <f t="shared" si="58"/>
        <v>-9000</v>
      </c>
      <c r="J87" s="254">
        <f t="shared" si="58"/>
        <v>1840458.1935866582</v>
      </c>
      <c r="K87" s="254">
        <f t="shared" si="58"/>
        <v>363530.47641334188</v>
      </c>
      <c r="L87" s="261"/>
    </row>
    <row r="88" spans="1:14" outlineLevel="3">
      <c r="A88" s="146">
        <v>1004001001</v>
      </c>
      <c r="B88" s="147" t="s">
        <v>90</v>
      </c>
      <c r="C88" s="154">
        <v>40000</v>
      </c>
      <c r="D88" s="154">
        <f>_xlfn.XLOOKUP(A88,'[1]CADASTRO CENTRO DE CUSTO-ALOCAÇ'!$A:$A,'[1]CADASTRO CENTRO DE CUSTO-ALOCAÇ'!$C:$C)</f>
        <v>40000</v>
      </c>
      <c r="E88" s="154">
        <f t="shared" si="42"/>
        <v>0</v>
      </c>
      <c r="F88" s="154">
        <f>SUMIF('Contratos - G200'!E:E,'Detalhamento - G200'!A88,'Contratos - G200'!J:J)+SUMIF('Pedidos - G200'!D:D,'Detalhamento - G200'!A88,'Pedidos - G200'!H:H)</f>
        <v>0</v>
      </c>
      <c r="G88" s="154">
        <f t="shared" ref="G88:G92" si="59">C88-F88</f>
        <v>40000</v>
      </c>
      <c r="H88" s="154">
        <f>SUMIF('Notas fiscais - G200'!D:D,'Detalhamento - G200'!A88,'Notas fiscais - G200'!T:T)</f>
        <v>0</v>
      </c>
      <c r="I88" s="154">
        <f>VLOOKUP(A88,'Projeções - G200'!B:F,5,FALSE)</f>
        <v>0</v>
      </c>
      <c r="J88" s="154">
        <f t="shared" ref="J88:J92" si="60">F88+I88</f>
        <v>0</v>
      </c>
      <c r="K88" s="154">
        <f>C88-J88</f>
        <v>40000</v>
      </c>
      <c r="L88" s="261"/>
    </row>
    <row r="89" spans="1:14" outlineLevel="3">
      <c r="A89" s="146">
        <v>1004001002</v>
      </c>
      <c r="B89" s="147" t="s">
        <v>91</v>
      </c>
      <c r="C89" s="154">
        <v>180000</v>
      </c>
      <c r="D89" s="154">
        <f>_xlfn.XLOOKUP(A89,'[1]CADASTRO CENTRO DE CUSTO-ALOCAÇ'!$A:$A,'[1]CADASTRO CENTRO DE CUSTO-ALOCAÇ'!$C:$C)</f>
        <v>180000</v>
      </c>
      <c r="E89" s="154">
        <f t="shared" si="42"/>
        <v>0</v>
      </c>
      <c r="F89" s="154">
        <f>SUMIF('Contratos - G200'!E:E,'Detalhamento - G200'!A89,'Contratos - G200'!J:J)+SUMIF('Pedidos - G200'!D:D,'Detalhamento - G200'!A89,'Pedidos - G200'!H:H)</f>
        <v>171000</v>
      </c>
      <c r="G89" s="154">
        <f t="shared" si="59"/>
        <v>9000</v>
      </c>
      <c r="H89" s="154">
        <f>SUMIF('Notas fiscais - G200'!D:D,'Detalhamento - G200'!A89,'Notas fiscais - G200'!T:T)</f>
        <v>101745</v>
      </c>
      <c r="I89" s="154">
        <f>VLOOKUP(A89,'Projeções - G200'!B:F,5,FALSE)</f>
        <v>-9000</v>
      </c>
      <c r="J89" s="154">
        <f t="shared" si="60"/>
        <v>162000</v>
      </c>
      <c r="K89" s="154">
        <f>C89-J89</f>
        <v>18000</v>
      </c>
      <c r="L89" s="261"/>
    </row>
    <row r="90" spans="1:14" outlineLevel="3">
      <c r="A90" s="146">
        <v>1004001003</v>
      </c>
      <c r="B90" s="147" t="s">
        <v>92</v>
      </c>
      <c r="C90" s="154">
        <v>178456.92</v>
      </c>
      <c r="D90" s="154">
        <f>_xlfn.XLOOKUP(A90,'[1]CADASTRO CENTRO DE CUSTO-ALOCAÇ'!$A:$A,'[1]CADASTRO CENTRO DE CUSTO-ALOCAÇ'!$C:$C)</f>
        <v>178456.92</v>
      </c>
      <c r="E90" s="154">
        <f t="shared" si="42"/>
        <v>0</v>
      </c>
      <c r="F90" s="154">
        <f>SUMIF('Contratos - G200'!E:E,'Detalhamento - G200'!A90,'Contratos - G200'!J:J)+SUMIF('Pedidos - G200'!D:D,'Detalhamento - G200'!A90,'Pedidos - G200'!H:H)</f>
        <v>174426.45358665814</v>
      </c>
      <c r="G90" s="154">
        <f t="shared" si="59"/>
        <v>4030.4664133418701</v>
      </c>
      <c r="H90" s="154">
        <f>SUMIF('Notas fiscais - G200'!D:D,'Detalhamento - G200'!A90,'Notas fiscais - G200'!T:T)</f>
        <v>0</v>
      </c>
      <c r="I90" s="154">
        <f>VLOOKUP(A90,'Projeções - G200'!B:F,5,FALSE)</f>
        <v>0</v>
      </c>
      <c r="J90" s="154">
        <f t="shared" si="60"/>
        <v>174426.45358665814</v>
      </c>
      <c r="K90" s="154">
        <f>C90-J90</f>
        <v>4030.4664133418701</v>
      </c>
      <c r="L90" s="261"/>
    </row>
    <row r="91" spans="1:14" outlineLevel="3">
      <c r="A91" s="146">
        <v>1004001004</v>
      </c>
      <c r="B91" s="147" t="s">
        <v>93</v>
      </c>
      <c r="C91" s="154">
        <v>1504031.75</v>
      </c>
      <c r="D91" s="154">
        <f>_xlfn.XLOOKUP(A91,'[1]CADASTRO CENTRO DE CUSTO-ALOCAÇ'!$A:$A,'[1]CADASTRO CENTRO DE CUSTO-ALOCAÇ'!$C:$C)</f>
        <v>1504031.75</v>
      </c>
      <c r="E91" s="154">
        <f t="shared" si="42"/>
        <v>0</v>
      </c>
      <c r="F91" s="154">
        <f>SUMIF('Contratos - G200'!E:E,'Detalhamento - G200'!A91,'Contratos - G200'!J:J)+SUMIF('Pedidos - G200'!D:D,'Detalhamento - G200'!A91,'Pedidos - G200'!H:H)</f>
        <v>1504031.74</v>
      </c>
      <c r="G91" s="154">
        <f t="shared" si="59"/>
        <v>1.0000000009313226E-2</v>
      </c>
      <c r="H91" s="154">
        <f>SUMIF('Notas fiscais - G200'!D:D,'Detalhamento - G200'!A91,'Notas fiscais - G200'!T:T)</f>
        <v>25255.440000000002</v>
      </c>
      <c r="I91" s="154">
        <f>VLOOKUP(A91,'Projeções - G200'!B:F,5,FALSE)</f>
        <v>0</v>
      </c>
      <c r="J91" s="154">
        <f t="shared" si="60"/>
        <v>1504031.74</v>
      </c>
      <c r="K91" s="154">
        <f>C91-J91</f>
        <v>1.0000000009313226E-2</v>
      </c>
      <c r="L91" s="261"/>
    </row>
    <row r="92" spans="1:14" outlineLevel="3">
      <c r="A92" s="146">
        <v>1004001005</v>
      </c>
      <c r="B92" s="147" t="s">
        <v>94</v>
      </c>
      <c r="C92" s="154">
        <v>301500</v>
      </c>
      <c r="D92" s="154">
        <f>_xlfn.XLOOKUP(A92,'[1]CADASTRO CENTRO DE CUSTO-ALOCAÇ'!$A:$A,'[1]CADASTRO CENTRO DE CUSTO-ALOCAÇ'!$C:$C)</f>
        <v>301500</v>
      </c>
      <c r="E92" s="154">
        <f t="shared" si="42"/>
        <v>0</v>
      </c>
      <c r="F92" s="154">
        <f>SUMIF('Contratos - G200'!E:E,'Detalhamento - G200'!A92,'Contratos - G200'!J:J)+SUMIF('Pedidos - G200'!D:D,'Detalhamento - G200'!A92,'Pedidos - G200'!H:H)</f>
        <v>0</v>
      </c>
      <c r="G92" s="154">
        <f t="shared" si="59"/>
        <v>301500</v>
      </c>
      <c r="H92" s="154">
        <f>SUMIF('Notas fiscais - G200'!D:D,'Detalhamento - G200'!A92,'Notas fiscais - G200'!T:T)</f>
        <v>0</v>
      </c>
      <c r="I92" s="154">
        <f>VLOOKUP(A92,'Projeções - G200'!B:F,5,FALSE)</f>
        <v>0</v>
      </c>
      <c r="J92" s="154">
        <f t="shared" si="60"/>
        <v>0</v>
      </c>
      <c r="K92" s="154">
        <f>C92-J92</f>
        <v>301500</v>
      </c>
      <c r="L92" s="261"/>
    </row>
    <row r="93" spans="1:14" outlineLevel="2">
      <c r="A93" s="144">
        <v>1004002</v>
      </c>
      <c r="B93" s="145" t="s">
        <v>95</v>
      </c>
      <c r="C93" s="254">
        <f>SUBTOTAL(9,C94:C104)</f>
        <v>2244340.25</v>
      </c>
      <c r="D93" s="154">
        <f>_xlfn.XLOOKUP(A93,'[1]CADASTRO CENTRO DE CUSTO-ALOCAÇ'!$A:$A,'[1]CADASTRO CENTRO DE CUSTO-ALOCAÇ'!$C:$C)</f>
        <v>2244340.25</v>
      </c>
      <c r="E93" s="154">
        <f t="shared" si="42"/>
        <v>0</v>
      </c>
      <c r="F93" s="254">
        <f t="shared" ref="F93:K93" si="61">SUBTOTAL(9,F94:F104)</f>
        <v>316553.54000000004</v>
      </c>
      <c r="G93" s="254">
        <f t="shared" si="61"/>
        <v>1927786.71</v>
      </c>
      <c r="H93" s="254">
        <f t="shared" si="61"/>
        <v>126572.54999999999</v>
      </c>
      <c r="I93" s="254">
        <f t="shared" si="61"/>
        <v>0</v>
      </c>
      <c r="J93" s="254">
        <f t="shared" si="61"/>
        <v>316553.54000000004</v>
      </c>
      <c r="K93" s="254">
        <f t="shared" si="61"/>
        <v>1927786.71</v>
      </c>
      <c r="L93" s="261"/>
    </row>
    <row r="94" spans="1:14" s="139" customFormat="1" ht="36" outlineLevel="3">
      <c r="A94" s="146">
        <v>1004002001</v>
      </c>
      <c r="B94" s="147" t="s">
        <v>96</v>
      </c>
      <c r="C94" s="154">
        <v>552250</v>
      </c>
      <c r="D94" s="154">
        <f>_xlfn.XLOOKUP(A94,'[1]CADASTRO CENTRO DE CUSTO-ALOCAÇ'!$A:$A,'[1]CADASTRO CENTRO DE CUSTO-ALOCAÇ'!$C:$C)</f>
        <v>552250</v>
      </c>
      <c r="E94" s="154">
        <f t="shared" si="42"/>
        <v>0</v>
      </c>
      <c r="F94" s="154">
        <f>SUMIF('Contratos - G200'!E:E,'Detalhamento - G200'!A94,'Contratos - G200'!J:J)+SUMIF('Pedidos - G200'!D:D,'Detalhamento - G200'!A94,'Pedidos - G200'!H:H)</f>
        <v>0</v>
      </c>
      <c r="G94" s="154">
        <f t="shared" ref="G94:G104" si="62">C94-F94</f>
        <v>552250</v>
      </c>
      <c r="H94" s="154">
        <f>SUMIF('Notas fiscais - G200'!D:D,'Detalhamento - G200'!A94,'Notas fiscais - G200'!T:T)</f>
        <v>0</v>
      </c>
      <c r="I94" s="154">
        <f>VLOOKUP(A94,'Projeções - G200'!B:F,5,FALSE)</f>
        <v>0</v>
      </c>
      <c r="J94" s="154">
        <f t="shared" ref="J94:J104" si="63">F94+I94</f>
        <v>0</v>
      </c>
      <c r="K94" s="154">
        <f t="shared" ref="K94:K104" si="64">C94-J94</f>
        <v>552250</v>
      </c>
      <c r="L94" s="261"/>
      <c r="M94" s="247"/>
      <c r="N94" s="247"/>
    </row>
    <row r="95" spans="1:14" s="139" customFormat="1" ht="36" outlineLevel="3">
      <c r="A95" s="146">
        <v>1004002002</v>
      </c>
      <c r="B95" s="147" t="s">
        <v>97</v>
      </c>
      <c r="C95" s="154">
        <v>41260</v>
      </c>
      <c r="D95" s="154">
        <f>_xlfn.XLOOKUP(A95,'[1]CADASTRO CENTRO DE CUSTO-ALOCAÇ'!$A:$A,'[1]CADASTRO CENTRO DE CUSTO-ALOCAÇ'!$C:$C)</f>
        <v>41260</v>
      </c>
      <c r="E95" s="154">
        <f t="shared" si="42"/>
        <v>0</v>
      </c>
      <c r="F95" s="154">
        <f>SUMIF('Contratos - G200'!E:E,'Detalhamento - G200'!A95,'Contratos - G200'!J:J)+SUMIF('Pedidos - G200'!D:D,'Detalhamento - G200'!A95,'Pedidos - G200'!H:H)</f>
        <v>0</v>
      </c>
      <c r="G95" s="154">
        <f t="shared" si="62"/>
        <v>41260</v>
      </c>
      <c r="H95" s="154">
        <f>SUMIF('Notas fiscais - G200'!D:D,'Detalhamento - G200'!A95,'Notas fiscais - G200'!T:T)</f>
        <v>0</v>
      </c>
      <c r="I95" s="154">
        <f>VLOOKUP(A95,'Projeções - G200'!B:F,5,FALSE)</f>
        <v>0</v>
      </c>
      <c r="J95" s="154">
        <f t="shared" si="63"/>
        <v>0</v>
      </c>
      <c r="K95" s="154">
        <f t="shared" si="64"/>
        <v>41260</v>
      </c>
      <c r="L95" s="261"/>
      <c r="M95" s="247"/>
      <c r="N95" s="247"/>
    </row>
    <row r="96" spans="1:14" s="139" customFormat="1" outlineLevel="3">
      <c r="A96" s="146">
        <v>1004002003</v>
      </c>
      <c r="B96" s="147" t="s">
        <v>98</v>
      </c>
      <c r="C96" s="154">
        <v>63606.44</v>
      </c>
      <c r="D96" s="154">
        <f>_xlfn.XLOOKUP(A96,'[1]CADASTRO CENTRO DE CUSTO-ALOCAÇ'!$A:$A,'[1]CADASTRO CENTRO DE CUSTO-ALOCAÇ'!$C:$C)</f>
        <v>63606.44</v>
      </c>
      <c r="E96" s="154">
        <f t="shared" si="42"/>
        <v>0</v>
      </c>
      <c r="F96" s="154">
        <f>SUMIF('Contratos - G200'!E:E,'Detalhamento - G200'!A96,'Contratos - G200'!J:J)+SUMIF('Pedidos - G200'!D:D,'Detalhamento - G200'!A96,'Pedidos - G200'!H:H)</f>
        <v>0</v>
      </c>
      <c r="G96" s="154">
        <f t="shared" si="62"/>
        <v>63606.44</v>
      </c>
      <c r="H96" s="154">
        <f>SUMIF('Notas fiscais - G200'!D:D,'Detalhamento - G200'!A96,'Notas fiscais - G200'!T:T)</f>
        <v>0</v>
      </c>
      <c r="I96" s="154">
        <f>VLOOKUP(A96,'Projeções - G200'!B:F,5,FALSE)</f>
        <v>0</v>
      </c>
      <c r="J96" s="154">
        <f t="shared" si="63"/>
        <v>0</v>
      </c>
      <c r="K96" s="154">
        <f t="shared" si="64"/>
        <v>63606.44</v>
      </c>
      <c r="L96" s="261"/>
      <c r="M96" s="247"/>
      <c r="N96" s="247"/>
    </row>
    <row r="97" spans="1:14" s="139" customFormat="1" outlineLevel="3">
      <c r="A97" s="146">
        <v>1004002004</v>
      </c>
      <c r="B97" s="147" t="s">
        <v>99</v>
      </c>
      <c r="C97" s="154">
        <v>90000</v>
      </c>
      <c r="D97" s="154">
        <f>_xlfn.XLOOKUP(A97,'[1]CADASTRO CENTRO DE CUSTO-ALOCAÇ'!$A:$A,'[1]CADASTRO CENTRO DE CUSTO-ALOCAÇ'!$C:$C)</f>
        <v>90000</v>
      </c>
      <c r="E97" s="154">
        <f t="shared" si="42"/>
        <v>0</v>
      </c>
      <c r="F97" s="154">
        <f>SUMIF('Contratos - G200'!E:E,'Detalhamento - G200'!A97,'Contratos - G200'!J:J)+SUMIF('Pedidos - G200'!D:D,'Detalhamento - G200'!A97,'Pedidos - G200'!H:H)</f>
        <v>0</v>
      </c>
      <c r="G97" s="154">
        <f t="shared" si="62"/>
        <v>90000</v>
      </c>
      <c r="H97" s="154">
        <f>SUMIF('Notas fiscais - G200'!D:D,'Detalhamento - G200'!A97,'Notas fiscais - G200'!T:T)</f>
        <v>0</v>
      </c>
      <c r="I97" s="154">
        <f>VLOOKUP(A97,'Projeções - G200'!B:F,5,FALSE)</f>
        <v>0</v>
      </c>
      <c r="J97" s="154">
        <f t="shared" si="63"/>
        <v>0</v>
      </c>
      <c r="K97" s="154">
        <f t="shared" si="64"/>
        <v>90000</v>
      </c>
      <c r="L97" s="261"/>
      <c r="M97" s="247"/>
      <c r="N97" s="247"/>
    </row>
    <row r="98" spans="1:14" s="139" customFormat="1" outlineLevel="3">
      <c r="A98" s="146">
        <v>1004002005</v>
      </c>
      <c r="B98" s="147" t="s">
        <v>100</v>
      </c>
      <c r="C98" s="154">
        <v>75000</v>
      </c>
      <c r="D98" s="154">
        <f>_xlfn.XLOOKUP(A98,'[1]CADASTRO CENTRO DE CUSTO-ALOCAÇ'!$A:$A,'[1]CADASTRO CENTRO DE CUSTO-ALOCAÇ'!$C:$C)</f>
        <v>75000</v>
      </c>
      <c r="E98" s="154">
        <f t="shared" si="42"/>
        <v>0</v>
      </c>
      <c r="F98" s="154">
        <f>SUMIF('Contratos - G200'!E:E,'Detalhamento - G200'!A98,'Contratos - G200'!J:J)+SUMIF('Pedidos - G200'!D:D,'Detalhamento - G200'!A98,'Pedidos - G200'!H:H)</f>
        <v>0</v>
      </c>
      <c r="G98" s="154">
        <f t="shared" si="62"/>
        <v>75000</v>
      </c>
      <c r="H98" s="154">
        <f>SUMIF('Notas fiscais - G200'!D:D,'Detalhamento - G200'!A98,'Notas fiscais - G200'!T:T)</f>
        <v>0</v>
      </c>
      <c r="I98" s="154">
        <f>VLOOKUP(A98,'Projeções - G200'!B:F,5,FALSE)</f>
        <v>0</v>
      </c>
      <c r="J98" s="154">
        <f t="shared" si="63"/>
        <v>0</v>
      </c>
      <c r="K98" s="154">
        <f t="shared" si="64"/>
        <v>75000</v>
      </c>
      <c r="L98" s="261"/>
      <c r="M98" s="247"/>
      <c r="N98" s="247"/>
    </row>
    <row r="99" spans="1:14" s="139" customFormat="1" outlineLevel="3">
      <c r="A99" s="146">
        <v>1004002006</v>
      </c>
      <c r="B99" s="147" t="s">
        <v>101</v>
      </c>
      <c r="C99" s="154">
        <v>75000</v>
      </c>
      <c r="D99" s="154">
        <f>_xlfn.XLOOKUP(A99,'[1]CADASTRO CENTRO DE CUSTO-ALOCAÇ'!$A:$A,'[1]CADASTRO CENTRO DE CUSTO-ALOCAÇ'!$C:$C)</f>
        <v>75000</v>
      </c>
      <c r="E99" s="154">
        <f t="shared" si="42"/>
        <v>0</v>
      </c>
      <c r="F99" s="154">
        <f>SUMIF('Contratos - G200'!E:E,'Detalhamento - G200'!A99,'Contratos - G200'!J:J)+SUMIF('Pedidos - G200'!D:D,'Detalhamento - G200'!A99,'Pedidos - G200'!H:H)</f>
        <v>74630.86</v>
      </c>
      <c r="G99" s="154">
        <f t="shared" si="62"/>
        <v>369.13999999999942</v>
      </c>
      <c r="H99" s="154">
        <f>SUMIF('Notas fiscais - G200'!D:D,'Detalhamento - G200'!A99,'Notas fiscais - G200'!T:T)</f>
        <v>0</v>
      </c>
      <c r="I99" s="154">
        <f>VLOOKUP(A99,'Projeções - G200'!B:F,5,FALSE)</f>
        <v>0</v>
      </c>
      <c r="J99" s="154">
        <f t="shared" si="63"/>
        <v>74630.86</v>
      </c>
      <c r="K99" s="154">
        <f t="shared" si="64"/>
        <v>369.13999999999942</v>
      </c>
      <c r="L99" s="261"/>
      <c r="M99" s="247"/>
      <c r="N99" s="247"/>
    </row>
    <row r="100" spans="1:14" s="139" customFormat="1" outlineLevel="3">
      <c r="A100" s="146">
        <v>1004002007</v>
      </c>
      <c r="B100" s="147" t="s">
        <v>102</v>
      </c>
      <c r="C100" s="154">
        <v>75000</v>
      </c>
      <c r="D100" s="154">
        <f>_xlfn.XLOOKUP(A100,'[1]CADASTRO CENTRO DE CUSTO-ALOCAÇ'!$A:$A,'[1]CADASTRO CENTRO DE CUSTO-ALOCAÇ'!$C:$C)</f>
        <v>75000</v>
      </c>
      <c r="E100" s="154">
        <f t="shared" si="42"/>
        <v>0</v>
      </c>
      <c r="F100" s="154">
        <f>SUMIF('Contratos - G200'!E:E,'Detalhamento - G200'!A100,'Contratos - G200'!J:J)+SUMIF('Pedidos - G200'!D:D,'Detalhamento - G200'!A100,'Pedidos - G200'!H:H)</f>
        <v>74630.86</v>
      </c>
      <c r="G100" s="154">
        <f t="shared" si="62"/>
        <v>369.13999999999942</v>
      </c>
      <c r="H100" s="154">
        <f>SUMIF('Notas fiscais - G200'!D:D,'Detalhamento - G200'!A100,'Notas fiscais - G200'!T:T)</f>
        <v>0</v>
      </c>
      <c r="I100" s="154">
        <f>VLOOKUP(A100,'Projeções - G200'!B:F,5,FALSE)</f>
        <v>0</v>
      </c>
      <c r="J100" s="154">
        <f t="shared" si="63"/>
        <v>74630.86</v>
      </c>
      <c r="K100" s="154">
        <f t="shared" si="64"/>
        <v>369.13999999999942</v>
      </c>
      <c r="L100" s="261"/>
      <c r="M100" s="247"/>
      <c r="N100" s="247"/>
    </row>
    <row r="101" spans="1:14" s="139" customFormat="1" outlineLevel="3">
      <c r="A101" s="146">
        <v>1004002008</v>
      </c>
      <c r="B101" s="147" t="s">
        <v>103</v>
      </c>
      <c r="C101" s="154">
        <v>90000</v>
      </c>
      <c r="D101" s="154">
        <f>_xlfn.XLOOKUP(A101,'[1]CADASTRO CENTRO DE CUSTO-ALOCAÇ'!$A:$A,'[1]CADASTRO CENTRO DE CUSTO-ALOCAÇ'!$C:$C)</f>
        <v>90000</v>
      </c>
      <c r="E101" s="154">
        <f t="shared" si="42"/>
        <v>0</v>
      </c>
      <c r="F101" s="154">
        <f>SUMIF('Contratos - G200'!E:E,'Detalhamento - G200'!A101,'Contratos - G200'!J:J)+SUMIF('Pedidos - G200'!D:D,'Detalhamento - G200'!A101,'Pedidos - G200'!H:H)</f>
        <v>0</v>
      </c>
      <c r="G101" s="154">
        <f t="shared" si="62"/>
        <v>90000</v>
      </c>
      <c r="H101" s="154">
        <f>SUMIF('Notas fiscais - G200'!D:D,'Detalhamento - G200'!A101,'Notas fiscais - G200'!T:T)</f>
        <v>0</v>
      </c>
      <c r="I101" s="154">
        <f>VLOOKUP(A101,'Projeções - G200'!B:F,5,FALSE)</f>
        <v>0</v>
      </c>
      <c r="J101" s="154">
        <f t="shared" si="63"/>
        <v>0</v>
      </c>
      <c r="K101" s="154">
        <f t="shared" si="64"/>
        <v>90000</v>
      </c>
      <c r="L101" s="261"/>
      <c r="M101" s="247"/>
      <c r="N101" s="247"/>
    </row>
    <row r="102" spans="1:14" s="139" customFormat="1" outlineLevel="3">
      <c r="A102" s="146">
        <v>1004002009</v>
      </c>
      <c r="B102" s="147" t="s">
        <v>104</v>
      </c>
      <c r="C102" s="154">
        <v>167291.82999999999</v>
      </c>
      <c r="D102" s="154">
        <f>_xlfn.XLOOKUP(A102,'[1]CADASTRO CENTRO DE CUSTO-ALOCAÇ'!$A:$A,'[1]CADASTRO CENTRO DE CUSTO-ALOCAÇ'!$C:$C)</f>
        <v>167291.82999999999</v>
      </c>
      <c r="E102" s="154">
        <f t="shared" si="42"/>
        <v>0</v>
      </c>
      <c r="F102" s="154">
        <f>SUMIF('Contratos - G200'!E:E,'Detalhamento - G200'!A102,'Contratos - G200'!J:J)+SUMIF('Pedidos - G200'!D:D,'Detalhamento - G200'!A102,'Pedidos - G200'!H:H)</f>
        <v>167291.82</v>
      </c>
      <c r="G102" s="154">
        <f t="shared" si="62"/>
        <v>9.9999999802093953E-3</v>
      </c>
      <c r="H102" s="154">
        <f>SUMIF('Notas fiscais - G200'!D:D,'Detalhamento - G200'!A102,'Notas fiscais - G200'!T:T)</f>
        <v>126572.54999999999</v>
      </c>
      <c r="I102" s="154">
        <f>VLOOKUP(A102,'Projeções - G200'!B:F,5,FALSE)</f>
        <v>0</v>
      </c>
      <c r="J102" s="154">
        <f t="shared" si="63"/>
        <v>167291.82</v>
      </c>
      <c r="K102" s="154">
        <f t="shared" si="64"/>
        <v>9.9999999802093953E-3</v>
      </c>
      <c r="L102" s="261"/>
      <c r="M102" s="247"/>
      <c r="N102" s="247"/>
    </row>
    <row r="103" spans="1:14" s="139" customFormat="1" ht="36" outlineLevel="3">
      <c r="A103" s="146">
        <v>1004002010</v>
      </c>
      <c r="B103" s="147" t="s">
        <v>105</v>
      </c>
      <c r="C103" s="154">
        <v>864931.98</v>
      </c>
      <c r="D103" s="154">
        <f>_xlfn.XLOOKUP(A103,'[1]CADASTRO CENTRO DE CUSTO-ALOCAÇ'!$A:$A,'[1]CADASTRO CENTRO DE CUSTO-ALOCAÇ'!$C:$C)</f>
        <v>864931.98</v>
      </c>
      <c r="E103" s="154">
        <f t="shared" si="42"/>
        <v>0</v>
      </c>
      <c r="F103" s="154">
        <f>SUMIF('Contratos - G200'!E:E,'Detalhamento - G200'!A103,'Contratos - G200'!J:J)+SUMIF('Pedidos - G200'!D:D,'Detalhamento - G200'!A103,'Pedidos - G200'!H:H)</f>
        <v>0</v>
      </c>
      <c r="G103" s="154">
        <f t="shared" si="62"/>
        <v>864931.98</v>
      </c>
      <c r="H103" s="154">
        <f>SUMIF('Notas fiscais - G200'!D:D,'Detalhamento - G200'!A103,'Notas fiscais - G200'!T:T)</f>
        <v>0</v>
      </c>
      <c r="I103" s="154">
        <f>VLOOKUP(A103,'Projeções - G200'!B:F,5,FALSE)</f>
        <v>0</v>
      </c>
      <c r="J103" s="154">
        <f t="shared" si="63"/>
        <v>0</v>
      </c>
      <c r="K103" s="154">
        <f t="shared" si="64"/>
        <v>864931.98</v>
      </c>
      <c r="L103" s="261"/>
      <c r="M103" s="247"/>
      <c r="N103" s="247"/>
    </row>
    <row r="104" spans="1:14" s="139" customFormat="1" outlineLevel="3">
      <c r="A104" s="146">
        <v>1004002011</v>
      </c>
      <c r="B104" s="147" t="s">
        <v>106</v>
      </c>
      <c r="C104" s="154">
        <v>150000</v>
      </c>
      <c r="D104" s="154">
        <f>_xlfn.XLOOKUP(A104,'[1]CADASTRO CENTRO DE CUSTO-ALOCAÇ'!$A:$A,'[1]CADASTRO CENTRO DE CUSTO-ALOCAÇ'!$C:$C)</f>
        <v>150000</v>
      </c>
      <c r="E104" s="154">
        <f t="shared" si="42"/>
        <v>0</v>
      </c>
      <c r="F104" s="154">
        <f>SUMIF('Contratos - G200'!E:E,'Detalhamento - G200'!A104,'Contratos - G200'!J:J)+SUMIF('Pedidos - G200'!D:D,'Detalhamento - G200'!A104,'Pedidos - G200'!H:H)</f>
        <v>0</v>
      </c>
      <c r="G104" s="154">
        <f t="shared" si="62"/>
        <v>150000</v>
      </c>
      <c r="H104" s="154">
        <f>SUMIF('Notas fiscais - G200'!D:D,'Detalhamento - G200'!A104,'Notas fiscais - G200'!T:T)</f>
        <v>0</v>
      </c>
      <c r="I104" s="154">
        <f>VLOOKUP(A104,'Projeções - G200'!B:F,5,FALSE)</f>
        <v>0</v>
      </c>
      <c r="J104" s="154">
        <f t="shared" si="63"/>
        <v>0</v>
      </c>
      <c r="K104" s="154">
        <f t="shared" si="64"/>
        <v>150000</v>
      </c>
      <c r="L104" s="261"/>
      <c r="M104" s="247"/>
      <c r="N104" s="247"/>
    </row>
    <row r="105" spans="1:14" outlineLevel="1">
      <c r="A105" s="143">
        <v>1005</v>
      </c>
      <c r="B105" s="141" t="s">
        <v>960</v>
      </c>
      <c r="C105" s="253">
        <f>SUBTOTAL(9,C106:C109)</f>
        <v>1192703.22</v>
      </c>
      <c r="D105" s="154">
        <f>_xlfn.XLOOKUP(A105,'[1]CADASTRO CENTRO DE CUSTO-ALOCAÇ'!$A:$A,'[1]CADASTRO CENTRO DE CUSTO-ALOCAÇ'!$C:$C)</f>
        <v>1192703.22</v>
      </c>
      <c r="E105" s="154">
        <f t="shared" si="42"/>
        <v>0</v>
      </c>
      <c r="F105" s="253">
        <f t="shared" ref="F105:K105" si="65">SUBTOTAL(9,F106:F109)</f>
        <v>0</v>
      </c>
      <c r="G105" s="253">
        <f t="shared" si="65"/>
        <v>1192703.22</v>
      </c>
      <c r="H105" s="253">
        <f t="shared" si="65"/>
        <v>1192703.22</v>
      </c>
      <c r="I105" s="253">
        <f t="shared" si="65"/>
        <v>0</v>
      </c>
      <c r="J105" s="253">
        <f t="shared" si="65"/>
        <v>0</v>
      </c>
      <c r="K105" s="253">
        <f t="shared" si="65"/>
        <v>1192703.22</v>
      </c>
      <c r="L105" s="261"/>
    </row>
    <row r="106" spans="1:14" outlineLevel="2">
      <c r="A106" s="144">
        <v>1005001</v>
      </c>
      <c r="B106" s="145" t="s">
        <v>960</v>
      </c>
      <c r="C106" s="254">
        <f>SUBTOTAL(9,C107:C109)</f>
        <v>1192703.22</v>
      </c>
      <c r="D106" s="154">
        <f>_xlfn.XLOOKUP(A106,'[1]CADASTRO CENTRO DE CUSTO-ALOCAÇ'!$A:$A,'[1]CADASTRO CENTRO DE CUSTO-ALOCAÇ'!$C:$C)</f>
        <v>1192703.22</v>
      </c>
      <c r="E106" s="154">
        <f t="shared" si="42"/>
        <v>0</v>
      </c>
      <c r="F106" s="254">
        <f t="shared" ref="F106:K106" si="66">SUBTOTAL(9,F107:F109)</f>
        <v>0</v>
      </c>
      <c r="G106" s="254">
        <f t="shared" si="66"/>
        <v>1192703.22</v>
      </c>
      <c r="H106" s="254">
        <f t="shared" si="66"/>
        <v>1192703.22</v>
      </c>
      <c r="I106" s="254">
        <f t="shared" si="66"/>
        <v>0</v>
      </c>
      <c r="J106" s="254">
        <f t="shared" si="66"/>
        <v>0</v>
      </c>
      <c r="K106" s="254">
        <f t="shared" si="66"/>
        <v>1192703.22</v>
      </c>
      <c r="L106" s="261"/>
    </row>
    <row r="107" spans="1:14" s="139" customFormat="1" outlineLevel="3">
      <c r="A107" s="146">
        <v>1005001001</v>
      </c>
      <c r="B107" s="147" t="s">
        <v>961</v>
      </c>
      <c r="C107" s="154">
        <v>453155.09</v>
      </c>
      <c r="D107" s="154">
        <f>_xlfn.XLOOKUP(A107,'[1]CADASTRO CENTRO DE CUSTO-ALOCAÇ'!$A:$A,'[1]CADASTRO CENTRO DE CUSTO-ALOCAÇ'!$C:$C)</f>
        <v>453155.09</v>
      </c>
      <c r="E107" s="154">
        <f t="shared" si="42"/>
        <v>0</v>
      </c>
      <c r="F107" s="154">
        <f>SUMIF('Contratos - G200'!E:E,'Detalhamento - G200'!A107,'Contratos - G200'!J:J)+SUMIF('Pedidos - G200'!D:D,'Detalhamento - G200'!A107,'Pedidos - G200'!H:H)</f>
        <v>0</v>
      </c>
      <c r="G107" s="154">
        <f t="shared" ref="G107:G109" si="67">C107-F107</f>
        <v>453155.09</v>
      </c>
      <c r="H107" s="154">
        <f>SUMIF('Notas fiscais - G200'!D:D,'Detalhamento - G200'!A107,'Notas fiscais - G200'!T:T)</f>
        <v>453155.09</v>
      </c>
      <c r="I107" s="154">
        <f>VLOOKUP(A107,'Projeções - G200'!B:F,5,FALSE)</f>
        <v>0</v>
      </c>
      <c r="J107" s="154">
        <f t="shared" ref="J107:J109" si="68">F107+I107</f>
        <v>0</v>
      </c>
      <c r="K107" s="154">
        <f t="shared" ref="K107:K109" si="69">C107-J107</f>
        <v>453155.09</v>
      </c>
      <c r="L107" s="261"/>
      <c r="M107" s="247"/>
      <c r="N107" s="247"/>
    </row>
    <row r="108" spans="1:14" s="139" customFormat="1" outlineLevel="3">
      <c r="A108" s="146">
        <v>1005001002</v>
      </c>
      <c r="B108" s="147" t="s">
        <v>962</v>
      </c>
      <c r="C108" s="154">
        <v>207090.9</v>
      </c>
      <c r="D108" s="154">
        <f>_xlfn.XLOOKUP(A108,'[1]CADASTRO CENTRO DE CUSTO-ALOCAÇ'!$A:$A,'[1]CADASTRO CENTRO DE CUSTO-ALOCAÇ'!$C:$C)</f>
        <v>207090.9</v>
      </c>
      <c r="E108" s="154">
        <f t="shared" si="42"/>
        <v>0</v>
      </c>
      <c r="F108" s="154">
        <f>SUMIF('Contratos - G200'!E:E,'Detalhamento - G200'!A108,'Contratos - G200'!J:J)+SUMIF('Pedidos - G200'!D:D,'Detalhamento - G200'!A108,'Pedidos - G200'!H:H)</f>
        <v>0</v>
      </c>
      <c r="G108" s="154">
        <f t="shared" si="67"/>
        <v>207090.9</v>
      </c>
      <c r="H108" s="154">
        <f>SUMIF('Notas fiscais - G200'!D:D,'Detalhamento - G200'!A108,'Notas fiscais - G200'!T:T)</f>
        <v>207090.9</v>
      </c>
      <c r="I108" s="154">
        <f>VLOOKUP(A108,'Projeções - G200'!B:F,5,FALSE)</f>
        <v>0</v>
      </c>
      <c r="J108" s="154">
        <f t="shared" si="68"/>
        <v>0</v>
      </c>
      <c r="K108" s="154">
        <f t="shared" si="69"/>
        <v>207090.9</v>
      </c>
      <c r="L108" s="261"/>
      <c r="M108" s="247"/>
      <c r="N108" s="247"/>
    </row>
    <row r="109" spans="1:14" s="139" customFormat="1" outlineLevel="3">
      <c r="A109" s="146">
        <v>1005001003</v>
      </c>
      <c r="B109" s="147" t="s">
        <v>963</v>
      </c>
      <c r="C109" s="154">
        <v>532457.23</v>
      </c>
      <c r="D109" s="154">
        <f>_xlfn.XLOOKUP(A109,'[1]CADASTRO CENTRO DE CUSTO-ALOCAÇ'!$A:$A,'[1]CADASTRO CENTRO DE CUSTO-ALOCAÇ'!$C:$C)</f>
        <v>532457.23</v>
      </c>
      <c r="E109" s="154">
        <f t="shared" si="42"/>
        <v>0</v>
      </c>
      <c r="F109" s="154">
        <f>SUMIF('Contratos - G200'!E:E,'Detalhamento - G200'!A109,'Contratos - G200'!J:J)+SUMIF('Pedidos - G200'!D:D,'Detalhamento - G200'!A109,'Pedidos - G200'!H:H)</f>
        <v>0</v>
      </c>
      <c r="G109" s="154">
        <f t="shared" si="67"/>
        <v>532457.23</v>
      </c>
      <c r="H109" s="154">
        <f>SUMIF('Notas fiscais - G200'!D:D,'Detalhamento - G200'!A109,'Notas fiscais - G200'!T:T)</f>
        <v>532457.23</v>
      </c>
      <c r="I109" s="154">
        <f>VLOOKUP(A109,'Projeções - G200'!B:F,5,FALSE)</f>
        <v>0</v>
      </c>
      <c r="J109" s="154">
        <f t="shared" si="68"/>
        <v>0</v>
      </c>
      <c r="K109" s="154">
        <f t="shared" si="69"/>
        <v>532457.23</v>
      </c>
      <c r="L109" s="261"/>
      <c r="M109" s="247"/>
      <c r="N109" s="247"/>
    </row>
    <row r="110" spans="1:14">
      <c r="A110" s="143">
        <v>2</v>
      </c>
      <c r="B110" s="141" t="s">
        <v>107</v>
      </c>
      <c r="C110" s="253">
        <f>SUBTOTAL(9,C111:C253)</f>
        <v>66801015.840684935</v>
      </c>
      <c r="D110" s="154">
        <f>_xlfn.XLOOKUP(A110,'[1]CADASTRO CENTRO DE CUSTO-ALOCAÇ'!$A:$A,'[1]CADASTRO CENTRO DE CUSTO-ALOCAÇ'!$C:$C)</f>
        <v>66801015.840684935</v>
      </c>
      <c r="E110" s="154">
        <f t="shared" si="42"/>
        <v>0</v>
      </c>
      <c r="F110" s="253">
        <f t="shared" ref="F110:K110" si="70">SUBTOTAL(9,F111:F253)</f>
        <v>64279029.115299329</v>
      </c>
      <c r="G110" s="253">
        <f t="shared" si="70"/>
        <v>2521986.7253856002</v>
      </c>
      <c r="H110" s="253">
        <f t="shared" si="70"/>
        <v>20140353.359999999</v>
      </c>
      <c r="I110" s="253">
        <f t="shared" si="70"/>
        <v>160363.51000000164</v>
      </c>
      <c r="J110" s="253">
        <f t="shared" si="70"/>
        <v>64439392.625299335</v>
      </c>
      <c r="K110" s="253">
        <f t="shared" si="70"/>
        <v>2361623.2153855986</v>
      </c>
      <c r="L110" s="261"/>
    </row>
    <row r="111" spans="1:14" outlineLevel="1">
      <c r="A111" s="143">
        <v>2001</v>
      </c>
      <c r="B111" s="141" t="s">
        <v>108</v>
      </c>
      <c r="C111" s="253">
        <f>SUBTOTAL(9,C112:C244)</f>
        <v>5562893.2806849321</v>
      </c>
      <c r="D111" s="154">
        <f>_xlfn.XLOOKUP(A111,'[1]CADASTRO CENTRO DE CUSTO-ALOCAÇ'!$A:$A,'[1]CADASTRO CENTRO DE CUSTO-ALOCAÇ'!$C:$C)</f>
        <v>7862893.2806849321</v>
      </c>
      <c r="E111" s="154">
        <f t="shared" si="42"/>
        <v>-2300000</v>
      </c>
      <c r="F111" s="253">
        <f>SUBTOTAL(9,F112:F244)</f>
        <v>5160941.7452993244</v>
      </c>
      <c r="G111" s="253">
        <f>SUBTOTAL(9,G112:G244)</f>
        <v>401951.53538560646</v>
      </c>
      <c r="H111" s="253">
        <f>SUBTOTAL(9,H112:H244)</f>
        <v>454359.94</v>
      </c>
      <c r="I111" s="253">
        <f t="shared" ref="I111:K111" si="71">SUBTOTAL(9,I112:I247)</f>
        <v>160363.5</v>
      </c>
      <c r="J111" s="253">
        <f>SUBTOTAL(9,J112:J244)</f>
        <v>5321305.2452993253</v>
      </c>
      <c r="K111" s="253">
        <f t="shared" si="71"/>
        <v>241588.03538560643</v>
      </c>
      <c r="L111" s="261"/>
    </row>
    <row r="112" spans="1:14" outlineLevel="2">
      <c r="A112" s="144">
        <v>2001001</v>
      </c>
      <c r="B112" s="145" t="s">
        <v>109</v>
      </c>
      <c r="C112" s="254">
        <f>SUBTOTAL(9,C113:C122)</f>
        <v>1512414.59</v>
      </c>
      <c r="D112" s="154">
        <f>_xlfn.XLOOKUP(A112,'[1]CADASTRO CENTRO DE CUSTO-ALOCAÇ'!$A:$A,'[1]CADASTRO CENTRO DE CUSTO-ALOCAÇ'!$C:$C)</f>
        <v>1512414.59</v>
      </c>
      <c r="E112" s="154">
        <f t="shared" si="42"/>
        <v>0</v>
      </c>
      <c r="F112" s="254">
        <f t="shared" ref="F112:K112" si="72">SUBTOTAL(9,F113:F122)</f>
        <v>1240478.8500000001</v>
      </c>
      <c r="G112" s="254">
        <f t="shared" si="72"/>
        <v>271935.74</v>
      </c>
      <c r="H112" s="254">
        <f t="shared" si="72"/>
        <v>129563.34000000001</v>
      </c>
      <c r="I112" s="254">
        <f t="shared" si="72"/>
        <v>0</v>
      </c>
      <c r="J112" s="254">
        <f t="shared" si="72"/>
        <v>1240478.8500000001</v>
      </c>
      <c r="K112" s="254">
        <f t="shared" si="72"/>
        <v>271935.74</v>
      </c>
      <c r="L112" s="261"/>
    </row>
    <row r="113" spans="1:14" outlineLevel="3">
      <c r="A113" s="146">
        <v>2001001001</v>
      </c>
      <c r="B113" s="147" t="s">
        <v>110</v>
      </c>
      <c r="C113" s="154">
        <v>786497.6</v>
      </c>
      <c r="D113" s="154">
        <f>_xlfn.XLOOKUP(A113,'[1]CADASTRO CENTRO DE CUSTO-ALOCAÇ'!$A:$A,'[1]CADASTRO CENTRO DE CUSTO-ALOCAÇ'!$C:$C)</f>
        <v>786497.6</v>
      </c>
      <c r="E113" s="154">
        <f t="shared" si="42"/>
        <v>0</v>
      </c>
      <c r="F113" s="154">
        <f>SUMIF('Contratos - G200'!E:E,'Detalhamento - G200'!A113,'Contratos - G200'!J:J)+SUMIF('Pedidos - G200'!D:D,'Detalhamento - G200'!A113,'Pedidos - G200'!H:H)</f>
        <v>786497.6</v>
      </c>
      <c r="G113" s="154">
        <f t="shared" ref="G113:G122" si="73">C113-F113</f>
        <v>0</v>
      </c>
      <c r="H113" s="154">
        <f>SUMIF('Notas fiscais - G200'!D:D,'Detalhamento - G200'!A113,'Notas fiscais - G200'!T:T)</f>
        <v>0</v>
      </c>
      <c r="I113" s="154">
        <f>VLOOKUP(A113,'Projeções - G200'!B:F,5,FALSE)</f>
        <v>0</v>
      </c>
      <c r="J113" s="154">
        <f t="shared" ref="J113:J122" si="74">F113+I113</f>
        <v>786497.6</v>
      </c>
      <c r="K113" s="154">
        <f t="shared" ref="K113:K122" si="75">C113-J113</f>
        <v>0</v>
      </c>
      <c r="L113" s="261"/>
    </row>
    <row r="114" spans="1:14" s="139" customFormat="1" outlineLevel="3">
      <c r="A114" s="146">
        <v>2001001002</v>
      </c>
      <c r="B114" s="147" t="s">
        <v>111</v>
      </c>
      <c r="C114" s="154">
        <v>345526.23</v>
      </c>
      <c r="D114" s="154">
        <f>_xlfn.XLOOKUP(A114,'[1]CADASTRO CENTRO DE CUSTO-ALOCAÇ'!$A:$A,'[1]CADASTRO CENTRO DE CUSTO-ALOCAÇ'!$C:$C)</f>
        <v>345526.23</v>
      </c>
      <c r="E114" s="154">
        <f t="shared" si="42"/>
        <v>0</v>
      </c>
      <c r="F114" s="154">
        <f>SUMIF('Contratos - G200'!E:E,'Detalhamento - G200'!A114,'Contratos - G200'!J:J)+SUMIF('Pedidos - G200'!D:D,'Detalhamento - G200'!A114,'Pedidos - G200'!H:H)</f>
        <v>345526.23</v>
      </c>
      <c r="G114" s="154">
        <f t="shared" si="73"/>
        <v>0</v>
      </c>
      <c r="H114" s="154">
        <f>SUMIF('Notas fiscais - G200'!D:D,'Detalhamento - G200'!A114,'Notas fiscais - G200'!T:T)</f>
        <v>55101.660000000011</v>
      </c>
      <c r="I114" s="154">
        <f>VLOOKUP(A114,'Projeções - G200'!B:F,5,FALSE)</f>
        <v>0</v>
      </c>
      <c r="J114" s="154">
        <f t="shared" si="74"/>
        <v>345526.23</v>
      </c>
      <c r="K114" s="154">
        <f t="shared" si="75"/>
        <v>0</v>
      </c>
      <c r="L114" s="261"/>
      <c r="M114" s="247"/>
      <c r="N114" s="247"/>
    </row>
    <row r="115" spans="1:14" outlineLevel="3">
      <c r="A115" s="146">
        <v>2001001003</v>
      </c>
      <c r="B115" s="147" t="s">
        <v>112</v>
      </c>
      <c r="C115" s="154">
        <v>9000</v>
      </c>
      <c r="D115" s="154">
        <f>_xlfn.XLOOKUP(A115,'[1]CADASTRO CENTRO DE CUSTO-ALOCAÇ'!$A:$A,'[1]CADASTRO CENTRO DE CUSTO-ALOCAÇ'!$C:$C)</f>
        <v>9000</v>
      </c>
      <c r="E115" s="154">
        <f t="shared" si="42"/>
        <v>0</v>
      </c>
      <c r="F115" s="154">
        <f>SUMIF('Contratos - G200'!E:E,'Detalhamento - G200'!A115,'Contratos - G200'!J:J)+SUMIF('Pedidos - G200'!D:D,'Detalhamento - G200'!A115,'Pedidos - G200'!H:H)</f>
        <v>9000</v>
      </c>
      <c r="G115" s="154">
        <f t="shared" si="73"/>
        <v>0</v>
      </c>
      <c r="H115" s="154">
        <f>SUMIF('Notas fiscais - G200'!D:D,'Detalhamento - G200'!A115,'Notas fiscais - G200'!T:T)</f>
        <v>8602</v>
      </c>
      <c r="I115" s="154">
        <f>VLOOKUP(A115,'Projeções - G200'!B:F,5,FALSE)</f>
        <v>0</v>
      </c>
      <c r="J115" s="154">
        <f t="shared" si="74"/>
        <v>9000</v>
      </c>
      <c r="K115" s="154">
        <f t="shared" si="75"/>
        <v>0</v>
      </c>
      <c r="L115" s="261"/>
    </row>
    <row r="116" spans="1:14" outlineLevel="3">
      <c r="A116" s="146">
        <v>2001001004</v>
      </c>
      <c r="B116" s="147" t="s">
        <v>113</v>
      </c>
      <c r="C116" s="154">
        <v>0</v>
      </c>
      <c r="D116" s="154">
        <f>_xlfn.XLOOKUP(A116,'[1]CADASTRO CENTRO DE CUSTO-ALOCAÇ'!$A:$A,'[1]CADASTRO CENTRO DE CUSTO-ALOCAÇ'!$C:$C)</f>
        <v>0</v>
      </c>
      <c r="E116" s="154">
        <f t="shared" si="42"/>
        <v>0</v>
      </c>
      <c r="F116" s="154">
        <f>SUMIF('Contratos - G200'!E:E,'Detalhamento - G200'!A116,'Contratos - G200'!J:J)+SUMIF('Pedidos - G200'!D:D,'Detalhamento - G200'!A116,'Pedidos - G200'!H:H)</f>
        <v>0</v>
      </c>
      <c r="G116" s="154">
        <f t="shared" si="73"/>
        <v>0</v>
      </c>
      <c r="H116" s="154">
        <f>SUMIF('Notas fiscais - G200'!D:D,'Detalhamento - G200'!A116,'Notas fiscais - G200'!T:T)</f>
        <v>0</v>
      </c>
      <c r="I116" s="154">
        <f>VLOOKUP(A116,'Projeções - G200'!B:F,5,FALSE)</f>
        <v>0</v>
      </c>
      <c r="J116" s="154">
        <f t="shared" si="74"/>
        <v>0</v>
      </c>
      <c r="K116" s="154">
        <f t="shared" si="75"/>
        <v>0</v>
      </c>
      <c r="L116" s="261"/>
    </row>
    <row r="117" spans="1:14" outlineLevel="3">
      <c r="A117" s="146">
        <v>2001001005</v>
      </c>
      <c r="B117" s="147" t="s">
        <v>114</v>
      </c>
      <c r="C117" s="154">
        <v>49801.599999999999</v>
      </c>
      <c r="D117" s="154">
        <f>_xlfn.XLOOKUP(A117,'[1]CADASTRO CENTRO DE CUSTO-ALOCAÇ'!$A:$A,'[1]CADASTRO CENTRO DE CUSTO-ALOCAÇ'!$C:$C)</f>
        <v>49801.599999999999</v>
      </c>
      <c r="E117" s="154">
        <f t="shared" si="42"/>
        <v>0</v>
      </c>
      <c r="F117" s="154">
        <f>SUMIF('Contratos - G200'!E:E,'Detalhamento - G200'!A117,'Contratos - G200'!J:J)+SUMIF('Pedidos - G200'!D:D,'Detalhamento - G200'!A117,'Pedidos - G200'!H:H)</f>
        <v>10440.5</v>
      </c>
      <c r="G117" s="154">
        <f t="shared" si="73"/>
        <v>39361.1</v>
      </c>
      <c r="H117" s="154">
        <f>SUMIF('Notas fiscais - G200'!D:D,'Detalhamento - G200'!A117,'Notas fiscais - G200'!T:T)</f>
        <v>0</v>
      </c>
      <c r="I117" s="154">
        <f>VLOOKUP(A117,'Projeções - G200'!B:F,5,FALSE)</f>
        <v>0</v>
      </c>
      <c r="J117" s="154">
        <f t="shared" si="74"/>
        <v>10440.5</v>
      </c>
      <c r="K117" s="154">
        <f t="shared" si="75"/>
        <v>39361.1</v>
      </c>
      <c r="L117" s="261"/>
    </row>
    <row r="118" spans="1:14" outlineLevel="3">
      <c r="A118" s="146">
        <v>2001001006</v>
      </c>
      <c r="B118" s="147" t="s">
        <v>115</v>
      </c>
      <c r="C118" s="154">
        <v>233873.5</v>
      </c>
      <c r="D118" s="154">
        <f>_xlfn.XLOOKUP(A118,'[1]CADASTRO CENTRO DE CUSTO-ALOCAÇ'!$A:$A,'[1]CADASTRO CENTRO DE CUSTO-ALOCAÇ'!$C:$C)</f>
        <v>233873.5</v>
      </c>
      <c r="E118" s="154">
        <f t="shared" si="42"/>
        <v>0</v>
      </c>
      <c r="F118" s="154">
        <f>SUMIF('Contratos - G200'!E:E,'Detalhamento - G200'!A118,'Contratos - G200'!J:J)+SUMIF('Pedidos - G200'!D:D,'Detalhamento - G200'!A118,'Pedidos - G200'!H:H)</f>
        <v>40038.04</v>
      </c>
      <c r="G118" s="154">
        <f t="shared" si="73"/>
        <v>193835.46</v>
      </c>
      <c r="H118" s="154">
        <f>SUMIF('Notas fiscais - G200'!D:D,'Detalhamento - G200'!A118,'Notas fiscais - G200'!T:T)</f>
        <v>26160.760000000002</v>
      </c>
      <c r="I118" s="154">
        <f>VLOOKUP(A118,'Projeções - G200'!B:F,5,FALSE)</f>
        <v>0</v>
      </c>
      <c r="J118" s="154">
        <f t="shared" si="74"/>
        <v>40038.04</v>
      </c>
      <c r="K118" s="154">
        <f t="shared" si="75"/>
        <v>193835.46</v>
      </c>
      <c r="L118" s="261"/>
    </row>
    <row r="119" spans="1:14" outlineLevel="3">
      <c r="A119" s="146">
        <v>2001001007</v>
      </c>
      <c r="B119" s="147" t="s">
        <v>116</v>
      </c>
      <c r="C119" s="154">
        <v>44330</v>
      </c>
      <c r="D119" s="154">
        <f>_xlfn.XLOOKUP(A119,'[1]CADASTRO CENTRO DE CUSTO-ALOCAÇ'!$A:$A,'[1]CADASTRO CENTRO DE CUSTO-ALOCAÇ'!$C:$C)</f>
        <v>44330</v>
      </c>
      <c r="E119" s="154">
        <f t="shared" si="42"/>
        <v>0</v>
      </c>
      <c r="F119" s="154">
        <f>SUMIF('Contratos - G200'!E:E,'Detalhamento - G200'!A119,'Contratos - G200'!J:J)+SUMIF('Pedidos - G200'!D:D,'Detalhamento - G200'!A119,'Pedidos - G200'!H:H)</f>
        <v>44330</v>
      </c>
      <c r="G119" s="154">
        <f t="shared" si="73"/>
        <v>0</v>
      </c>
      <c r="H119" s="154">
        <f>SUMIF('Notas fiscais - G200'!D:D,'Detalhamento - G200'!A119,'Notas fiscais - G200'!T:T)</f>
        <v>36930</v>
      </c>
      <c r="I119" s="154">
        <f>VLOOKUP(A119,'Projeções - G200'!B:F,5,FALSE)</f>
        <v>0</v>
      </c>
      <c r="J119" s="154">
        <f t="shared" si="74"/>
        <v>44330</v>
      </c>
      <c r="K119" s="154">
        <f t="shared" si="75"/>
        <v>0</v>
      </c>
      <c r="L119" s="261"/>
    </row>
    <row r="120" spans="1:14" outlineLevel="3">
      <c r="A120" s="146">
        <v>2001001008</v>
      </c>
      <c r="B120" s="147" t="s">
        <v>117</v>
      </c>
      <c r="C120" s="154">
        <v>0</v>
      </c>
      <c r="D120" s="154">
        <f>_xlfn.XLOOKUP(A120,'[1]CADASTRO CENTRO DE CUSTO-ALOCAÇ'!$A:$A,'[1]CADASTRO CENTRO DE CUSTO-ALOCAÇ'!$C:$C)</f>
        <v>0</v>
      </c>
      <c r="E120" s="154">
        <f t="shared" si="42"/>
        <v>0</v>
      </c>
      <c r="F120" s="154">
        <f>SUMIF('Contratos - G200'!E:E,'Detalhamento - G200'!A120,'Contratos - G200'!J:J)+SUMIF('Pedidos - G200'!D:D,'Detalhamento - G200'!A120,'Pedidos - G200'!H:H)</f>
        <v>0</v>
      </c>
      <c r="G120" s="154">
        <f t="shared" si="73"/>
        <v>0</v>
      </c>
      <c r="H120" s="154">
        <f>SUMIF('Notas fiscais - G200'!D:D,'Detalhamento - G200'!A120,'Notas fiscais - G200'!T:T)</f>
        <v>0</v>
      </c>
      <c r="I120" s="154">
        <f>VLOOKUP(A120,'Projeções - G200'!B:F,5,FALSE)</f>
        <v>0</v>
      </c>
      <c r="J120" s="154">
        <f t="shared" si="74"/>
        <v>0</v>
      </c>
      <c r="K120" s="154">
        <f t="shared" si="75"/>
        <v>0</v>
      </c>
      <c r="L120" s="261"/>
    </row>
    <row r="121" spans="1:14" outlineLevel="3">
      <c r="A121" s="146">
        <v>2001001009</v>
      </c>
      <c r="B121" s="147" t="s">
        <v>118</v>
      </c>
      <c r="C121" s="154">
        <v>0</v>
      </c>
      <c r="D121" s="154">
        <f>_xlfn.XLOOKUP(A121,'[1]CADASTRO CENTRO DE CUSTO-ALOCAÇ'!$A:$A,'[1]CADASTRO CENTRO DE CUSTO-ALOCAÇ'!$C:$C)</f>
        <v>0</v>
      </c>
      <c r="E121" s="154">
        <f t="shared" si="42"/>
        <v>0</v>
      </c>
      <c r="F121" s="154">
        <f>SUMIF('Contratos - G200'!E:E,'Detalhamento - G200'!A121,'Contratos - G200'!J:J)+SUMIF('Pedidos - G200'!D:D,'Detalhamento - G200'!A121,'Pedidos - G200'!H:H)</f>
        <v>0</v>
      </c>
      <c r="G121" s="154">
        <f t="shared" si="73"/>
        <v>0</v>
      </c>
      <c r="H121" s="154">
        <f>SUMIF('Notas fiscais - G200'!D:D,'Detalhamento - G200'!A121,'Notas fiscais - G200'!T:T)</f>
        <v>0</v>
      </c>
      <c r="I121" s="154">
        <f>VLOOKUP(A121,'Projeções - G200'!B:F,5,FALSE)</f>
        <v>0</v>
      </c>
      <c r="J121" s="154">
        <f t="shared" si="74"/>
        <v>0</v>
      </c>
      <c r="K121" s="154">
        <f t="shared" si="75"/>
        <v>0</v>
      </c>
      <c r="L121" s="261"/>
    </row>
    <row r="122" spans="1:14" outlineLevel="3">
      <c r="A122" s="146">
        <v>2001001010</v>
      </c>
      <c r="B122" s="147" t="s">
        <v>119</v>
      </c>
      <c r="C122" s="154">
        <v>43385.66</v>
      </c>
      <c r="D122" s="154">
        <f>_xlfn.XLOOKUP(A122,'[1]CADASTRO CENTRO DE CUSTO-ALOCAÇ'!$A:$A,'[1]CADASTRO CENTRO DE CUSTO-ALOCAÇ'!$C:$C)</f>
        <v>43385.66</v>
      </c>
      <c r="E122" s="154">
        <f t="shared" si="42"/>
        <v>0</v>
      </c>
      <c r="F122" s="154">
        <f>SUMIF('Contratos - G200'!E:E,'Detalhamento - G200'!A122,'Contratos - G200'!J:J)+SUMIF('Pedidos - G200'!D:D,'Detalhamento - G200'!A122,'Pedidos - G200'!H:H)</f>
        <v>4646.4799999999996</v>
      </c>
      <c r="G122" s="154">
        <f t="shared" si="73"/>
        <v>38739.180000000008</v>
      </c>
      <c r="H122" s="154">
        <f>SUMIF('Notas fiscais - G200'!D:D,'Detalhamento - G200'!A122,'Notas fiscais - G200'!T:T)</f>
        <v>2768.92</v>
      </c>
      <c r="I122" s="154">
        <f>VLOOKUP(A122,'Projeções - G200'!B:F,5,FALSE)</f>
        <v>0</v>
      </c>
      <c r="J122" s="154">
        <f t="shared" si="74"/>
        <v>4646.4799999999996</v>
      </c>
      <c r="K122" s="154">
        <f t="shared" si="75"/>
        <v>38739.180000000008</v>
      </c>
      <c r="L122" s="261"/>
    </row>
    <row r="123" spans="1:14" outlineLevel="2">
      <c r="A123" s="144">
        <v>2001002</v>
      </c>
      <c r="B123" s="145" t="s">
        <v>120</v>
      </c>
      <c r="C123" s="254">
        <f>SUBTOTAL(9,C124:C126)</f>
        <v>1401130.51</v>
      </c>
      <c r="D123" s="154">
        <f>_xlfn.XLOOKUP(A123,'[1]CADASTRO CENTRO DE CUSTO-ALOCAÇ'!$A:$A,'[1]CADASTRO CENTRO DE CUSTO-ALOCAÇ'!$C:$C)</f>
        <v>1401130.51</v>
      </c>
      <c r="E123" s="154">
        <f t="shared" si="42"/>
        <v>0</v>
      </c>
      <c r="F123" s="254">
        <f t="shared" ref="F123:K123" si="76">SUBTOTAL(9,F124:F126)</f>
        <v>1386718.18</v>
      </c>
      <c r="G123" s="254">
        <f t="shared" si="76"/>
        <v>14412.33</v>
      </c>
      <c r="H123" s="254">
        <f t="shared" si="76"/>
        <v>63579.880000000005</v>
      </c>
      <c r="I123" s="254">
        <f t="shared" si="76"/>
        <v>0</v>
      </c>
      <c r="J123" s="254">
        <f t="shared" si="76"/>
        <v>1386718.18</v>
      </c>
      <c r="K123" s="254">
        <f t="shared" si="76"/>
        <v>14412.33</v>
      </c>
      <c r="L123" s="261"/>
    </row>
    <row r="124" spans="1:14" outlineLevel="3">
      <c r="A124" s="146">
        <v>2001002001</v>
      </c>
      <c r="B124" s="147" t="s">
        <v>121</v>
      </c>
      <c r="C124" s="154">
        <v>1354518.18</v>
      </c>
      <c r="D124" s="154">
        <f>_xlfn.XLOOKUP(A124,'[1]CADASTRO CENTRO DE CUSTO-ALOCAÇ'!$A:$A,'[1]CADASTRO CENTRO DE CUSTO-ALOCAÇ'!$C:$C)</f>
        <v>1354518.18</v>
      </c>
      <c r="E124" s="154">
        <f t="shared" si="42"/>
        <v>0</v>
      </c>
      <c r="F124" s="154">
        <f>SUMIF('Contratos - G200'!E:E,'Detalhamento - G200'!A124,'Contratos - G200'!J:J)+SUMIF('Pedidos - G200'!D:D,'Detalhamento - G200'!A124,'Pedidos - G200'!H:H)</f>
        <v>1354518.18</v>
      </c>
      <c r="G124" s="154">
        <f t="shared" ref="G124:G126" si="77">C124-F124</f>
        <v>0</v>
      </c>
      <c r="H124" s="154">
        <f>SUMIF('Notas fiscais - G200'!D:D,'Detalhamento - G200'!A124,'Notas fiscais - G200'!T:T)</f>
        <v>58979.880000000005</v>
      </c>
      <c r="I124" s="154">
        <f>VLOOKUP(A124,'Projeções - G200'!B:F,5,FALSE)</f>
        <v>0</v>
      </c>
      <c r="J124" s="154">
        <f t="shared" ref="J124:J126" si="78">F124+I124</f>
        <v>1354518.18</v>
      </c>
      <c r="K124" s="154">
        <f>C124-J124</f>
        <v>0</v>
      </c>
      <c r="L124" s="261"/>
    </row>
    <row r="125" spans="1:14" outlineLevel="3">
      <c r="A125" s="146">
        <v>2001002002</v>
      </c>
      <c r="B125" s="147" t="s">
        <v>122</v>
      </c>
      <c r="C125" s="154">
        <v>42875</v>
      </c>
      <c r="D125" s="154">
        <f>_xlfn.XLOOKUP(A125,'[1]CADASTRO CENTRO DE CUSTO-ALOCAÇ'!$A:$A,'[1]CADASTRO CENTRO DE CUSTO-ALOCAÇ'!$C:$C)</f>
        <v>42875</v>
      </c>
      <c r="E125" s="154">
        <f t="shared" si="42"/>
        <v>0</v>
      </c>
      <c r="F125" s="154">
        <f>SUMIF('Contratos - G200'!E:E,'Detalhamento - G200'!A125,'Contratos - G200'!J:J)+SUMIF('Pedidos - G200'!D:D,'Detalhamento - G200'!A125,'Pedidos - G200'!H:H)</f>
        <v>32200</v>
      </c>
      <c r="G125" s="154">
        <f t="shared" si="77"/>
        <v>10675</v>
      </c>
      <c r="H125" s="154">
        <f>SUMIF('Notas fiscais - G200'!D:D,'Detalhamento - G200'!A125,'Notas fiscais - G200'!T:T)</f>
        <v>4600</v>
      </c>
      <c r="I125" s="154">
        <f>VLOOKUP(A125,'Projeções - G200'!B:F,5,FALSE)</f>
        <v>0</v>
      </c>
      <c r="J125" s="154">
        <f t="shared" si="78"/>
        <v>32200</v>
      </c>
      <c r="K125" s="154">
        <f>C125-J125</f>
        <v>10675</v>
      </c>
      <c r="L125" s="261"/>
    </row>
    <row r="126" spans="1:14" outlineLevel="3">
      <c r="A126" s="146">
        <v>2001002003</v>
      </c>
      <c r="B126" s="147" t="s">
        <v>123</v>
      </c>
      <c r="C126" s="154">
        <v>3737.33</v>
      </c>
      <c r="D126" s="154">
        <f>_xlfn.XLOOKUP(A126,'[1]CADASTRO CENTRO DE CUSTO-ALOCAÇ'!$A:$A,'[1]CADASTRO CENTRO DE CUSTO-ALOCAÇ'!$C:$C)</f>
        <v>3737.33</v>
      </c>
      <c r="E126" s="154">
        <f t="shared" si="42"/>
        <v>0</v>
      </c>
      <c r="F126" s="154">
        <f>SUMIF('Contratos - G200'!E:E,'Detalhamento - G200'!A126,'Contratos - G200'!J:J)+SUMIF('Pedidos - G200'!D:D,'Detalhamento - G200'!A126,'Pedidos - G200'!H:H)</f>
        <v>0</v>
      </c>
      <c r="G126" s="154">
        <f t="shared" si="77"/>
        <v>3737.33</v>
      </c>
      <c r="H126" s="154">
        <f>SUMIF('Notas fiscais - G200'!D:D,'Detalhamento - G200'!A126,'Notas fiscais - G200'!T:T)</f>
        <v>0</v>
      </c>
      <c r="I126" s="154">
        <f>VLOOKUP(A126,'Projeções - G200'!B:F,5,FALSE)</f>
        <v>0</v>
      </c>
      <c r="J126" s="154">
        <f t="shared" si="78"/>
        <v>0</v>
      </c>
      <c r="K126" s="154">
        <f>C126-J126</f>
        <v>3737.33</v>
      </c>
      <c r="L126" s="261"/>
    </row>
    <row r="127" spans="1:14" outlineLevel="2">
      <c r="A127" s="144">
        <v>2001003</v>
      </c>
      <c r="B127" s="145" t="s">
        <v>124</v>
      </c>
      <c r="C127" s="254">
        <f>SUBTOTAL(9,C128:C130)</f>
        <v>1078257.27</v>
      </c>
      <c r="D127" s="154">
        <f>_xlfn.XLOOKUP(A127,'[1]CADASTRO CENTRO DE CUSTO-ALOCAÇ'!$A:$A,'[1]CADASTRO CENTRO DE CUSTO-ALOCAÇ'!$C:$C)</f>
        <v>1078257.27</v>
      </c>
      <c r="E127" s="154">
        <f t="shared" si="42"/>
        <v>0</v>
      </c>
      <c r="F127" s="254">
        <f t="shared" ref="F127:K127" si="79">SUBTOTAL(9,F128:F130)</f>
        <v>1078254.4290993251</v>
      </c>
      <c r="G127" s="254">
        <f t="shared" si="79"/>
        <v>2.8409006749279797</v>
      </c>
      <c r="H127" s="254">
        <f t="shared" si="79"/>
        <v>26257.59</v>
      </c>
      <c r="I127" s="254">
        <f t="shared" si="79"/>
        <v>0</v>
      </c>
      <c r="J127" s="254">
        <f t="shared" si="79"/>
        <v>1078254.4290993251</v>
      </c>
      <c r="K127" s="254">
        <f t="shared" si="79"/>
        <v>2.8409006749279797</v>
      </c>
      <c r="L127" s="261"/>
    </row>
    <row r="128" spans="1:14" ht="18.600000000000001" customHeight="1" outlineLevel="3">
      <c r="A128" s="146">
        <v>2001003001</v>
      </c>
      <c r="B128" s="147" t="s">
        <v>125</v>
      </c>
      <c r="C128" s="154">
        <f>1078257.27</f>
        <v>1078257.27</v>
      </c>
      <c r="D128" s="154">
        <f>_xlfn.XLOOKUP(A128,'[1]CADASTRO CENTRO DE CUSTO-ALOCAÇ'!$A:$A,'[1]CADASTRO CENTRO DE CUSTO-ALOCAÇ'!$C:$C)</f>
        <v>1078257.27</v>
      </c>
      <c r="E128" s="154">
        <f t="shared" si="42"/>
        <v>0</v>
      </c>
      <c r="F128" s="154">
        <f>SUMIF('Contratos - G200'!E:E,'Detalhamento - G200'!A128,'Contratos - G200'!J:J)+SUMIF('Pedidos - G200'!D:D,'Detalhamento - G200'!A128,'Pedidos - G200'!H:H)</f>
        <v>1078254.4290993251</v>
      </c>
      <c r="G128" s="154">
        <f t="shared" ref="G128:G130" si="80">C128-F128</f>
        <v>2.8409006749279797</v>
      </c>
      <c r="H128" s="154">
        <f>SUMIF('Notas fiscais - G200'!D:D,'Detalhamento - G200'!A128,'Notas fiscais - G200'!T:T)</f>
        <v>26257.59</v>
      </c>
      <c r="I128" s="154">
        <f>VLOOKUP(A128,'Projeções - G200'!B:F,5,FALSE)</f>
        <v>0</v>
      </c>
      <c r="J128" s="154">
        <f t="shared" ref="J128:J130" si="81">F128+I128</f>
        <v>1078254.4290993251</v>
      </c>
      <c r="K128" s="154">
        <f>C128-J128</f>
        <v>2.8409006749279797</v>
      </c>
      <c r="L128" s="261"/>
    </row>
    <row r="129" spans="1:14" outlineLevel="3">
      <c r="A129" s="146">
        <v>2001003002</v>
      </c>
      <c r="B129" s="147" t="s">
        <v>126</v>
      </c>
      <c r="C129" s="154">
        <v>0</v>
      </c>
      <c r="D129" s="154">
        <f>_xlfn.XLOOKUP(A129,'[1]CADASTRO CENTRO DE CUSTO-ALOCAÇ'!$A:$A,'[1]CADASTRO CENTRO DE CUSTO-ALOCAÇ'!$C:$C)</f>
        <v>0</v>
      </c>
      <c r="E129" s="154">
        <f t="shared" si="42"/>
        <v>0</v>
      </c>
      <c r="F129" s="154">
        <f>SUMIF('Contratos - G200'!E:E,'Detalhamento - G200'!A129,'Contratos - G200'!J:J)+SUMIF('Pedidos - G200'!D:D,'Detalhamento - G200'!A129,'Pedidos - G200'!H:H)</f>
        <v>0</v>
      </c>
      <c r="G129" s="154">
        <f t="shared" si="80"/>
        <v>0</v>
      </c>
      <c r="H129" s="154">
        <f>SUMIF('Notas fiscais - G200'!D:D,'Detalhamento - G200'!A129,'Notas fiscais - G200'!T:T)</f>
        <v>0</v>
      </c>
      <c r="I129" s="154">
        <f>VLOOKUP(A129,'Projeções - G200'!B:F,5,FALSE)</f>
        <v>0</v>
      </c>
      <c r="J129" s="154">
        <f t="shared" si="81"/>
        <v>0</v>
      </c>
      <c r="K129" s="154">
        <f>C129-J129</f>
        <v>0</v>
      </c>
      <c r="L129" s="261"/>
    </row>
    <row r="130" spans="1:14" outlineLevel="3">
      <c r="A130" s="146">
        <v>2001003003</v>
      </c>
      <c r="B130" s="147" t="s">
        <v>127</v>
      </c>
      <c r="C130" s="154">
        <v>0</v>
      </c>
      <c r="D130" s="154">
        <f>_xlfn.XLOOKUP(A130,'[1]CADASTRO CENTRO DE CUSTO-ALOCAÇ'!$A:$A,'[1]CADASTRO CENTRO DE CUSTO-ALOCAÇ'!$C:$C)</f>
        <v>0</v>
      </c>
      <c r="E130" s="154">
        <f t="shared" si="42"/>
        <v>0</v>
      </c>
      <c r="F130" s="154">
        <f>SUMIF('Contratos - G200'!E:E,'Detalhamento - G200'!A130,'Contratos - G200'!J:J)+SUMIF('Pedidos - G200'!D:D,'Detalhamento - G200'!A130,'Pedidos - G200'!H:H)</f>
        <v>0</v>
      </c>
      <c r="G130" s="154">
        <f t="shared" si="80"/>
        <v>0</v>
      </c>
      <c r="H130" s="154">
        <f>SUMIF('Notas fiscais - G200'!D:D,'Detalhamento - G200'!A130,'Notas fiscais - G200'!T:T)</f>
        <v>0</v>
      </c>
      <c r="I130" s="154">
        <f>VLOOKUP(A130,'Projeções - G200'!B:F,5,FALSE)</f>
        <v>0</v>
      </c>
      <c r="J130" s="154">
        <f t="shared" si="81"/>
        <v>0</v>
      </c>
      <c r="K130" s="154">
        <f>C130-J130</f>
        <v>0</v>
      </c>
      <c r="L130" s="261"/>
    </row>
    <row r="131" spans="1:14" outlineLevel="2">
      <c r="A131" s="144">
        <v>2001004</v>
      </c>
      <c r="B131" s="145" t="s">
        <v>128</v>
      </c>
      <c r="C131" s="254">
        <f>SUBTOTAL(9,C132:C135)</f>
        <v>105028.65000000001</v>
      </c>
      <c r="D131" s="154">
        <f>_xlfn.XLOOKUP(A131,'[1]CADASTRO CENTRO DE CUSTO-ALOCAÇ'!$A:$A,'[1]CADASTRO CENTRO DE CUSTO-ALOCAÇ'!$C:$C)</f>
        <v>105028.65000000001</v>
      </c>
      <c r="E131" s="154">
        <f t="shared" si="42"/>
        <v>0</v>
      </c>
      <c r="F131" s="254">
        <f t="shared" ref="F131:K131" si="82">SUBTOTAL(9,F132:F135)</f>
        <v>110404.22</v>
      </c>
      <c r="G131" s="254">
        <f t="shared" si="82"/>
        <v>-5375.57</v>
      </c>
      <c r="H131" s="254">
        <f t="shared" si="82"/>
        <v>59153.420000000006</v>
      </c>
      <c r="I131" s="254">
        <f t="shared" si="82"/>
        <v>213.5</v>
      </c>
      <c r="J131" s="254">
        <f t="shared" si="82"/>
        <v>110617.72</v>
      </c>
      <c r="K131" s="254">
        <f t="shared" si="82"/>
        <v>-5589.07</v>
      </c>
      <c r="L131" s="261"/>
    </row>
    <row r="132" spans="1:14" outlineLevel="3">
      <c r="A132" s="146">
        <v>2001004001</v>
      </c>
      <c r="B132" s="147" t="s">
        <v>129</v>
      </c>
      <c r="C132" s="154">
        <v>90508.760000000009</v>
      </c>
      <c r="D132" s="154">
        <f>_xlfn.XLOOKUP(A132,'[1]CADASTRO CENTRO DE CUSTO-ALOCAÇ'!$A:$A,'[1]CADASTRO CENTRO DE CUSTO-ALOCAÇ'!$C:$C)</f>
        <v>90508.760000000009</v>
      </c>
      <c r="E132" s="154">
        <f t="shared" si="42"/>
        <v>0</v>
      </c>
      <c r="F132" s="154">
        <f>SUMIF('Contratos - G200'!E:E,'Detalhamento - G200'!A132,'Contratos - G200'!J:J)+SUMIF('Pedidos - G200'!D:D,'Detalhamento - G200'!A132,'Pedidos - G200'!H:H)</f>
        <v>90508.760000000009</v>
      </c>
      <c r="G132" s="154">
        <f t="shared" ref="G132:G135" si="83">C132-F132</f>
        <v>0</v>
      </c>
      <c r="H132" s="154">
        <f>SUMIF('Notas fiscais - G200'!D:D,'Detalhamento - G200'!A132,'Notas fiscais - G200'!T:T)</f>
        <v>44842.8</v>
      </c>
      <c r="I132" s="154">
        <f>VLOOKUP(A132,'Projeções - G200'!B:F,5,FALSE)</f>
        <v>0</v>
      </c>
      <c r="J132" s="154">
        <f t="shared" ref="J132:J135" si="84">F132+I132</f>
        <v>90508.760000000009</v>
      </c>
      <c r="K132" s="154">
        <f>C132-J132</f>
        <v>0</v>
      </c>
      <c r="L132" s="261"/>
    </row>
    <row r="133" spans="1:14" s="139" customFormat="1" outlineLevel="3">
      <c r="A133" s="146">
        <v>2001004002</v>
      </c>
      <c r="B133" s="147" t="s">
        <v>130</v>
      </c>
      <c r="C133" s="154">
        <v>12113.5</v>
      </c>
      <c r="D133" s="154">
        <f>_xlfn.XLOOKUP(A133,'[1]CADASTRO CENTRO DE CUSTO-ALOCAÇ'!$A:$A,'[1]CADASTRO CENTRO DE CUSTO-ALOCAÇ'!$C:$C)</f>
        <v>12113.5</v>
      </c>
      <c r="E133" s="154">
        <f t="shared" si="42"/>
        <v>0</v>
      </c>
      <c r="F133" s="154">
        <f>SUMIF('Contratos - G200'!E:E,'Detalhamento - G200'!A133,'Contratos - G200'!J:J)+SUMIF('Pedidos - G200'!D:D,'Detalhamento - G200'!A133,'Pedidos - G200'!H:H)</f>
        <v>12113.5</v>
      </c>
      <c r="G133" s="154">
        <f t="shared" si="83"/>
        <v>0</v>
      </c>
      <c r="H133" s="154">
        <f>SUMIF('Notas fiscais - G200'!D:D,'Detalhamento - G200'!A133,'Notas fiscais - G200'!T:T)</f>
        <v>11900</v>
      </c>
      <c r="I133" s="154">
        <f>VLOOKUP(A133,'Projeções - G200'!B:F,5,FALSE)</f>
        <v>213.5</v>
      </c>
      <c r="J133" s="154">
        <f t="shared" si="84"/>
        <v>12327</v>
      </c>
      <c r="K133" s="154">
        <f>C133-J133</f>
        <v>-213.5</v>
      </c>
      <c r="L133" s="261"/>
      <c r="M133" s="247"/>
      <c r="N133" s="247"/>
    </row>
    <row r="134" spans="1:14" outlineLevel="3">
      <c r="A134" s="146">
        <v>2001004003</v>
      </c>
      <c r="B134" s="147" t="s">
        <v>131</v>
      </c>
      <c r="C134" s="154">
        <v>0</v>
      </c>
      <c r="D134" s="154">
        <f>_xlfn.XLOOKUP(A134,'[1]CADASTRO CENTRO DE CUSTO-ALOCAÇ'!$A:$A,'[1]CADASTRO CENTRO DE CUSTO-ALOCAÇ'!$C:$C)</f>
        <v>0</v>
      </c>
      <c r="E134" s="154">
        <f t="shared" si="42"/>
        <v>0</v>
      </c>
      <c r="F134" s="154">
        <f>SUMIF('Contratos - G200'!E:E,'Detalhamento - G200'!A134,'Contratos - G200'!J:J)+SUMIF('Pedidos - G200'!D:D,'Detalhamento - G200'!A134,'Pedidos - G200'!H:H)</f>
        <v>0</v>
      </c>
      <c r="G134" s="154">
        <f t="shared" si="83"/>
        <v>0</v>
      </c>
      <c r="H134" s="154">
        <f>SUMIF('Notas fiscais - G200'!D:D,'Detalhamento - G200'!A134,'Notas fiscais - G200'!T:T)</f>
        <v>0</v>
      </c>
      <c r="I134" s="154">
        <f>VLOOKUP(A134,'Projeções - G200'!B:F,5,FALSE)</f>
        <v>0</v>
      </c>
      <c r="J134" s="154">
        <f t="shared" si="84"/>
        <v>0</v>
      </c>
      <c r="K134" s="154">
        <f>C134-J134</f>
        <v>0</v>
      </c>
      <c r="L134" s="261"/>
    </row>
    <row r="135" spans="1:14" outlineLevel="3">
      <c r="A135" s="146">
        <v>2001004004</v>
      </c>
      <c r="B135" s="147" t="s">
        <v>132</v>
      </c>
      <c r="C135" s="154">
        <v>2406.39</v>
      </c>
      <c r="D135" s="154">
        <f>_xlfn.XLOOKUP(A135,'[1]CADASTRO CENTRO DE CUSTO-ALOCAÇ'!$A:$A,'[1]CADASTRO CENTRO DE CUSTO-ALOCAÇ'!$C:$C)</f>
        <v>2406.39</v>
      </c>
      <c r="E135" s="154">
        <f t="shared" si="42"/>
        <v>0</v>
      </c>
      <c r="F135" s="154">
        <f>SUMIF('Contratos - G200'!E:E,'Detalhamento - G200'!A135,'Contratos - G200'!J:J)+SUMIF('Pedidos - G200'!D:D,'Detalhamento - G200'!A135,'Pedidos - G200'!H:H)</f>
        <v>7781.9599999999991</v>
      </c>
      <c r="G135" s="154">
        <f t="shared" si="83"/>
        <v>-5375.57</v>
      </c>
      <c r="H135" s="154">
        <f>SUMIF('Notas fiscais - G200'!D:D,'Detalhamento - G200'!A135,'Notas fiscais - G200'!T:T)</f>
        <v>2410.62</v>
      </c>
      <c r="I135" s="154">
        <f>VLOOKUP(A135,'Projeções - G200'!B:F,5,FALSE)</f>
        <v>0</v>
      </c>
      <c r="J135" s="154">
        <f t="shared" si="84"/>
        <v>7781.9599999999991</v>
      </c>
      <c r="K135" s="154">
        <f>C135-J135</f>
        <v>-5375.57</v>
      </c>
      <c r="L135" s="261"/>
    </row>
    <row r="136" spans="1:14" outlineLevel="2">
      <c r="A136" s="144">
        <v>2001005</v>
      </c>
      <c r="B136" s="145" t="s">
        <v>133</v>
      </c>
      <c r="C136" s="254">
        <f>SUBTOTAL(9,C137:C138)</f>
        <v>250000</v>
      </c>
      <c r="D136" s="154">
        <f>_xlfn.XLOOKUP(A136,'[1]CADASTRO CENTRO DE CUSTO-ALOCAÇ'!$A:$A,'[1]CADASTRO CENTRO DE CUSTO-ALOCAÇ'!$C:$C)</f>
        <v>250000</v>
      </c>
      <c r="E136" s="154">
        <f t="shared" ref="E136:E199" si="85">C136-D136</f>
        <v>0</v>
      </c>
      <c r="F136" s="254">
        <f t="shared" ref="F136:K136" si="86">SUBTOTAL(9,F137:F138)</f>
        <v>22120.196199999995</v>
      </c>
      <c r="G136" s="254">
        <f t="shared" si="86"/>
        <v>227879.80379999999</v>
      </c>
      <c r="H136" s="254">
        <f t="shared" si="86"/>
        <v>0</v>
      </c>
      <c r="I136" s="254">
        <f t="shared" si="86"/>
        <v>0</v>
      </c>
      <c r="J136" s="254">
        <f t="shared" si="86"/>
        <v>22120.196199999995</v>
      </c>
      <c r="K136" s="254">
        <f t="shared" si="86"/>
        <v>227879.80379999999</v>
      </c>
      <c r="L136" s="261"/>
    </row>
    <row r="137" spans="1:14" outlineLevel="3">
      <c r="A137" s="146">
        <v>2001005001</v>
      </c>
      <c r="B137" s="147" t="s">
        <v>134</v>
      </c>
      <c r="C137" s="154">
        <v>0</v>
      </c>
      <c r="D137" s="154">
        <f>_xlfn.XLOOKUP(A137,'[1]CADASTRO CENTRO DE CUSTO-ALOCAÇ'!$A:$A,'[1]CADASTRO CENTRO DE CUSTO-ALOCAÇ'!$C:$C)</f>
        <v>0</v>
      </c>
      <c r="E137" s="154">
        <f t="shared" si="85"/>
        <v>0</v>
      </c>
      <c r="F137" s="154">
        <f>SUMIF('Contratos - G200'!E:E,'Detalhamento - G200'!A137,'Contratos - G200'!J:J)+SUMIF('Pedidos - G200'!D:D,'Detalhamento - G200'!A137,'Pedidos - G200'!H:H)</f>
        <v>0</v>
      </c>
      <c r="G137" s="154">
        <f t="shared" ref="G137:G138" si="87">C137-F137</f>
        <v>0</v>
      </c>
      <c r="H137" s="154">
        <f>SUMIF('Notas fiscais - G200'!D:D,'Detalhamento - G200'!A137,'Notas fiscais - G200'!T:T)</f>
        <v>0</v>
      </c>
      <c r="I137" s="154">
        <f>VLOOKUP(A137,'Projeções - G200'!B:F,5,FALSE)</f>
        <v>0</v>
      </c>
      <c r="J137" s="154">
        <f t="shared" ref="J137:J138" si="88">F137+I137</f>
        <v>0</v>
      </c>
      <c r="K137" s="154">
        <f>C137-J137</f>
        <v>0</v>
      </c>
      <c r="L137" s="261"/>
    </row>
    <row r="138" spans="1:14" outlineLevel="3">
      <c r="A138" s="146">
        <v>2001005002</v>
      </c>
      <c r="B138" s="147" t="s">
        <v>135</v>
      </c>
      <c r="C138" s="154">
        <v>250000</v>
      </c>
      <c r="D138" s="154">
        <f>_xlfn.XLOOKUP(A138,'[1]CADASTRO CENTRO DE CUSTO-ALOCAÇ'!$A:$A,'[1]CADASTRO CENTRO DE CUSTO-ALOCAÇ'!$C:$C)</f>
        <v>250000</v>
      </c>
      <c r="E138" s="154">
        <f t="shared" si="85"/>
        <v>0</v>
      </c>
      <c r="F138" s="154">
        <f>SUMIF('Contratos - G200'!E:E,'Detalhamento - G200'!A138,'Contratos - G200'!J:J)+SUMIF('Pedidos - G200'!D:D,'Detalhamento - G200'!A138,'Pedidos - G200'!H:H)</f>
        <v>22120.196199999995</v>
      </c>
      <c r="G138" s="154">
        <f t="shared" si="87"/>
        <v>227879.80379999999</v>
      </c>
      <c r="H138" s="154">
        <f>SUMIF('Notas fiscais - G200'!D:D,'Detalhamento - G200'!A138,'Notas fiscais - G200'!T:T)</f>
        <v>0</v>
      </c>
      <c r="I138" s="154">
        <f>VLOOKUP(A138,'Projeções - G200'!B:F,5,FALSE)</f>
        <v>0</v>
      </c>
      <c r="J138" s="154">
        <f t="shared" si="88"/>
        <v>22120.196199999995</v>
      </c>
      <c r="K138" s="154">
        <f>C138-J138</f>
        <v>227879.80379999999</v>
      </c>
      <c r="L138" s="261"/>
    </row>
    <row r="139" spans="1:14" outlineLevel="2">
      <c r="A139" s="144">
        <v>2001006</v>
      </c>
      <c r="B139" s="145" t="s">
        <v>136</v>
      </c>
      <c r="C139" s="254">
        <f>SUBTOTAL(9,C140:C159)</f>
        <v>166043.29999999999</v>
      </c>
      <c r="D139" s="154">
        <f>_xlfn.XLOOKUP(A139,'[1]CADASTRO CENTRO DE CUSTO-ALOCAÇ'!$A:$A,'[1]CADASTRO CENTRO DE CUSTO-ALOCAÇ'!$C:$C)</f>
        <v>166043.29999999999</v>
      </c>
      <c r="E139" s="154">
        <f t="shared" si="85"/>
        <v>0</v>
      </c>
      <c r="F139" s="254">
        <f t="shared" ref="F139:K139" si="89">SUBTOTAL(9,F140:F159)</f>
        <v>326193.3</v>
      </c>
      <c r="G139" s="254">
        <f t="shared" si="89"/>
        <v>-160150</v>
      </c>
      <c r="H139" s="254">
        <f t="shared" si="89"/>
        <v>116683.3</v>
      </c>
      <c r="I139" s="254">
        <f t="shared" si="89"/>
        <v>160150</v>
      </c>
      <c r="J139" s="254">
        <f t="shared" si="89"/>
        <v>486343.3</v>
      </c>
      <c r="K139" s="254">
        <f t="shared" si="89"/>
        <v>-320300</v>
      </c>
      <c r="L139" s="261"/>
    </row>
    <row r="140" spans="1:14" outlineLevel="3">
      <c r="A140" s="146">
        <v>2001006001</v>
      </c>
      <c r="B140" s="147" t="s">
        <v>137</v>
      </c>
      <c r="C140" s="154">
        <v>163230</v>
      </c>
      <c r="D140" s="154">
        <f>_xlfn.XLOOKUP(A140,'[1]CADASTRO CENTRO DE CUSTO-ALOCAÇ'!$A:$A,'[1]CADASTRO CENTRO DE CUSTO-ALOCAÇ'!$C:$C)</f>
        <v>163230</v>
      </c>
      <c r="E140" s="154">
        <f t="shared" si="85"/>
        <v>0</v>
      </c>
      <c r="F140" s="154">
        <f>SUMIF('Contratos - G200'!E:E,'Detalhamento - G200'!A140,'Contratos - G200'!J:J)+SUMIF('Pedidos - G200'!D:D,'Detalhamento - G200'!A140,'Pedidos - G200'!H:H)</f>
        <v>163230</v>
      </c>
      <c r="G140" s="154">
        <f t="shared" ref="G140:G159" si="90">C140-F140</f>
        <v>0</v>
      </c>
      <c r="H140" s="154">
        <f>SUMIF('Notas fiscais - G200'!D:D,'Detalhamento - G200'!A140,'Notas fiscais - G200'!T:T)</f>
        <v>6280</v>
      </c>
      <c r="I140" s="154">
        <f>VLOOKUP(A140,'Projeções - G200'!B:F,5,FALSE)</f>
        <v>0</v>
      </c>
      <c r="J140" s="154">
        <f t="shared" ref="J140:J159" si="91">F140+I140</f>
        <v>163230</v>
      </c>
      <c r="K140" s="154">
        <f t="shared" ref="K140:K159" si="92">C140-J140</f>
        <v>0</v>
      </c>
      <c r="L140" s="261"/>
    </row>
    <row r="141" spans="1:14" outlineLevel="3">
      <c r="A141" s="146">
        <v>2001006002</v>
      </c>
      <c r="B141" s="147" t="s">
        <v>138</v>
      </c>
      <c r="C141" s="154">
        <v>0</v>
      </c>
      <c r="D141" s="154">
        <f>_xlfn.XLOOKUP(A141,'[1]CADASTRO CENTRO DE CUSTO-ALOCAÇ'!$A:$A,'[1]CADASTRO CENTRO DE CUSTO-ALOCAÇ'!$C:$C)</f>
        <v>0</v>
      </c>
      <c r="E141" s="154">
        <f t="shared" si="85"/>
        <v>0</v>
      </c>
      <c r="F141" s="154">
        <f>SUMIF('Contratos - G200'!E:E,'Detalhamento - G200'!A141,'Contratos - G200'!J:J)+SUMIF('Pedidos - G200'!D:D,'Detalhamento - G200'!A141,'Pedidos - G200'!H:H)</f>
        <v>160150</v>
      </c>
      <c r="G141" s="154">
        <f t="shared" si="90"/>
        <v>-160150</v>
      </c>
      <c r="H141" s="154">
        <f>SUMIF('Notas fiscais - G200'!D:D,'Detalhamento - G200'!A141,'Notas fiscais - G200'!T:T)</f>
        <v>107590</v>
      </c>
      <c r="I141" s="154">
        <f>VLOOKUP(A141,'Projeções - G200'!B:F,5,FALSE)</f>
        <v>160150</v>
      </c>
      <c r="J141" s="154">
        <f t="shared" si="91"/>
        <v>320300</v>
      </c>
      <c r="K141" s="154">
        <f t="shared" si="92"/>
        <v>-320300</v>
      </c>
      <c r="L141" s="261"/>
    </row>
    <row r="142" spans="1:14" outlineLevel="3">
      <c r="A142" s="146">
        <v>2001006003</v>
      </c>
      <c r="B142" s="147" t="s">
        <v>139</v>
      </c>
      <c r="C142" s="154">
        <v>0</v>
      </c>
      <c r="D142" s="154">
        <f>_xlfn.XLOOKUP(A142,'[1]CADASTRO CENTRO DE CUSTO-ALOCAÇ'!$A:$A,'[1]CADASTRO CENTRO DE CUSTO-ALOCAÇ'!$C:$C)</f>
        <v>0</v>
      </c>
      <c r="E142" s="154">
        <f t="shared" si="85"/>
        <v>0</v>
      </c>
      <c r="F142" s="154">
        <f>SUMIF('Contratos - G200'!E:E,'Detalhamento - G200'!A142,'Contratos - G200'!J:J)+SUMIF('Pedidos - G200'!D:D,'Detalhamento - G200'!A142,'Pedidos - G200'!H:H)</f>
        <v>0</v>
      </c>
      <c r="G142" s="154">
        <f t="shared" si="90"/>
        <v>0</v>
      </c>
      <c r="H142" s="154">
        <f>SUMIF('Notas fiscais - G200'!D:D,'Detalhamento - G200'!A142,'Notas fiscais - G200'!T:T)</f>
        <v>0</v>
      </c>
      <c r="I142" s="154">
        <f>VLOOKUP(A142,'Projeções - G200'!B:F,5,FALSE)</f>
        <v>0</v>
      </c>
      <c r="J142" s="154">
        <f t="shared" si="91"/>
        <v>0</v>
      </c>
      <c r="K142" s="154">
        <f t="shared" si="92"/>
        <v>0</v>
      </c>
      <c r="L142" s="261"/>
    </row>
    <row r="143" spans="1:14" outlineLevel="3">
      <c r="A143" s="146">
        <v>2001006004</v>
      </c>
      <c r="B143" s="147" t="s">
        <v>140</v>
      </c>
      <c r="C143" s="154">
        <v>0</v>
      </c>
      <c r="D143" s="154">
        <f>_xlfn.XLOOKUP(A143,'[1]CADASTRO CENTRO DE CUSTO-ALOCAÇ'!$A:$A,'[1]CADASTRO CENTRO DE CUSTO-ALOCAÇ'!$C:$C)</f>
        <v>0</v>
      </c>
      <c r="E143" s="154">
        <f t="shared" si="85"/>
        <v>0</v>
      </c>
      <c r="F143" s="154">
        <f>SUMIF('Contratos - G200'!E:E,'Detalhamento - G200'!A143,'Contratos - G200'!J:J)+SUMIF('Pedidos - G200'!D:D,'Detalhamento - G200'!A143,'Pedidos - G200'!H:H)</f>
        <v>0</v>
      </c>
      <c r="G143" s="154">
        <f t="shared" si="90"/>
        <v>0</v>
      </c>
      <c r="H143" s="154">
        <f>SUMIF('Notas fiscais - G200'!D:D,'Detalhamento - G200'!A143,'Notas fiscais - G200'!T:T)</f>
        <v>0</v>
      </c>
      <c r="I143" s="154">
        <f>VLOOKUP(A143,'Projeções - G200'!B:F,5,FALSE)</f>
        <v>0</v>
      </c>
      <c r="J143" s="154">
        <f t="shared" si="91"/>
        <v>0</v>
      </c>
      <c r="K143" s="154">
        <f t="shared" si="92"/>
        <v>0</v>
      </c>
      <c r="L143" s="261"/>
    </row>
    <row r="144" spans="1:14" outlineLevel="3">
      <c r="A144" s="146">
        <v>2001006005</v>
      </c>
      <c r="B144" s="147" t="s">
        <v>141</v>
      </c>
      <c r="C144" s="154">
        <v>0</v>
      </c>
      <c r="D144" s="154">
        <f>_xlfn.XLOOKUP(A144,'[1]CADASTRO CENTRO DE CUSTO-ALOCAÇ'!$A:$A,'[1]CADASTRO CENTRO DE CUSTO-ALOCAÇ'!$C:$C)</f>
        <v>0</v>
      </c>
      <c r="E144" s="154">
        <f t="shared" si="85"/>
        <v>0</v>
      </c>
      <c r="F144" s="154">
        <f>SUMIF('Contratos - G200'!E:E,'Detalhamento - G200'!A144,'Contratos - G200'!J:J)+SUMIF('Pedidos - G200'!D:D,'Detalhamento - G200'!A144,'Pedidos - G200'!H:H)</f>
        <v>0</v>
      </c>
      <c r="G144" s="154">
        <f t="shared" si="90"/>
        <v>0</v>
      </c>
      <c r="H144" s="154">
        <f>SUMIF('Notas fiscais - G200'!D:D,'Detalhamento - G200'!A144,'Notas fiscais - G200'!T:T)</f>
        <v>0</v>
      </c>
      <c r="I144" s="154">
        <f>VLOOKUP(A144,'Projeções - G200'!B:F,5,FALSE)</f>
        <v>0</v>
      </c>
      <c r="J144" s="154">
        <f t="shared" si="91"/>
        <v>0</v>
      </c>
      <c r="K144" s="154">
        <f t="shared" si="92"/>
        <v>0</v>
      </c>
      <c r="L144" s="261"/>
    </row>
    <row r="145" spans="1:12" outlineLevel="3">
      <c r="A145" s="146">
        <v>2001006006</v>
      </c>
      <c r="B145" s="147" t="s">
        <v>142</v>
      </c>
      <c r="C145" s="154">
        <v>0</v>
      </c>
      <c r="D145" s="154">
        <f>_xlfn.XLOOKUP(A145,'[1]CADASTRO CENTRO DE CUSTO-ALOCAÇ'!$A:$A,'[1]CADASTRO CENTRO DE CUSTO-ALOCAÇ'!$C:$C)</f>
        <v>0</v>
      </c>
      <c r="E145" s="154">
        <f t="shared" si="85"/>
        <v>0</v>
      </c>
      <c r="F145" s="154">
        <f>SUMIF('Contratos - G200'!E:E,'Detalhamento - G200'!A145,'Contratos - G200'!J:J)+SUMIF('Pedidos - G200'!D:D,'Detalhamento - G200'!A145,'Pedidos - G200'!H:H)</f>
        <v>0</v>
      </c>
      <c r="G145" s="154">
        <f t="shared" si="90"/>
        <v>0</v>
      </c>
      <c r="H145" s="154">
        <f>SUMIF('Notas fiscais - G200'!D:D,'Detalhamento - G200'!A145,'Notas fiscais - G200'!T:T)</f>
        <v>0</v>
      </c>
      <c r="I145" s="154">
        <f>VLOOKUP(A145,'Projeções - G200'!B:F,5,FALSE)</f>
        <v>0</v>
      </c>
      <c r="J145" s="154">
        <f t="shared" si="91"/>
        <v>0</v>
      </c>
      <c r="K145" s="154">
        <f t="shared" si="92"/>
        <v>0</v>
      </c>
      <c r="L145" s="261"/>
    </row>
    <row r="146" spans="1:12" outlineLevel="3">
      <c r="A146" s="146">
        <v>2001006007</v>
      </c>
      <c r="B146" s="147" t="s">
        <v>143</v>
      </c>
      <c r="C146" s="154">
        <v>0</v>
      </c>
      <c r="D146" s="154">
        <f>_xlfn.XLOOKUP(A146,'[1]CADASTRO CENTRO DE CUSTO-ALOCAÇ'!$A:$A,'[1]CADASTRO CENTRO DE CUSTO-ALOCAÇ'!$C:$C)</f>
        <v>0</v>
      </c>
      <c r="E146" s="154">
        <f t="shared" si="85"/>
        <v>0</v>
      </c>
      <c r="F146" s="154">
        <f>SUMIF('Contratos - G200'!E:E,'Detalhamento - G200'!A146,'Contratos - G200'!J:J)+SUMIF('Pedidos - G200'!D:D,'Detalhamento - G200'!A146,'Pedidos - G200'!H:H)</f>
        <v>0</v>
      </c>
      <c r="G146" s="154">
        <f t="shared" si="90"/>
        <v>0</v>
      </c>
      <c r="H146" s="154">
        <f>SUMIF('Notas fiscais - G200'!D:D,'Detalhamento - G200'!A146,'Notas fiscais - G200'!T:T)</f>
        <v>0</v>
      </c>
      <c r="I146" s="154">
        <f>VLOOKUP(A146,'Projeções - G200'!B:F,5,FALSE)</f>
        <v>0</v>
      </c>
      <c r="J146" s="154">
        <f t="shared" si="91"/>
        <v>0</v>
      </c>
      <c r="K146" s="154">
        <f t="shared" si="92"/>
        <v>0</v>
      </c>
      <c r="L146" s="261"/>
    </row>
    <row r="147" spans="1:12" outlineLevel="3">
      <c r="A147" s="146">
        <v>2001006008</v>
      </c>
      <c r="B147" s="147" t="s">
        <v>144</v>
      </c>
      <c r="C147" s="154">
        <v>0</v>
      </c>
      <c r="D147" s="154">
        <f>_xlfn.XLOOKUP(A147,'[1]CADASTRO CENTRO DE CUSTO-ALOCAÇ'!$A:$A,'[1]CADASTRO CENTRO DE CUSTO-ALOCAÇ'!$C:$C)</f>
        <v>0</v>
      </c>
      <c r="E147" s="154">
        <f t="shared" si="85"/>
        <v>0</v>
      </c>
      <c r="F147" s="154">
        <f>SUMIF('Contratos - G200'!E:E,'Detalhamento - G200'!A147,'Contratos - G200'!J:J)+SUMIF('Pedidos - G200'!D:D,'Detalhamento - G200'!A147,'Pedidos - G200'!H:H)</f>
        <v>0</v>
      </c>
      <c r="G147" s="154">
        <f t="shared" si="90"/>
        <v>0</v>
      </c>
      <c r="H147" s="154">
        <f>SUMIF('Notas fiscais - G200'!D:D,'Detalhamento - G200'!A147,'Notas fiscais - G200'!T:T)</f>
        <v>0</v>
      </c>
      <c r="I147" s="154">
        <f>VLOOKUP(A147,'Projeções - G200'!B:F,5,FALSE)</f>
        <v>0</v>
      </c>
      <c r="J147" s="154">
        <f t="shared" si="91"/>
        <v>0</v>
      </c>
      <c r="K147" s="154">
        <f t="shared" si="92"/>
        <v>0</v>
      </c>
      <c r="L147" s="261"/>
    </row>
    <row r="148" spans="1:12" outlineLevel="3">
      <c r="A148" s="146">
        <v>2001006009</v>
      </c>
      <c r="B148" s="147" t="s">
        <v>145</v>
      </c>
      <c r="C148" s="154">
        <v>0</v>
      </c>
      <c r="D148" s="154">
        <f>_xlfn.XLOOKUP(A148,'[1]CADASTRO CENTRO DE CUSTO-ALOCAÇ'!$A:$A,'[1]CADASTRO CENTRO DE CUSTO-ALOCAÇ'!$C:$C)</f>
        <v>0</v>
      </c>
      <c r="E148" s="154">
        <f t="shared" si="85"/>
        <v>0</v>
      </c>
      <c r="F148" s="154">
        <f>SUMIF('Contratos - G200'!E:E,'Detalhamento - G200'!A148,'Contratos - G200'!J:J)+SUMIF('Pedidos - G200'!D:D,'Detalhamento - G200'!A148,'Pedidos - G200'!H:H)</f>
        <v>0</v>
      </c>
      <c r="G148" s="154">
        <f t="shared" si="90"/>
        <v>0</v>
      </c>
      <c r="H148" s="154">
        <f>SUMIF('Notas fiscais - G200'!D:D,'Detalhamento - G200'!A148,'Notas fiscais - G200'!T:T)</f>
        <v>0</v>
      </c>
      <c r="I148" s="154">
        <f>VLOOKUP(A148,'Projeções - G200'!B:F,5,FALSE)</f>
        <v>0</v>
      </c>
      <c r="J148" s="154">
        <f t="shared" si="91"/>
        <v>0</v>
      </c>
      <c r="K148" s="154">
        <f t="shared" si="92"/>
        <v>0</v>
      </c>
      <c r="L148" s="261"/>
    </row>
    <row r="149" spans="1:12" outlineLevel="3">
      <c r="A149" s="146">
        <v>2001006010</v>
      </c>
      <c r="B149" s="147" t="s">
        <v>146</v>
      </c>
      <c r="C149" s="154">
        <v>0</v>
      </c>
      <c r="D149" s="154">
        <f>_xlfn.XLOOKUP(A149,'[1]CADASTRO CENTRO DE CUSTO-ALOCAÇ'!$A:$A,'[1]CADASTRO CENTRO DE CUSTO-ALOCAÇ'!$C:$C)</f>
        <v>0</v>
      </c>
      <c r="E149" s="154">
        <f t="shared" si="85"/>
        <v>0</v>
      </c>
      <c r="F149" s="154">
        <f>SUMIF('Contratos - G200'!E:E,'Detalhamento - G200'!A149,'Contratos - G200'!J:J)+SUMIF('Pedidos - G200'!D:D,'Detalhamento - G200'!A149,'Pedidos - G200'!H:H)</f>
        <v>0</v>
      </c>
      <c r="G149" s="154">
        <f t="shared" si="90"/>
        <v>0</v>
      </c>
      <c r="H149" s="154">
        <f>SUMIF('Notas fiscais - G200'!D:D,'Detalhamento - G200'!A149,'Notas fiscais - G200'!T:T)</f>
        <v>0</v>
      </c>
      <c r="I149" s="154">
        <f>VLOOKUP(A149,'Projeções - G200'!B:F,5,FALSE)</f>
        <v>0</v>
      </c>
      <c r="J149" s="154">
        <f t="shared" si="91"/>
        <v>0</v>
      </c>
      <c r="K149" s="154">
        <f t="shared" si="92"/>
        <v>0</v>
      </c>
      <c r="L149" s="261"/>
    </row>
    <row r="150" spans="1:12" outlineLevel="3">
      <c r="A150" s="146">
        <v>2001006011</v>
      </c>
      <c r="B150" s="147" t="s">
        <v>147</v>
      </c>
      <c r="C150" s="154">
        <v>0</v>
      </c>
      <c r="D150" s="154">
        <f>_xlfn.XLOOKUP(A150,'[1]CADASTRO CENTRO DE CUSTO-ALOCAÇ'!$A:$A,'[1]CADASTRO CENTRO DE CUSTO-ALOCAÇ'!$C:$C)</f>
        <v>0</v>
      </c>
      <c r="E150" s="154">
        <f t="shared" si="85"/>
        <v>0</v>
      </c>
      <c r="F150" s="154">
        <f>SUMIF('Contratos - G200'!E:E,'Detalhamento - G200'!A150,'Contratos - G200'!J:J)+SUMIF('Pedidos - G200'!D:D,'Detalhamento - G200'!A150,'Pedidos - G200'!H:H)</f>
        <v>0</v>
      </c>
      <c r="G150" s="154">
        <f t="shared" si="90"/>
        <v>0</v>
      </c>
      <c r="H150" s="154">
        <f>SUMIF('Notas fiscais - G200'!D:D,'Detalhamento - G200'!A150,'Notas fiscais - G200'!T:T)</f>
        <v>0</v>
      </c>
      <c r="I150" s="154">
        <f>VLOOKUP(A150,'Projeções - G200'!B:F,5,FALSE)</f>
        <v>0</v>
      </c>
      <c r="J150" s="154">
        <f t="shared" si="91"/>
        <v>0</v>
      </c>
      <c r="K150" s="154">
        <f t="shared" si="92"/>
        <v>0</v>
      </c>
      <c r="L150" s="261"/>
    </row>
    <row r="151" spans="1:12" outlineLevel="3">
      <c r="A151" s="146">
        <v>2001006012</v>
      </c>
      <c r="B151" s="147" t="s">
        <v>148</v>
      </c>
      <c r="C151" s="154">
        <v>0</v>
      </c>
      <c r="D151" s="154">
        <f>_xlfn.XLOOKUP(A151,'[1]CADASTRO CENTRO DE CUSTO-ALOCAÇ'!$A:$A,'[1]CADASTRO CENTRO DE CUSTO-ALOCAÇ'!$C:$C)</f>
        <v>0</v>
      </c>
      <c r="E151" s="154">
        <f t="shared" si="85"/>
        <v>0</v>
      </c>
      <c r="F151" s="154">
        <f>SUMIF('Contratos - G200'!E:E,'Detalhamento - G200'!A151,'Contratos - G200'!J:J)+SUMIF('Pedidos - G200'!D:D,'Detalhamento - G200'!A151,'Pedidos - G200'!H:H)</f>
        <v>0</v>
      </c>
      <c r="G151" s="154">
        <f t="shared" si="90"/>
        <v>0</v>
      </c>
      <c r="H151" s="154">
        <f>SUMIF('Notas fiscais - G200'!D:D,'Detalhamento - G200'!A151,'Notas fiscais - G200'!T:T)</f>
        <v>0</v>
      </c>
      <c r="I151" s="154">
        <f>VLOOKUP(A151,'Projeções - G200'!B:F,5,FALSE)</f>
        <v>0</v>
      </c>
      <c r="J151" s="154">
        <f t="shared" si="91"/>
        <v>0</v>
      </c>
      <c r="K151" s="154">
        <f t="shared" si="92"/>
        <v>0</v>
      </c>
      <c r="L151" s="261"/>
    </row>
    <row r="152" spans="1:12" outlineLevel="3">
      <c r="A152" s="146">
        <v>2001006013</v>
      </c>
      <c r="B152" s="147" t="s">
        <v>149</v>
      </c>
      <c r="C152" s="154">
        <v>2813.3</v>
      </c>
      <c r="D152" s="154">
        <f>_xlfn.XLOOKUP(A152,'[1]CADASTRO CENTRO DE CUSTO-ALOCAÇ'!$A:$A,'[1]CADASTRO CENTRO DE CUSTO-ALOCAÇ'!$C:$C)</f>
        <v>2813.3</v>
      </c>
      <c r="E152" s="154">
        <f t="shared" si="85"/>
        <v>0</v>
      </c>
      <c r="F152" s="154">
        <f>SUMIF('Contratos - G200'!E:E,'Detalhamento - G200'!A152,'Contratos - G200'!J:J)+SUMIF('Pedidos - G200'!D:D,'Detalhamento - G200'!A152,'Pedidos - G200'!H:H)</f>
        <v>2813.3</v>
      </c>
      <c r="G152" s="154">
        <f t="shared" si="90"/>
        <v>0</v>
      </c>
      <c r="H152" s="154">
        <f>SUMIF('Notas fiscais - G200'!D:D,'Detalhamento - G200'!A152,'Notas fiscais - G200'!T:T)</f>
        <v>2813.3</v>
      </c>
      <c r="I152" s="154">
        <f>VLOOKUP(A152,'Projeções - G200'!B:F,5,FALSE)</f>
        <v>0</v>
      </c>
      <c r="J152" s="154">
        <f t="shared" si="91"/>
        <v>2813.3</v>
      </c>
      <c r="K152" s="154">
        <f t="shared" si="92"/>
        <v>0</v>
      </c>
      <c r="L152" s="261"/>
    </row>
    <row r="153" spans="1:12" outlineLevel="3">
      <c r="A153" s="146">
        <v>2001006014</v>
      </c>
      <c r="B153" s="147" t="s">
        <v>150</v>
      </c>
      <c r="C153" s="154">
        <v>0</v>
      </c>
      <c r="D153" s="154">
        <f>_xlfn.XLOOKUP(A153,'[1]CADASTRO CENTRO DE CUSTO-ALOCAÇ'!$A:$A,'[1]CADASTRO CENTRO DE CUSTO-ALOCAÇ'!$C:$C)</f>
        <v>0</v>
      </c>
      <c r="E153" s="154">
        <f t="shared" si="85"/>
        <v>0</v>
      </c>
      <c r="F153" s="154">
        <f>SUMIF('Contratos - G200'!E:E,'Detalhamento - G200'!A153,'Contratos - G200'!J:J)+SUMIF('Pedidos - G200'!D:D,'Detalhamento - G200'!A153,'Pedidos - G200'!H:H)</f>
        <v>0</v>
      </c>
      <c r="G153" s="154">
        <f t="shared" si="90"/>
        <v>0</v>
      </c>
      <c r="H153" s="154">
        <f>SUMIF('Notas fiscais - G200'!D:D,'Detalhamento - G200'!A153,'Notas fiscais - G200'!T:T)</f>
        <v>0</v>
      </c>
      <c r="I153" s="154">
        <f>VLOOKUP(A153,'Projeções - G200'!B:F,5,FALSE)</f>
        <v>0</v>
      </c>
      <c r="J153" s="154">
        <f t="shared" si="91"/>
        <v>0</v>
      </c>
      <c r="K153" s="154">
        <f t="shared" si="92"/>
        <v>0</v>
      </c>
      <c r="L153" s="261"/>
    </row>
    <row r="154" spans="1:12" outlineLevel="3">
      <c r="A154" s="146">
        <v>2001006015</v>
      </c>
      <c r="B154" s="147" t="s">
        <v>151</v>
      </c>
      <c r="C154" s="154">
        <v>0</v>
      </c>
      <c r="D154" s="154">
        <f>_xlfn.XLOOKUP(A154,'[1]CADASTRO CENTRO DE CUSTO-ALOCAÇ'!$A:$A,'[1]CADASTRO CENTRO DE CUSTO-ALOCAÇ'!$C:$C)</f>
        <v>0</v>
      </c>
      <c r="E154" s="154">
        <f t="shared" si="85"/>
        <v>0</v>
      </c>
      <c r="F154" s="154">
        <f>SUMIF('Contratos - G200'!E:E,'Detalhamento - G200'!A154,'Contratos - G200'!J:J)+SUMIF('Pedidos - G200'!D:D,'Detalhamento - G200'!A154,'Pedidos - G200'!H:H)</f>
        <v>0</v>
      </c>
      <c r="G154" s="154">
        <f t="shared" si="90"/>
        <v>0</v>
      </c>
      <c r="H154" s="154">
        <f>SUMIF('Notas fiscais - G200'!D:D,'Detalhamento - G200'!A154,'Notas fiscais - G200'!T:T)</f>
        <v>0</v>
      </c>
      <c r="I154" s="154">
        <f>VLOOKUP(A154,'Projeções - G200'!B:F,5,FALSE)</f>
        <v>0</v>
      </c>
      <c r="J154" s="154">
        <f t="shared" si="91"/>
        <v>0</v>
      </c>
      <c r="K154" s="154">
        <f t="shared" si="92"/>
        <v>0</v>
      </c>
      <c r="L154" s="261"/>
    </row>
    <row r="155" spans="1:12" outlineLevel="3">
      <c r="A155" s="146">
        <v>2001006016</v>
      </c>
      <c r="B155" s="147" t="s">
        <v>152</v>
      </c>
      <c r="C155" s="154">
        <v>0</v>
      </c>
      <c r="D155" s="154">
        <f>_xlfn.XLOOKUP(A155,'[1]CADASTRO CENTRO DE CUSTO-ALOCAÇ'!$A:$A,'[1]CADASTRO CENTRO DE CUSTO-ALOCAÇ'!$C:$C)</f>
        <v>0</v>
      </c>
      <c r="E155" s="154">
        <f t="shared" si="85"/>
        <v>0</v>
      </c>
      <c r="F155" s="154">
        <f>SUMIF('Contratos - G200'!E:E,'Detalhamento - G200'!A155,'Contratos - G200'!J:J)+SUMIF('Pedidos - G200'!D:D,'Detalhamento - G200'!A155,'Pedidos - G200'!H:H)</f>
        <v>0</v>
      </c>
      <c r="G155" s="154">
        <f t="shared" si="90"/>
        <v>0</v>
      </c>
      <c r="H155" s="154">
        <f>SUMIF('Notas fiscais - G200'!D:D,'Detalhamento - G200'!A155,'Notas fiscais - G200'!T:T)</f>
        <v>0</v>
      </c>
      <c r="I155" s="154">
        <f>VLOOKUP(A155,'Projeções - G200'!B:F,5,FALSE)</f>
        <v>0</v>
      </c>
      <c r="J155" s="154">
        <f t="shared" si="91"/>
        <v>0</v>
      </c>
      <c r="K155" s="154">
        <f t="shared" si="92"/>
        <v>0</v>
      </c>
      <c r="L155" s="261"/>
    </row>
    <row r="156" spans="1:12" outlineLevel="3">
      <c r="A156" s="146">
        <v>2001006017</v>
      </c>
      <c r="B156" s="147" t="s">
        <v>153</v>
      </c>
      <c r="C156" s="154">
        <v>0</v>
      </c>
      <c r="D156" s="154">
        <f>_xlfn.XLOOKUP(A156,'[1]CADASTRO CENTRO DE CUSTO-ALOCAÇ'!$A:$A,'[1]CADASTRO CENTRO DE CUSTO-ALOCAÇ'!$C:$C)</f>
        <v>0</v>
      </c>
      <c r="E156" s="154">
        <f t="shared" si="85"/>
        <v>0</v>
      </c>
      <c r="F156" s="154">
        <f>SUMIF('Contratos - G200'!E:E,'Detalhamento - G200'!A156,'Contratos - G200'!J:J)+SUMIF('Pedidos - G200'!D:D,'Detalhamento - G200'!A156,'Pedidos - G200'!H:H)</f>
        <v>0</v>
      </c>
      <c r="G156" s="154">
        <f t="shared" si="90"/>
        <v>0</v>
      </c>
      <c r="H156" s="154">
        <f>SUMIF('Notas fiscais - G200'!D:D,'Detalhamento - G200'!A156,'Notas fiscais - G200'!T:T)</f>
        <v>0</v>
      </c>
      <c r="I156" s="154">
        <f>VLOOKUP(A156,'Projeções - G200'!B:F,5,FALSE)</f>
        <v>0</v>
      </c>
      <c r="J156" s="154">
        <f t="shared" si="91"/>
        <v>0</v>
      </c>
      <c r="K156" s="154">
        <f t="shared" si="92"/>
        <v>0</v>
      </c>
      <c r="L156" s="261"/>
    </row>
    <row r="157" spans="1:12" outlineLevel="3">
      <c r="A157" s="146">
        <v>2001006018</v>
      </c>
      <c r="B157" s="147" t="s">
        <v>154</v>
      </c>
      <c r="C157" s="154">
        <v>0</v>
      </c>
      <c r="D157" s="154">
        <f>_xlfn.XLOOKUP(A157,'[1]CADASTRO CENTRO DE CUSTO-ALOCAÇ'!$A:$A,'[1]CADASTRO CENTRO DE CUSTO-ALOCAÇ'!$C:$C)</f>
        <v>0</v>
      </c>
      <c r="E157" s="154">
        <f t="shared" si="85"/>
        <v>0</v>
      </c>
      <c r="F157" s="154">
        <f>SUMIF('Contratos - G200'!E:E,'Detalhamento - G200'!A157,'Contratos - G200'!J:J)+SUMIF('Pedidos - G200'!D:D,'Detalhamento - G200'!A157,'Pedidos - G200'!H:H)</f>
        <v>0</v>
      </c>
      <c r="G157" s="154">
        <f t="shared" si="90"/>
        <v>0</v>
      </c>
      <c r="H157" s="154">
        <f>SUMIF('Notas fiscais - G200'!D:D,'Detalhamento - G200'!A157,'Notas fiscais - G200'!T:T)</f>
        <v>0</v>
      </c>
      <c r="I157" s="154">
        <f>VLOOKUP(A157,'Projeções - G200'!B:F,5,FALSE)</f>
        <v>0</v>
      </c>
      <c r="J157" s="154">
        <f t="shared" si="91"/>
        <v>0</v>
      </c>
      <c r="K157" s="154">
        <f t="shared" si="92"/>
        <v>0</v>
      </c>
      <c r="L157" s="261"/>
    </row>
    <row r="158" spans="1:12" outlineLevel="3">
      <c r="A158" s="146">
        <v>2001006019</v>
      </c>
      <c r="B158" s="147" t="s">
        <v>155</v>
      </c>
      <c r="C158" s="154">
        <v>0</v>
      </c>
      <c r="D158" s="154">
        <f>_xlfn.XLOOKUP(A158,'[1]CADASTRO CENTRO DE CUSTO-ALOCAÇ'!$A:$A,'[1]CADASTRO CENTRO DE CUSTO-ALOCAÇ'!$C:$C)</f>
        <v>0</v>
      </c>
      <c r="E158" s="154">
        <f t="shared" si="85"/>
        <v>0</v>
      </c>
      <c r="F158" s="154">
        <f>SUMIF('Contratos - G200'!E:E,'Detalhamento - G200'!A158,'Contratos - G200'!J:J)+SUMIF('Pedidos - G200'!D:D,'Detalhamento - G200'!A158,'Pedidos - G200'!H:H)</f>
        <v>0</v>
      </c>
      <c r="G158" s="154">
        <f t="shared" si="90"/>
        <v>0</v>
      </c>
      <c r="H158" s="154">
        <f>SUMIF('Notas fiscais - G200'!D:D,'Detalhamento - G200'!A158,'Notas fiscais - G200'!T:T)</f>
        <v>0</v>
      </c>
      <c r="I158" s="154">
        <f>VLOOKUP(A158,'Projeções - G200'!B:F,5,FALSE)</f>
        <v>0</v>
      </c>
      <c r="J158" s="154">
        <f t="shared" si="91"/>
        <v>0</v>
      </c>
      <c r="K158" s="154">
        <f t="shared" si="92"/>
        <v>0</v>
      </c>
      <c r="L158" s="261"/>
    </row>
    <row r="159" spans="1:12" outlineLevel="3">
      <c r="A159" s="146">
        <v>2001006020</v>
      </c>
      <c r="B159" s="147" t="s">
        <v>156</v>
      </c>
      <c r="C159" s="154">
        <v>0</v>
      </c>
      <c r="D159" s="154">
        <f>_xlfn.XLOOKUP(A159,'[1]CADASTRO CENTRO DE CUSTO-ALOCAÇ'!$A:$A,'[1]CADASTRO CENTRO DE CUSTO-ALOCAÇ'!$C:$C)</f>
        <v>0</v>
      </c>
      <c r="E159" s="154">
        <f t="shared" si="85"/>
        <v>0</v>
      </c>
      <c r="F159" s="154">
        <f>SUMIF('Contratos - G200'!E:E,'Detalhamento - G200'!A159,'Contratos - G200'!J:J)+SUMIF('Pedidos - G200'!D:D,'Detalhamento - G200'!A159,'Pedidos - G200'!H:H)</f>
        <v>0</v>
      </c>
      <c r="G159" s="154">
        <f t="shared" si="90"/>
        <v>0</v>
      </c>
      <c r="H159" s="154">
        <f>SUMIF('Notas fiscais - G200'!D:D,'Detalhamento - G200'!A159,'Notas fiscais - G200'!T:T)</f>
        <v>0</v>
      </c>
      <c r="I159" s="154">
        <f>VLOOKUP(A159,'Projeções - G200'!B:F,5,FALSE)</f>
        <v>0</v>
      </c>
      <c r="J159" s="154">
        <f t="shared" si="91"/>
        <v>0</v>
      </c>
      <c r="K159" s="154">
        <f t="shared" si="92"/>
        <v>0</v>
      </c>
      <c r="L159" s="261"/>
    </row>
    <row r="160" spans="1:12" outlineLevel="2">
      <c r="A160" s="144">
        <v>2001007</v>
      </c>
      <c r="B160" s="145" t="s">
        <v>157</v>
      </c>
      <c r="C160" s="254">
        <f>SUBTOTAL(9,C161:C163)</f>
        <v>25100</v>
      </c>
      <c r="D160" s="154">
        <f>_xlfn.XLOOKUP(A160,'[1]CADASTRO CENTRO DE CUSTO-ALOCAÇ'!$A:$A,'[1]CADASTRO CENTRO DE CUSTO-ALOCAÇ'!$C:$C)</f>
        <v>25100</v>
      </c>
      <c r="E160" s="154">
        <f t="shared" si="85"/>
        <v>0</v>
      </c>
      <c r="F160" s="254">
        <f t="shared" ref="F160:K160" si="93">SUBTOTAL(9,F161:F163)</f>
        <v>11200</v>
      </c>
      <c r="G160" s="254">
        <f t="shared" si="93"/>
        <v>13900</v>
      </c>
      <c r="H160" s="254">
        <f t="shared" si="93"/>
        <v>800</v>
      </c>
      <c r="I160" s="254">
        <f t="shared" si="93"/>
        <v>0</v>
      </c>
      <c r="J160" s="254">
        <f t="shared" si="93"/>
        <v>11200</v>
      </c>
      <c r="K160" s="254">
        <f t="shared" si="93"/>
        <v>13900</v>
      </c>
      <c r="L160" s="261"/>
    </row>
    <row r="161" spans="1:14" outlineLevel="3">
      <c r="A161" s="146">
        <v>2001007001</v>
      </c>
      <c r="B161" s="147" t="s">
        <v>158</v>
      </c>
      <c r="C161" s="154">
        <v>0</v>
      </c>
      <c r="D161" s="154">
        <f>_xlfn.XLOOKUP(A161,'[1]CADASTRO CENTRO DE CUSTO-ALOCAÇ'!$A:$A,'[1]CADASTRO CENTRO DE CUSTO-ALOCAÇ'!$C:$C)</f>
        <v>0</v>
      </c>
      <c r="E161" s="154">
        <f t="shared" si="85"/>
        <v>0</v>
      </c>
      <c r="F161" s="154">
        <f>SUMIF('Contratos - G200'!E:E,'Detalhamento - G200'!A161,'Contratos - G200'!J:J)+SUMIF('Pedidos - G200'!D:D,'Detalhamento - G200'!A161,'Pedidos - G200'!H:H)</f>
        <v>0</v>
      </c>
      <c r="G161" s="154">
        <f t="shared" ref="G161:G163" si="94">C161-F161</f>
        <v>0</v>
      </c>
      <c r="H161" s="154">
        <f>SUMIF('Notas fiscais - G200'!D:D,'Detalhamento - G200'!A161,'Notas fiscais - G200'!T:T)</f>
        <v>0</v>
      </c>
      <c r="I161" s="154">
        <f>VLOOKUP(A161,'Projeções - G200'!B:F,5,FALSE)</f>
        <v>0</v>
      </c>
      <c r="J161" s="154">
        <f t="shared" ref="J161:J163" si="95">F161+I161</f>
        <v>0</v>
      </c>
      <c r="K161" s="154">
        <f>C161-J161</f>
        <v>0</v>
      </c>
      <c r="L161" s="261"/>
    </row>
    <row r="162" spans="1:14" outlineLevel="3">
      <c r="A162" s="146">
        <v>2001007002</v>
      </c>
      <c r="B162" s="147" t="s">
        <v>159</v>
      </c>
      <c r="C162" s="154">
        <v>0</v>
      </c>
      <c r="D162" s="154">
        <f>_xlfn.XLOOKUP(A162,'[1]CADASTRO CENTRO DE CUSTO-ALOCAÇ'!$A:$A,'[1]CADASTRO CENTRO DE CUSTO-ALOCAÇ'!$C:$C)</f>
        <v>0</v>
      </c>
      <c r="E162" s="154">
        <f t="shared" si="85"/>
        <v>0</v>
      </c>
      <c r="F162" s="154">
        <f>SUMIF('Contratos - G200'!E:E,'Detalhamento - G200'!A162,'Contratos - G200'!J:J)+SUMIF('Pedidos - G200'!D:D,'Detalhamento - G200'!A162,'Pedidos - G200'!H:H)</f>
        <v>0</v>
      </c>
      <c r="G162" s="154">
        <f t="shared" si="94"/>
        <v>0</v>
      </c>
      <c r="H162" s="154">
        <f>SUMIF('Notas fiscais - G200'!D:D,'Detalhamento - G200'!A162,'Notas fiscais - G200'!T:T)</f>
        <v>0</v>
      </c>
      <c r="I162" s="154">
        <f>VLOOKUP(A162,'Projeções - G200'!B:F,5,FALSE)</f>
        <v>0</v>
      </c>
      <c r="J162" s="154">
        <f t="shared" si="95"/>
        <v>0</v>
      </c>
      <c r="K162" s="154">
        <f>C162-J162</f>
        <v>0</v>
      </c>
      <c r="L162" s="261"/>
    </row>
    <row r="163" spans="1:14" outlineLevel="3">
      <c r="A163" s="146">
        <v>2001007003</v>
      </c>
      <c r="B163" s="147" t="s">
        <v>160</v>
      </c>
      <c r="C163" s="154">
        <v>25100</v>
      </c>
      <c r="D163" s="154">
        <f>_xlfn.XLOOKUP(A163,'[1]CADASTRO CENTRO DE CUSTO-ALOCAÇ'!$A:$A,'[1]CADASTRO CENTRO DE CUSTO-ALOCAÇ'!$C:$C)</f>
        <v>25100</v>
      </c>
      <c r="E163" s="154">
        <f t="shared" si="85"/>
        <v>0</v>
      </c>
      <c r="F163" s="154">
        <f>SUMIF('Contratos - G200'!E:E,'Detalhamento - G200'!A163,'Contratos - G200'!J:J)+SUMIF('Pedidos - G200'!D:D,'Detalhamento - G200'!A163,'Pedidos - G200'!H:H)</f>
        <v>11200</v>
      </c>
      <c r="G163" s="154">
        <f t="shared" si="94"/>
        <v>13900</v>
      </c>
      <c r="H163" s="154">
        <f>SUMIF('Notas fiscais - G200'!D:D,'Detalhamento - G200'!A163,'Notas fiscais - G200'!T:T)</f>
        <v>800</v>
      </c>
      <c r="I163" s="154">
        <f>VLOOKUP(A163,'Projeções - G200'!B:F,5,FALSE)</f>
        <v>0</v>
      </c>
      <c r="J163" s="154">
        <f t="shared" si="95"/>
        <v>11200</v>
      </c>
      <c r="K163" s="154">
        <f>C163-J163</f>
        <v>13900</v>
      </c>
      <c r="L163" s="261"/>
    </row>
    <row r="164" spans="1:14" outlineLevel="2">
      <c r="A164" s="144">
        <v>2001008</v>
      </c>
      <c r="B164" s="145" t="s">
        <v>161</v>
      </c>
      <c r="C164" s="254">
        <f>SUBTOTAL(9,C165:C167)</f>
        <v>13682.15</v>
      </c>
      <c r="D164" s="154">
        <f>_xlfn.XLOOKUP(A164,'[1]CADASTRO CENTRO DE CUSTO-ALOCAÇ'!$A:$A,'[1]CADASTRO CENTRO DE CUSTO-ALOCAÇ'!$C:$C)</f>
        <v>13682.15</v>
      </c>
      <c r="E164" s="154">
        <f t="shared" si="85"/>
        <v>0</v>
      </c>
      <c r="F164" s="254">
        <f t="shared" ref="F164:K164" si="96">SUBTOTAL(9,F165:F167)</f>
        <v>13682.15</v>
      </c>
      <c r="G164" s="254">
        <f t="shared" si="96"/>
        <v>0</v>
      </c>
      <c r="H164" s="254">
        <f t="shared" si="96"/>
        <v>5543.41</v>
      </c>
      <c r="I164" s="254">
        <f t="shared" si="96"/>
        <v>0</v>
      </c>
      <c r="J164" s="254">
        <f t="shared" si="96"/>
        <v>13682.15</v>
      </c>
      <c r="K164" s="254">
        <f t="shared" si="96"/>
        <v>0</v>
      </c>
      <c r="L164" s="261"/>
    </row>
    <row r="165" spans="1:14" s="139" customFormat="1" outlineLevel="3">
      <c r="A165" s="146">
        <v>2001008001</v>
      </c>
      <c r="B165" s="147" t="s">
        <v>162</v>
      </c>
      <c r="C165" s="154">
        <v>13682.15</v>
      </c>
      <c r="D165" s="154">
        <f>_xlfn.XLOOKUP(A165,'[1]CADASTRO CENTRO DE CUSTO-ALOCAÇ'!$A:$A,'[1]CADASTRO CENTRO DE CUSTO-ALOCAÇ'!$C:$C)</f>
        <v>13682.15</v>
      </c>
      <c r="E165" s="154">
        <f t="shared" si="85"/>
        <v>0</v>
      </c>
      <c r="F165" s="154">
        <f>SUMIF('Contratos - G200'!E:E,'Detalhamento - G200'!A165,'Contratos - G200'!J:J)+SUMIF('Pedidos - G200'!D:D,'Detalhamento - G200'!A165,'Pedidos - G200'!H:H)</f>
        <v>13682.15</v>
      </c>
      <c r="G165" s="154">
        <f t="shared" ref="G165:G167" si="97">C165-F165</f>
        <v>0</v>
      </c>
      <c r="H165" s="154">
        <f>SUMIF('Notas fiscais - G200'!D:D,'Detalhamento - G200'!A165,'Notas fiscais - G200'!T:T)</f>
        <v>5543.41</v>
      </c>
      <c r="I165" s="154">
        <f>VLOOKUP(A165,'Projeções - G200'!B:F,5,FALSE)</f>
        <v>0</v>
      </c>
      <c r="J165" s="154">
        <f t="shared" ref="J165:J167" si="98">F165+I165</f>
        <v>13682.15</v>
      </c>
      <c r="K165" s="154">
        <f>C165-J165</f>
        <v>0</v>
      </c>
      <c r="L165" s="261"/>
      <c r="M165" s="247"/>
      <c r="N165" s="247"/>
    </row>
    <row r="166" spans="1:14" outlineLevel="3">
      <c r="A166" s="146">
        <v>2001008002</v>
      </c>
      <c r="B166" s="147" t="s">
        <v>163</v>
      </c>
      <c r="C166" s="154">
        <v>0</v>
      </c>
      <c r="D166" s="154">
        <f>_xlfn.XLOOKUP(A166,'[1]CADASTRO CENTRO DE CUSTO-ALOCAÇ'!$A:$A,'[1]CADASTRO CENTRO DE CUSTO-ALOCAÇ'!$C:$C)</f>
        <v>0</v>
      </c>
      <c r="E166" s="154">
        <f t="shared" si="85"/>
        <v>0</v>
      </c>
      <c r="F166" s="154">
        <f>SUMIF('Contratos - G200'!E:E,'Detalhamento - G200'!A166,'Contratos - G200'!J:J)+SUMIF('Pedidos - G200'!D:D,'Detalhamento - G200'!A166,'Pedidos - G200'!H:H)</f>
        <v>0</v>
      </c>
      <c r="G166" s="154">
        <f t="shared" si="97"/>
        <v>0</v>
      </c>
      <c r="H166" s="154">
        <f>SUMIF('Notas fiscais - G200'!D:D,'Detalhamento - G200'!A166,'Notas fiscais - G200'!T:T)</f>
        <v>0</v>
      </c>
      <c r="I166" s="154">
        <f>VLOOKUP(A166,'Projeções - G200'!B:F,5,FALSE)</f>
        <v>0</v>
      </c>
      <c r="J166" s="154">
        <f t="shared" si="98"/>
        <v>0</v>
      </c>
      <c r="K166" s="154">
        <f>C166-J166</f>
        <v>0</v>
      </c>
      <c r="L166" s="261"/>
    </row>
    <row r="167" spans="1:14" outlineLevel="3">
      <c r="A167" s="146">
        <v>2001008003</v>
      </c>
      <c r="B167" s="147" t="s">
        <v>164</v>
      </c>
      <c r="C167" s="154">
        <v>0</v>
      </c>
      <c r="D167" s="154">
        <f>_xlfn.XLOOKUP(A167,'[1]CADASTRO CENTRO DE CUSTO-ALOCAÇ'!$A:$A,'[1]CADASTRO CENTRO DE CUSTO-ALOCAÇ'!$C:$C)</f>
        <v>0</v>
      </c>
      <c r="E167" s="154">
        <f t="shared" si="85"/>
        <v>0</v>
      </c>
      <c r="F167" s="154">
        <f>SUMIF('Contratos - G200'!E:E,'Detalhamento - G200'!A167,'Contratos - G200'!J:J)+SUMIF('Pedidos - G200'!D:D,'Detalhamento - G200'!A167,'Pedidos - G200'!H:H)</f>
        <v>0</v>
      </c>
      <c r="G167" s="154">
        <f t="shared" si="97"/>
        <v>0</v>
      </c>
      <c r="H167" s="154">
        <f>SUMIF('Notas fiscais - G200'!D:D,'Detalhamento - G200'!A167,'Notas fiscais - G200'!T:T)</f>
        <v>0</v>
      </c>
      <c r="I167" s="154">
        <f>VLOOKUP(A167,'Projeções - G200'!B:F,5,FALSE)</f>
        <v>0</v>
      </c>
      <c r="J167" s="154">
        <f t="shared" si="98"/>
        <v>0</v>
      </c>
      <c r="K167" s="154">
        <f>C167-J167</f>
        <v>0</v>
      </c>
      <c r="L167" s="261"/>
    </row>
    <row r="168" spans="1:14" outlineLevel="2">
      <c r="A168" s="144">
        <v>2001009</v>
      </c>
      <c r="B168" s="145" t="s">
        <v>165</v>
      </c>
      <c r="C168" s="254">
        <f>SUBTOTAL(9,C169:C171)</f>
        <v>0</v>
      </c>
      <c r="D168" s="154">
        <f>_xlfn.XLOOKUP(A168,'[1]CADASTRO CENTRO DE CUSTO-ALOCAÇ'!$A:$A,'[1]CADASTRO CENTRO DE CUSTO-ALOCAÇ'!$C:$C)</f>
        <v>0</v>
      </c>
      <c r="E168" s="154">
        <f t="shared" si="85"/>
        <v>0</v>
      </c>
      <c r="F168" s="254">
        <f t="shared" ref="F168:K168" si="99">SUBTOTAL(9,F169:F171)</f>
        <v>0</v>
      </c>
      <c r="G168" s="254">
        <f t="shared" si="99"/>
        <v>0</v>
      </c>
      <c r="H168" s="254">
        <f t="shared" si="99"/>
        <v>0</v>
      </c>
      <c r="I168" s="254">
        <f t="shared" si="99"/>
        <v>0</v>
      </c>
      <c r="J168" s="254">
        <f t="shared" si="99"/>
        <v>0</v>
      </c>
      <c r="K168" s="254">
        <f t="shared" si="99"/>
        <v>0</v>
      </c>
      <c r="L168" s="261"/>
    </row>
    <row r="169" spans="1:14" outlineLevel="3">
      <c r="A169" s="146">
        <v>2001009001</v>
      </c>
      <c r="B169" s="147" t="s">
        <v>166</v>
      </c>
      <c r="C169" s="154">
        <v>0</v>
      </c>
      <c r="D169" s="154">
        <f>_xlfn.XLOOKUP(A169,'[1]CADASTRO CENTRO DE CUSTO-ALOCAÇ'!$A:$A,'[1]CADASTRO CENTRO DE CUSTO-ALOCAÇ'!$C:$C)</f>
        <v>0</v>
      </c>
      <c r="E169" s="154">
        <f t="shared" si="85"/>
        <v>0</v>
      </c>
      <c r="F169" s="154">
        <f>SUMIF('Contratos - G200'!E:E,'Detalhamento - G200'!A169,'Contratos - G200'!J:J)+SUMIF('Pedidos - G200'!D:D,'Detalhamento - G200'!A169,'Pedidos - G200'!H:H)</f>
        <v>0</v>
      </c>
      <c r="G169" s="154">
        <f t="shared" ref="G169:G171" si="100">C169-F169</f>
        <v>0</v>
      </c>
      <c r="H169" s="154">
        <f>SUMIF('Notas fiscais - G200'!D:D,'Detalhamento - G200'!A169,'Notas fiscais - G200'!T:T)</f>
        <v>0</v>
      </c>
      <c r="I169" s="154">
        <f>VLOOKUP(A169,'Projeções - G200'!B:F,5,FALSE)</f>
        <v>0</v>
      </c>
      <c r="J169" s="154">
        <f t="shared" ref="J169:J171" si="101">F169+I169</f>
        <v>0</v>
      </c>
      <c r="K169" s="154">
        <f>C169-J169</f>
        <v>0</v>
      </c>
      <c r="L169" s="261"/>
    </row>
    <row r="170" spans="1:14" outlineLevel="3">
      <c r="A170" s="146">
        <v>2001009002</v>
      </c>
      <c r="B170" s="147" t="s">
        <v>167</v>
      </c>
      <c r="C170" s="154">
        <v>0</v>
      </c>
      <c r="D170" s="154">
        <f>_xlfn.XLOOKUP(A170,'[1]CADASTRO CENTRO DE CUSTO-ALOCAÇ'!$A:$A,'[1]CADASTRO CENTRO DE CUSTO-ALOCAÇ'!$C:$C)</f>
        <v>0</v>
      </c>
      <c r="E170" s="154">
        <f t="shared" si="85"/>
        <v>0</v>
      </c>
      <c r="F170" s="154">
        <f>SUMIF('Contratos - G200'!E:E,'Detalhamento - G200'!A170,'Contratos - G200'!J:J)+SUMIF('Pedidos - G200'!D:D,'Detalhamento - G200'!A170,'Pedidos - G200'!H:H)</f>
        <v>0</v>
      </c>
      <c r="G170" s="154">
        <f t="shared" si="100"/>
        <v>0</v>
      </c>
      <c r="H170" s="154">
        <f>SUMIF('Notas fiscais - G200'!D:D,'Detalhamento - G200'!A170,'Notas fiscais - G200'!T:T)</f>
        <v>0</v>
      </c>
      <c r="I170" s="154">
        <f>VLOOKUP(A170,'Projeções - G200'!B:F,5,FALSE)</f>
        <v>0</v>
      </c>
      <c r="J170" s="154">
        <f t="shared" si="101"/>
        <v>0</v>
      </c>
      <c r="K170" s="154">
        <f>C170-J170</f>
        <v>0</v>
      </c>
      <c r="L170" s="261"/>
    </row>
    <row r="171" spans="1:14" outlineLevel="3">
      <c r="A171" s="146">
        <v>2001009003</v>
      </c>
      <c r="B171" s="147" t="s">
        <v>168</v>
      </c>
      <c r="C171" s="154">
        <v>0</v>
      </c>
      <c r="D171" s="154">
        <f>_xlfn.XLOOKUP(A171,'[1]CADASTRO CENTRO DE CUSTO-ALOCAÇ'!$A:$A,'[1]CADASTRO CENTRO DE CUSTO-ALOCAÇ'!$C:$C)</f>
        <v>0</v>
      </c>
      <c r="E171" s="154">
        <f t="shared" si="85"/>
        <v>0</v>
      </c>
      <c r="F171" s="154">
        <f>SUMIF('Contratos - G200'!E:E,'Detalhamento - G200'!A171,'Contratos - G200'!J:J)+SUMIF('Pedidos - G200'!D:D,'Detalhamento - G200'!A171,'Pedidos - G200'!H:H)</f>
        <v>0</v>
      </c>
      <c r="G171" s="154">
        <f t="shared" si="100"/>
        <v>0</v>
      </c>
      <c r="H171" s="154">
        <f>SUMIF('Notas fiscais - G200'!D:D,'Detalhamento - G200'!A171,'Notas fiscais - G200'!T:T)</f>
        <v>0</v>
      </c>
      <c r="I171" s="154">
        <f>VLOOKUP(A171,'Projeções - G200'!B:F,5,FALSE)</f>
        <v>0</v>
      </c>
      <c r="J171" s="154">
        <f t="shared" si="101"/>
        <v>0</v>
      </c>
      <c r="K171" s="154">
        <f>C171-J171</f>
        <v>0</v>
      </c>
      <c r="L171" s="261"/>
    </row>
    <row r="172" spans="1:14" outlineLevel="2">
      <c r="A172" s="144">
        <v>2001010</v>
      </c>
      <c r="B172" s="145" t="s">
        <v>169</v>
      </c>
      <c r="C172" s="254">
        <f>SUBTOTAL(9,C173)</f>
        <v>2301.0300000000002</v>
      </c>
      <c r="D172" s="154">
        <f>_xlfn.XLOOKUP(A172,'[1]CADASTRO CENTRO DE CUSTO-ALOCAÇ'!$A:$A,'[1]CADASTRO CENTRO DE CUSTO-ALOCAÇ'!$C:$C)</f>
        <v>2301.0300000000002</v>
      </c>
      <c r="E172" s="154">
        <f t="shared" si="85"/>
        <v>0</v>
      </c>
      <c r="F172" s="254">
        <f t="shared" ref="F172:K172" si="102">SUBTOTAL(9,F173)</f>
        <v>2301.0300000000002</v>
      </c>
      <c r="G172" s="254">
        <f t="shared" si="102"/>
        <v>0</v>
      </c>
      <c r="H172" s="254">
        <f t="shared" si="102"/>
        <v>2301.0300000000002</v>
      </c>
      <c r="I172" s="254">
        <f t="shared" si="102"/>
        <v>0</v>
      </c>
      <c r="J172" s="254">
        <f t="shared" si="102"/>
        <v>2301.0300000000002</v>
      </c>
      <c r="K172" s="254">
        <f t="shared" si="102"/>
        <v>0</v>
      </c>
      <c r="L172" s="261"/>
    </row>
    <row r="173" spans="1:14" outlineLevel="3">
      <c r="A173" s="146">
        <v>2001010001</v>
      </c>
      <c r="B173" s="147" t="s">
        <v>170</v>
      </c>
      <c r="C173" s="154">
        <v>2301.0300000000002</v>
      </c>
      <c r="D173" s="154">
        <f>_xlfn.XLOOKUP(A173,'[1]CADASTRO CENTRO DE CUSTO-ALOCAÇ'!$A:$A,'[1]CADASTRO CENTRO DE CUSTO-ALOCAÇ'!$C:$C)</f>
        <v>2301.0300000000002</v>
      </c>
      <c r="E173" s="154">
        <f t="shared" si="85"/>
        <v>0</v>
      </c>
      <c r="F173" s="154">
        <f>SUMIF('Contratos - G200'!E:E,'Detalhamento - G200'!A173,'Contratos - G200'!J:J)+SUMIF('Pedidos - G200'!D:D,'Detalhamento - G200'!A173,'Pedidos - G200'!H:H)</f>
        <v>2301.0300000000002</v>
      </c>
      <c r="G173" s="154">
        <f t="shared" ref="G173" si="103">C173-F173</f>
        <v>0</v>
      </c>
      <c r="H173" s="154">
        <f>SUMIF('Notas fiscais - G200'!D:D,'Detalhamento - G200'!A173,'Notas fiscais - G200'!T:T)</f>
        <v>2301.0300000000002</v>
      </c>
      <c r="I173" s="154">
        <f>VLOOKUP(A173,'Projeções - G200'!B:F,5,FALSE)</f>
        <v>0</v>
      </c>
      <c r="J173" s="154">
        <f>F173+I173</f>
        <v>2301.0300000000002</v>
      </c>
      <c r="K173" s="154">
        <f>C173-J173</f>
        <v>0</v>
      </c>
      <c r="L173" s="261"/>
    </row>
    <row r="174" spans="1:14" outlineLevel="2">
      <c r="A174" s="144">
        <v>2001011</v>
      </c>
      <c r="B174" s="145" t="s">
        <v>171</v>
      </c>
      <c r="C174" s="254">
        <f>SUBTOTAL(9,C175:C183)</f>
        <v>28020</v>
      </c>
      <c r="D174" s="154">
        <f>_xlfn.XLOOKUP(A174,'[1]CADASTRO CENTRO DE CUSTO-ALOCAÇ'!$A:$A,'[1]CADASTRO CENTRO DE CUSTO-ALOCAÇ'!$C:$C)</f>
        <v>28020</v>
      </c>
      <c r="E174" s="154">
        <f t="shared" si="85"/>
        <v>0</v>
      </c>
      <c r="F174" s="254">
        <f t="shared" ref="F174:K174" si="104">SUBTOTAL(9,F175:F183)</f>
        <v>28020</v>
      </c>
      <c r="G174" s="254">
        <f t="shared" si="104"/>
        <v>0</v>
      </c>
      <c r="H174" s="254">
        <f t="shared" si="104"/>
        <v>3622.6000000000004</v>
      </c>
      <c r="I174" s="254">
        <f t="shared" si="104"/>
        <v>0</v>
      </c>
      <c r="J174" s="254">
        <f t="shared" si="104"/>
        <v>28020</v>
      </c>
      <c r="K174" s="254">
        <f t="shared" si="104"/>
        <v>0</v>
      </c>
      <c r="L174" s="261"/>
    </row>
    <row r="175" spans="1:14" outlineLevel="3">
      <c r="A175" s="146">
        <v>2001011001</v>
      </c>
      <c r="B175" s="147" t="s">
        <v>172</v>
      </c>
      <c r="C175" s="154">
        <v>28020</v>
      </c>
      <c r="D175" s="154">
        <f>_xlfn.XLOOKUP(A175,'[1]CADASTRO CENTRO DE CUSTO-ALOCAÇ'!$A:$A,'[1]CADASTRO CENTRO DE CUSTO-ALOCAÇ'!$C:$C)</f>
        <v>28020</v>
      </c>
      <c r="E175" s="154">
        <f t="shared" si="85"/>
        <v>0</v>
      </c>
      <c r="F175" s="154">
        <f>SUMIF('Contratos - G200'!E:E,'Detalhamento - G200'!A175,'Contratos - G200'!J:J)+SUMIF('Pedidos - G200'!D:D,'Detalhamento - G200'!A175,'Pedidos - G200'!H:H)</f>
        <v>28020</v>
      </c>
      <c r="G175" s="154">
        <f t="shared" ref="G175:G183" si="105">C175-F175</f>
        <v>0</v>
      </c>
      <c r="H175" s="154">
        <f>SUMIF('Notas fiscais - G200'!D:D,'Detalhamento - G200'!A175,'Notas fiscais - G200'!T:T)</f>
        <v>3622.6000000000004</v>
      </c>
      <c r="I175" s="154">
        <f>VLOOKUP(A175,'Projeções - G200'!B:F,5,FALSE)</f>
        <v>0</v>
      </c>
      <c r="J175" s="154">
        <f t="shared" ref="J175:J183" si="106">F175+I175</f>
        <v>28020</v>
      </c>
      <c r="K175" s="154">
        <f t="shared" ref="K175:K183" si="107">C175-J175</f>
        <v>0</v>
      </c>
      <c r="L175" s="261"/>
    </row>
    <row r="176" spans="1:14" outlineLevel="3">
      <c r="A176" s="146">
        <v>2001011002</v>
      </c>
      <c r="B176" s="147" t="s">
        <v>173</v>
      </c>
      <c r="C176" s="154">
        <v>0</v>
      </c>
      <c r="D176" s="154">
        <f>_xlfn.XLOOKUP(A176,'[1]CADASTRO CENTRO DE CUSTO-ALOCAÇ'!$A:$A,'[1]CADASTRO CENTRO DE CUSTO-ALOCAÇ'!$C:$C)</f>
        <v>0</v>
      </c>
      <c r="E176" s="154">
        <f t="shared" si="85"/>
        <v>0</v>
      </c>
      <c r="F176" s="154">
        <f>SUMIF('Contratos - G200'!E:E,'Detalhamento - G200'!A176,'Contratos - G200'!J:J)+SUMIF('Pedidos - G200'!D:D,'Detalhamento - G200'!A176,'Pedidos - G200'!H:H)</f>
        <v>0</v>
      </c>
      <c r="G176" s="154">
        <f t="shared" si="105"/>
        <v>0</v>
      </c>
      <c r="H176" s="154">
        <f>SUMIF('Notas fiscais - G200'!D:D,'Detalhamento - G200'!A176,'Notas fiscais - G200'!T:T)</f>
        <v>0</v>
      </c>
      <c r="I176" s="154">
        <f>VLOOKUP(A176,'Projeções - G200'!B:F,5,FALSE)</f>
        <v>0</v>
      </c>
      <c r="J176" s="154">
        <f t="shared" si="106"/>
        <v>0</v>
      </c>
      <c r="K176" s="154">
        <f t="shared" si="107"/>
        <v>0</v>
      </c>
      <c r="L176" s="261"/>
    </row>
    <row r="177" spans="1:12" outlineLevel="3">
      <c r="A177" s="146">
        <v>2001011003</v>
      </c>
      <c r="B177" s="147" t="s">
        <v>174</v>
      </c>
      <c r="C177" s="154">
        <v>0</v>
      </c>
      <c r="D177" s="154">
        <f>_xlfn.XLOOKUP(A177,'[1]CADASTRO CENTRO DE CUSTO-ALOCAÇ'!$A:$A,'[1]CADASTRO CENTRO DE CUSTO-ALOCAÇ'!$C:$C)</f>
        <v>0</v>
      </c>
      <c r="E177" s="154">
        <f t="shared" si="85"/>
        <v>0</v>
      </c>
      <c r="F177" s="154">
        <f>SUMIF('Contratos - G200'!E:E,'Detalhamento - G200'!A177,'Contratos - G200'!J:J)+SUMIF('Pedidos - G200'!D:D,'Detalhamento - G200'!A177,'Pedidos - G200'!H:H)</f>
        <v>0</v>
      </c>
      <c r="G177" s="154">
        <f t="shared" si="105"/>
        <v>0</v>
      </c>
      <c r="H177" s="154">
        <f>SUMIF('Notas fiscais - G200'!D:D,'Detalhamento - G200'!A177,'Notas fiscais - G200'!T:T)</f>
        <v>0</v>
      </c>
      <c r="I177" s="154">
        <f>VLOOKUP(A177,'Projeções - G200'!B:F,5,FALSE)</f>
        <v>0</v>
      </c>
      <c r="J177" s="154">
        <f t="shared" si="106"/>
        <v>0</v>
      </c>
      <c r="K177" s="154">
        <f t="shared" si="107"/>
        <v>0</v>
      </c>
      <c r="L177" s="261"/>
    </row>
    <row r="178" spans="1:12" outlineLevel="3">
      <c r="A178" s="146">
        <v>2001011004</v>
      </c>
      <c r="B178" s="147" t="s">
        <v>175</v>
      </c>
      <c r="C178" s="154">
        <v>0</v>
      </c>
      <c r="D178" s="154">
        <f>_xlfn.XLOOKUP(A178,'[1]CADASTRO CENTRO DE CUSTO-ALOCAÇ'!$A:$A,'[1]CADASTRO CENTRO DE CUSTO-ALOCAÇ'!$C:$C)</f>
        <v>0</v>
      </c>
      <c r="E178" s="154">
        <f t="shared" si="85"/>
        <v>0</v>
      </c>
      <c r="F178" s="154">
        <f>SUMIF('Contratos - G200'!E:E,'Detalhamento - G200'!A178,'Contratos - G200'!J:J)+SUMIF('Pedidos - G200'!D:D,'Detalhamento - G200'!A178,'Pedidos - G200'!H:H)</f>
        <v>0</v>
      </c>
      <c r="G178" s="154">
        <f t="shared" si="105"/>
        <v>0</v>
      </c>
      <c r="H178" s="154">
        <f>SUMIF('Notas fiscais - G200'!D:D,'Detalhamento - G200'!A178,'Notas fiscais - G200'!T:T)</f>
        <v>0</v>
      </c>
      <c r="I178" s="154">
        <f>VLOOKUP(A178,'Projeções - G200'!B:F,5,FALSE)</f>
        <v>0</v>
      </c>
      <c r="J178" s="154">
        <f t="shared" si="106"/>
        <v>0</v>
      </c>
      <c r="K178" s="154">
        <f t="shared" si="107"/>
        <v>0</v>
      </c>
      <c r="L178" s="261"/>
    </row>
    <row r="179" spans="1:12" outlineLevel="3">
      <c r="A179" s="146">
        <v>2001011005</v>
      </c>
      <c r="B179" s="147" t="s">
        <v>176</v>
      </c>
      <c r="C179" s="154">
        <v>0</v>
      </c>
      <c r="D179" s="154">
        <f>_xlfn.XLOOKUP(A179,'[1]CADASTRO CENTRO DE CUSTO-ALOCAÇ'!$A:$A,'[1]CADASTRO CENTRO DE CUSTO-ALOCAÇ'!$C:$C)</f>
        <v>0</v>
      </c>
      <c r="E179" s="154">
        <f t="shared" si="85"/>
        <v>0</v>
      </c>
      <c r="F179" s="154">
        <f>SUMIF('Contratos - G200'!E:E,'Detalhamento - G200'!A179,'Contratos - G200'!J:J)+SUMIF('Pedidos - G200'!D:D,'Detalhamento - G200'!A179,'Pedidos - G200'!H:H)</f>
        <v>0</v>
      </c>
      <c r="G179" s="154">
        <f t="shared" si="105"/>
        <v>0</v>
      </c>
      <c r="H179" s="154">
        <f>SUMIF('Notas fiscais - G200'!D:D,'Detalhamento - G200'!A179,'Notas fiscais - G200'!T:T)</f>
        <v>0</v>
      </c>
      <c r="I179" s="154">
        <f>VLOOKUP(A179,'Projeções - G200'!B:F,5,FALSE)</f>
        <v>0</v>
      </c>
      <c r="J179" s="154">
        <f t="shared" si="106"/>
        <v>0</v>
      </c>
      <c r="K179" s="154">
        <f t="shared" si="107"/>
        <v>0</v>
      </c>
      <c r="L179" s="261"/>
    </row>
    <row r="180" spans="1:12" outlineLevel="3">
      <c r="A180" s="146">
        <v>2001011006</v>
      </c>
      <c r="B180" s="147" t="s">
        <v>177</v>
      </c>
      <c r="C180" s="154">
        <v>0</v>
      </c>
      <c r="D180" s="154">
        <f>_xlfn.XLOOKUP(A180,'[1]CADASTRO CENTRO DE CUSTO-ALOCAÇ'!$A:$A,'[1]CADASTRO CENTRO DE CUSTO-ALOCAÇ'!$C:$C)</f>
        <v>0</v>
      </c>
      <c r="E180" s="154">
        <f t="shared" si="85"/>
        <v>0</v>
      </c>
      <c r="F180" s="154">
        <f>SUMIF('Contratos - G200'!E:E,'Detalhamento - G200'!A180,'Contratos - G200'!J:J)+SUMIF('Pedidos - G200'!D:D,'Detalhamento - G200'!A180,'Pedidos - G200'!H:H)</f>
        <v>0</v>
      </c>
      <c r="G180" s="154">
        <f t="shared" si="105"/>
        <v>0</v>
      </c>
      <c r="H180" s="154">
        <f>SUMIF('Notas fiscais - G200'!D:D,'Detalhamento - G200'!A180,'Notas fiscais - G200'!T:T)</f>
        <v>0</v>
      </c>
      <c r="I180" s="154">
        <f>VLOOKUP(A180,'Projeções - G200'!B:F,5,FALSE)</f>
        <v>0</v>
      </c>
      <c r="J180" s="154">
        <f t="shared" si="106"/>
        <v>0</v>
      </c>
      <c r="K180" s="154">
        <f t="shared" si="107"/>
        <v>0</v>
      </c>
      <c r="L180" s="261"/>
    </row>
    <row r="181" spans="1:12" outlineLevel="3">
      <c r="A181" s="146">
        <v>2001011007</v>
      </c>
      <c r="B181" s="147" t="s">
        <v>178</v>
      </c>
      <c r="C181" s="154">
        <v>0</v>
      </c>
      <c r="D181" s="154">
        <f>_xlfn.XLOOKUP(A181,'[1]CADASTRO CENTRO DE CUSTO-ALOCAÇ'!$A:$A,'[1]CADASTRO CENTRO DE CUSTO-ALOCAÇ'!$C:$C)</f>
        <v>0</v>
      </c>
      <c r="E181" s="154">
        <f t="shared" si="85"/>
        <v>0</v>
      </c>
      <c r="F181" s="154">
        <f>SUMIF('Contratos - G200'!E:E,'Detalhamento - G200'!A181,'Contratos - G200'!J:J)+SUMIF('Pedidos - G200'!D:D,'Detalhamento - G200'!A181,'Pedidos - G200'!H:H)</f>
        <v>0</v>
      </c>
      <c r="G181" s="154">
        <f t="shared" si="105"/>
        <v>0</v>
      </c>
      <c r="H181" s="154">
        <f>SUMIF('Notas fiscais - G200'!D:D,'Detalhamento - G200'!A181,'Notas fiscais - G200'!T:T)</f>
        <v>0</v>
      </c>
      <c r="I181" s="154">
        <f>VLOOKUP(A181,'Projeções - G200'!B:F,5,FALSE)</f>
        <v>0</v>
      </c>
      <c r="J181" s="154">
        <f t="shared" si="106"/>
        <v>0</v>
      </c>
      <c r="K181" s="154">
        <f t="shared" si="107"/>
        <v>0</v>
      </c>
      <c r="L181" s="261"/>
    </row>
    <row r="182" spans="1:12" outlineLevel="3">
      <c r="A182" s="146">
        <v>2001011008</v>
      </c>
      <c r="B182" s="147" t="s">
        <v>179</v>
      </c>
      <c r="C182" s="154">
        <v>0</v>
      </c>
      <c r="D182" s="154">
        <f>_xlfn.XLOOKUP(A182,'[1]CADASTRO CENTRO DE CUSTO-ALOCAÇ'!$A:$A,'[1]CADASTRO CENTRO DE CUSTO-ALOCAÇ'!$C:$C)</f>
        <v>0</v>
      </c>
      <c r="E182" s="154">
        <f t="shared" si="85"/>
        <v>0</v>
      </c>
      <c r="F182" s="154">
        <f>SUMIF('Contratos - G200'!E:E,'Detalhamento - G200'!A182,'Contratos - G200'!J:J)+SUMIF('Pedidos - G200'!D:D,'Detalhamento - G200'!A182,'Pedidos - G200'!H:H)</f>
        <v>0</v>
      </c>
      <c r="G182" s="154">
        <f t="shared" si="105"/>
        <v>0</v>
      </c>
      <c r="H182" s="154">
        <f>SUMIF('Notas fiscais - G200'!D:D,'Detalhamento - G200'!A182,'Notas fiscais - G200'!T:T)</f>
        <v>0</v>
      </c>
      <c r="I182" s="154">
        <f>VLOOKUP(A182,'Projeções - G200'!B:F,5,FALSE)</f>
        <v>0</v>
      </c>
      <c r="J182" s="154">
        <f t="shared" si="106"/>
        <v>0</v>
      </c>
      <c r="K182" s="154">
        <f t="shared" si="107"/>
        <v>0</v>
      </c>
      <c r="L182" s="261"/>
    </row>
    <row r="183" spans="1:12" outlineLevel="3">
      <c r="A183" s="146">
        <v>2001011009</v>
      </c>
      <c r="B183" s="147" t="s">
        <v>180</v>
      </c>
      <c r="C183" s="154">
        <v>0</v>
      </c>
      <c r="D183" s="154">
        <f>_xlfn.XLOOKUP(A183,'[1]CADASTRO CENTRO DE CUSTO-ALOCAÇ'!$A:$A,'[1]CADASTRO CENTRO DE CUSTO-ALOCAÇ'!$C:$C)</f>
        <v>0</v>
      </c>
      <c r="E183" s="154">
        <f t="shared" si="85"/>
        <v>0</v>
      </c>
      <c r="F183" s="154">
        <f>SUMIF('Contratos - G200'!E:E,'Detalhamento - G200'!A183,'Contratos - G200'!J:J)+SUMIF('Pedidos - G200'!D:D,'Detalhamento - G200'!A183,'Pedidos - G200'!H:H)</f>
        <v>0</v>
      </c>
      <c r="G183" s="154">
        <f t="shared" si="105"/>
        <v>0</v>
      </c>
      <c r="H183" s="154">
        <f>SUMIF('Notas fiscais - G200'!D:D,'Detalhamento - G200'!A183,'Notas fiscais - G200'!T:T)</f>
        <v>0</v>
      </c>
      <c r="I183" s="154">
        <f>VLOOKUP(A183,'Projeções - G200'!B:F,5,FALSE)</f>
        <v>0</v>
      </c>
      <c r="J183" s="154">
        <f t="shared" si="106"/>
        <v>0</v>
      </c>
      <c r="K183" s="154">
        <f t="shared" si="107"/>
        <v>0</v>
      </c>
      <c r="L183" s="261"/>
    </row>
    <row r="184" spans="1:12" outlineLevel="2">
      <c r="A184" s="144">
        <v>2001012</v>
      </c>
      <c r="B184" s="145" t="s">
        <v>181</v>
      </c>
      <c r="C184" s="254">
        <f>SUBTOTAL(9,C185:C195)</f>
        <v>0</v>
      </c>
      <c r="D184" s="154">
        <f>_xlfn.XLOOKUP(A184,'[1]CADASTRO CENTRO DE CUSTO-ALOCAÇ'!$A:$A,'[1]CADASTRO CENTRO DE CUSTO-ALOCAÇ'!$C:$C)</f>
        <v>0</v>
      </c>
      <c r="E184" s="154">
        <f t="shared" si="85"/>
        <v>0</v>
      </c>
      <c r="F184" s="254">
        <f t="shared" ref="F184:K184" si="108">SUBTOTAL(9,F185:F195)</f>
        <v>0</v>
      </c>
      <c r="G184" s="254">
        <f t="shared" si="108"/>
        <v>0</v>
      </c>
      <c r="H184" s="254">
        <f t="shared" si="108"/>
        <v>0</v>
      </c>
      <c r="I184" s="254">
        <f t="shared" si="108"/>
        <v>0</v>
      </c>
      <c r="J184" s="254">
        <f t="shared" si="108"/>
        <v>0</v>
      </c>
      <c r="K184" s="254">
        <f t="shared" si="108"/>
        <v>0</v>
      </c>
      <c r="L184" s="261"/>
    </row>
    <row r="185" spans="1:12" outlineLevel="3">
      <c r="A185" s="146">
        <v>2001012001</v>
      </c>
      <c r="B185" s="147" t="s">
        <v>182</v>
      </c>
      <c r="C185" s="154">
        <v>0</v>
      </c>
      <c r="D185" s="154">
        <f>_xlfn.XLOOKUP(A185,'[1]CADASTRO CENTRO DE CUSTO-ALOCAÇ'!$A:$A,'[1]CADASTRO CENTRO DE CUSTO-ALOCAÇ'!$C:$C)</f>
        <v>0</v>
      </c>
      <c r="E185" s="154">
        <f t="shared" si="85"/>
        <v>0</v>
      </c>
      <c r="F185" s="154">
        <f>SUMIF('Contratos - G200'!E:E,'Detalhamento - G200'!A185,'Contratos - G200'!J:J)+SUMIF('Pedidos - G200'!D:D,'Detalhamento - G200'!A185,'Pedidos - G200'!H:H)</f>
        <v>0</v>
      </c>
      <c r="G185" s="154">
        <f t="shared" ref="G185:G195" si="109">C185-F185</f>
        <v>0</v>
      </c>
      <c r="H185" s="154">
        <f>SUMIF('Notas fiscais - G200'!D:D,'Detalhamento - G200'!A185,'Notas fiscais - G200'!T:T)</f>
        <v>0</v>
      </c>
      <c r="I185" s="154">
        <f>VLOOKUP(A185,'Projeções - G200'!B:F,5,FALSE)</f>
        <v>0</v>
      </c>
      <c r="J185" s="154">
        <f t="shared" ref="J185:J195" si="110">F185+I185</f>
        <v>0</v>
      </c>
      <c r="K185" s="154">
        <f t="shared" ref="K185:K195" si="111">C185-J185</f>
        <v>0</v>
      </c>
      <c r="L185" s="261"/>
    </row>
    <row r="186" spans="1:12" outlineLevel="3">
      <c r="A186" s="146">
        <v>2001012002</v>
      </c>
      <c r="B186" s="147" t="s">
        <v>183</v>
      </c>
      <c r="C186" s="154">
        <v>0</v>
      </c>
      <c r="D186" s="154">
        <f>_xlfn.XLOOKUP(A186,'[1]CADASTRO CENTRO DE CUSTO-ALOCAÇ'!$A:$A,'[1]CADASTRO CENTRO DE CUSTO-ALOCAÇ'!$C:$C)</f>
        <v>0</v>
      </c>
      <c r="E186" s="154">
        <f t="shared" si="85"/>
        <v>0</v>
      </c>
      <c r="F186" s="154">
        <f>SUMIF('Contratos - G200'!E:E,'Detalhamento - G200'!A186,'Contratos - G200'!J:J)+SUMIF('Pedidos - G200'!D:D,'Detalhamento - G200'!A186,'Pedidos - G200'!H:H)</f>
        <v>0</v>
      </c>
      <c r="G186" s="154">
        <f t="shared" si="109"/>
        <v>0</v>
      </c>
      <c r="H186" s="154">
        <f>SUMIF('Notas fiscais - G200'!D:D,'Detalhamento - G200'!A186,'Notas fiscais - G200'!T:T)</f>
        <v>0</v>
      </c>
      <c r="I186" s="154">
        <f>VLOOKUP(A186,'Projeções - G200'!B:F,5,FALSE)</f>
        <v>0</v>
      </c>
      <c r="J186" s="154">
        <f t="shared" si="110"/>
        <v>0</v>
      </c>
      <c r="K186" s="154">
        <f t="shared" si="111"/>
        <v>0</v>
      </c>
      <c r="L186" s="261"/>
    </row>
    <row r="187" spans="1:12" outlineLevel="3">
      <c r="A187" s="146">
        <v>2001012003</v>
      </c>
      <c r="B187" s="147" t="s">
        <v>184</v>
      </c>
      <c r="C187" s="154">
        <v>0</v>
      </c>
      <c r="D187" s="154">
        <f>_xlfn.XLOOKUP(A187,'[1]CADASTRO CENTRO DE CUSTO-ALOCAÇ'!$A:$A,'[1]CADASTRO CENTRO DE CUSTO-ALOCAÇ'!$C:$C)</f>
        <v>0</v>
      </c>
      <c r="E187" s="154">
        <f t="shared" si="85"/>
        <v>0</v>
      </c>
      <c r="F187" s="154">
        <f>SUMIF('Contratos - G200'!E:E,'Detalhamento - G200'!A187,'Contratos - G200'!J:J)+SUMIF('Pedidos - G200'!D:D,'Detalhamento - G200'!A187,'Pedidos - G200'!H:H)</f>
        <v>0</v>
      </c>
      <c r="G187" s="154">
        <f t="shared" si="109"/>
        <v>0</v>
      </c>
      <c r="H187" s="154">
        <f>SUMIF('Notas fiscais - G200'!D:D,'Detalhamento - G200'!A187,'Notas fiscais - G200'!T:T)</f>
        <v>0</v>
      </c>
      <c r="I187" s="154">
        <f>VLOOKUP(A187,'Projeções - G200'!B:F,5,FALSE)</f>
        <v>0</v>
      </c>
      <c r="J187" s="154">
        <f t="shared" si="110"/>
        <v>0</v>
      </c>
      <c r="K187" s="154">
        <f t="shared" si="111"/>
        <v>0</v>
      </c>
      <c r="L187" s="261"/>
    </row>
    <row r="188" spans="1:12" outlineLevel="3">
      <c r="A188" s="146">
        <v>2001012004</v>
      </c>
      <c r="B188" s="147" t="s">
        <v>185</v>
      </c>
      <c r="C188" s="154">
        <v>0</v>
      </c>
      <c r="D188" s="154">
        <f>_xlfn.XLOOKUP(A188,'[1]CADASTRO CENTRO DE CUSTO-ALOCAÇ'!$A:$A,'[1]CADASTRO CENTRO DE CUSTO-ALOCAÇ'!$C:$C)</f>
        <v>0</v>
      </c>
      <c r="E188" s="154">
        <f t="shared" si="85"/>
        <v>0</v>
      </c>
      <c r="F188" s="154">
        <f>SUMIF('Contratos - G200'!E:E,'Detalhamento - G200'!A188,'Contratos - G200'!J:J)+SUMIF('Pedidos - G200'!D:D,'Detalhamento - G200'!A188,'Pedidos - G200'!H:H)</f>
        <v>0</v>
      </c>
      <c r="G188" s="154">
        <f t="shared" si="109"/>
        <v>0</v>
      </c>
      <c r="H188" s="154">
        <f>SUMIF('Notas fiscais - G200'!D:D,'Detalhamento - G200'!A188,'Notas fiscais - G200'!T:T)</f>
        <v>0</v>
      </c>
      <c r="I188" s="154">
        <f>VLOOKUP(A188,'Projeções - G200'!B:F,5,FALSE)</f>
        <v>0</v>
      </c>
      <c r="J188" s="154">
        <f t="shared" si="110"/>
        <v>0</v>
      </c>
      <c r="K188" s="154">
        <f t="shared" si="111"/>
        <v>0</v>
      </c>
      <c r="L188" s="261"/>
    </row>
    <row r="189" spans="1:12" outlineLevel="3">
      <c r="A189" s="146">
        <v>2001012005</v>
      </c>
      <c r="B189" s="147" t="s">
        <v>186</v>
      </c>
      <c r="C189" s="154">
        <v>0</v>
      </c>
      <c r="D189" s="154">
        <f>_xlfn.XLOOKUP(A189,'[1]CADASTRO CENTRO DE CUSTO-ALOCAÇ'!$A:$A,'[1]CADASTRO CENTRO DE CUSTO-ALOCAÇ'!$C:$C)</f>
        <v>0</v>
      </c>
      <c r="E189" s="154">
        <f t="shared" si="85"/>
        <v>0</v>
      </c>
      <c r="F189" s="154">
        <f>SUMIF('Contratos - G200'!E:E,'Detalhamento - G200'!A189,'Contratos - G200'!J:J)+SUMIF('Pedidos - G200'!D:D,'Detalhamento - G200'!A189,'Pedidos - G200'!H:H)</f>
        <v>0</v>
      </c>
      <c r="G189" s="154">
        <f t="shared" si="109"/>
        <v>0</v>
      </c>
      <c r="H189" s="154">
        <f>SUMIF('Notas fiscais - G200'!D:D,'Detalhamento - G200'!A189,'Notas fiscais - G200'!T:T)</f>
        <v>0</v>
      </c>
      <c r="I189" s="154">
        <f>VLOOKUP(A189,'Projeções - G200'!B:F,5,FALSE)</f>
        <v>0</v>
      </c>
      <c r="J189" s="154">
        <f t="shared" si="110"/>
        <v>0</v>
      </c>
      <c r="K189" s="154">
        <f t="shared" si="111"/>
        <v>0</v>
      </c>
      <c r="L189" s="261"/>
    </row>
    <row r="190" spans="1:12" outlineLevel="3">
      <c r="A190" s="146">
        <v>2001012006</v>
      </c>
      <c r="B190" s="147" t="s">
        <v>187</v>
      </c>
      <c r="C190" s="154">
        <v>0</v>
      </c>
      <c r="D190" s="154">
        <f>_xlfn.XLOOKUP(A190,'[1]CADASTRO CENTRO DE CUSTO-ALOCAÇ'!$A:$A,'[1]CADASTRO CENTRO DE CUSTO-ALOCAÇ'!$C:$C)</f>
        <v>0</v>
      </c>
      <c r="E190" s="154">
        <f t="shared" si="85"/>
        <v>0</v>
      </c>
      <c r="F190" s="154">
        <f>SUMIF('Contratos - G200'!E:E,'Detalhamento - G200'!A190,'Contratos - G200'!J:J)+SUMIF('Pedidos - G200'!D:D,'Detalhamento - G200'!A190,'Pedidos - G200'!H:H)</f>
        <v>0</v>
      </c>
      <c r="G190" s="154">
        <f t="shared" si="109"/>
        <v>0</v>
      </c>
      <c r="H190" s="154">
        <f>SUMIF('Notas fiscais - G200'!D:D,'Detalhamento - G200'!A190,'Notas fiscais - G200'!T:T)</f>
        <v>0</v>
      </c>
      <c r="I190" s="154">
        <f>VLOOKUP(A190,'Projeções - G200'!B:F,5,FALSE)</f>
        <v>0</v>
      </c>
      <c r="J190" s="154">
        <f t="shared" si="110"/>
        <v>0</v>
      </c>
      <c r="K190" s="154">
        <f t="shared" si="111"/>
        <v>0</v>
      </c>
      <c r="L190" s="261"/>
    </row>
    <row r="191" spans="1:12" outlineLevel="3">
      <c r="A191" s="146">
        <v>2001012007</v>
      </c>
      <c r="B191" s="147" t="s">
        <v>188</v>
      </c>
      <c r="C191" s="154">
        <v>0</v>
      </c>
      <c r="D191" s="154">
        <f>_xlfn.XLOOKUP(A191,'[1]CADASTRO CENTRO DE CUSTO-ALOCAÇ'!$A:$A,'[1]CADASTRO CENTRO DE CUSTO-ALOCAÇ'!$C:$C)</f>
        <v>0</v>
      </c>
      <c r="E191" s="154">
        <f t="shared" si="85"/>
        <v>0</v>
      </c>
      <c r="F191" s="154">
        <f>SUMIF('Contratos - G200'!E:E,'Detalhamento - G200'!A191,'Contratos - G200'!J:J)+SUMIF('Pedidos - G200'!D:D,'Detalhamento - G200'!A191,'Pedidos - G200'!H:H)</f>
        <v>0</v>
      </c>
      <c r="G191" s="154">
        <f t="shared" si="109"/>
        <v>0</v>
      </c>
      <c r="H191" s="154">
        <f>SUMIF('Notas fiscais - G200'!D:D,'Detalhamento - G200'!A191,'Notas fiscais - G200'!T:T)</f>
        <v>0</v>
      </c>
      <c r="I191" s="154">
        <f>VLOOKUP(A191,'Projeções - G200'!B:F,5,FALSE)</f>
        <v>0</v>
      </c>
      <c r="J191" s="154">
        <f t="shared" si="110"/>
        <v>0</v>
      </c>
      <c r="K191" s="154">
        <f t="shared" si="111"/>
        <v>0</v>
      </c>
      <c r="L191" s="261"/>
    </row>
    <row r="192" spans="1:12" outlineLevel="3">
      <c r="A192" s="146">
        <v>2001012008</v>
      </c>
      <c r="B192" s="147" t="s">
        <v>189</v>
      </c>
      <c r="C192" s="154">
        <v>0</v>
      </c>
      <c r="D192" s="154">
        <f>_xlfn.XLOOKUP(A192,'[1]CADASTRO CENTRO DE CUSTO-ALOCAÇ'!$A:$A,'[1]CADASTRO CENTRO DE CUSTO-ALOCAÇ'!$C:$C)</f>
        <v>0</v>
      </c>
      <c r="E192" s="154">
        <f t="shared" si="85"/>
        <v>0</v>
      </c>
      <c r="F192" s="154">
        <f>SUMIF('Contratos - G200'!E:E,'Detalhamento - G200'!A192,'Contratos - G200'!J:J)+SUMIF('Pedidos - G200'!D:D,'Detalhamento - G200'!A192,'Pedidos - G200'!H:H)</f>
        <v>0</v>
      </c>
      <c r="G192" s="154">
        <f t="shared" si="109"/>
        <v>0</v>
      </c>
      <c r="H192" s="154">
        <f>SUMIF('Notas fiscais - G200'!D:D,'Detalhamento - G200'!A192,'Notas fiscais - G200'!T:T)</f>
        <v>0</v>
      </c>
      <c r="I192" s="154">
        <f>VLOOKUP(A192,'Projeções - G200'!B:F,5,FALSE)</f>
        <v>0</v>
      </c>
      <c r="J192" s="154">
        <f t="shared" si="110"/>
        <v>0</v>
      </c>
      <c r="K192" s="154">
        <f t="shared" si="111"/>
        <v>0</v>
      </c>
      <c r="L192" s="261"/>
    </row>
    <row r="193" spans="1:12" outlineLevel="3">
      <c r="A193" s="146">
        <v>2001012009</v>
      </c>
      <c r="B193" s="147" t="s">
        <v>190</v>
      </c>
      <c r="C193" s="154">
        <v>0</v>
      </c>
      <c r="D193" s="154">
        <f>_xlfn.XLOOKUP(A193,'[1]CADASTRO CENTRO DE CUSTO-ALOCAÇ'!$A:$A,'[1]CADASTRO CENTRO DE CUSTO-ALOCAÇ'!$C:$C)</f>
        <v>0</v>
      </c>
      <c r="E193" s="154">
        <f t="shared" si="85"/>
        <v>0</v>
      </c>
      <c r="F193" s="154">
        <f>SUMIF('Contratos - G200'!E:E,'Detalhamento - G200'!A193,'Contratos - G200'!J:J)+SUMIF('Pedidos - G200'!D:D,'Detalhamento - G200'!A193,'Pedidos - G200'!H:H)</f>
        <v>0</v>
      </c>
      <c r="G193" s="154">
        <f t="shared" si="109"/>
        <v>0</v>
      </c>
      <c r="H193" s="154">
        <f>SUMIF('Notas fiscais - G200'!D:D,'Detalhamento - G200'!A193,'Notas fiscais - G200'!T:T)</f>
        <v>0</v>
      </c>
      <c r="I193" s="154">
        <f>VLOOKUP(A193,'Projeções - G200'!B:F,5,FALSE)</f>
        <v>0</v>
      </c>
      <c r="J193" s="154">
        <f t="shared" si="110"/>
        <v>0</v>
      </c>
      <c r="K193" s="154">
        <f t="shared" si="111"/>
        <v>0</v>
      </c>
      <c r="L193" s="261"/>
    </row>
    <row r="194" spans="1:12" outlineLevel="3">
      <c r="A194" s="146">
        <v>2001012010</v>
      </c>
      <c r="B194" s="147" t="s">
        <v>191</v>
      </c>
      <c r="C194" s="154">
        <v>0</v>
      </c>
      <c r="D194" s="154">
        <f>_xlfn.XLOOKUP(A194,'[1]CADASTRO CENTRO DE CUSTO-ALOCAÇ'!$A:$A,'[1]CADASTRO CENTRO DE CUSTO-ALOCAÇ'!$C:$C)</f>
        <v>0</v>
      </c>
      <c r="E194" s="154">
        <f t="shared" si="85"/>
        <v>0</v>
      </c>
      <c r="F194" s="154">
        <f>SUMIF('Contratos - G200'!E:E,'Detalhamento - G200'!A194,'Contratos - G200'!J:J)+SUMIF('Pedidos - G200'!D:D,'Detalhamento - G200'!A194,'Pedidos - G200'!H:H)</f>
        <v>0</v>
      </c>
      <c r="G194" s="154">
        <f t="shared" si="109"/>
        <v>0</v>
      </c>
      <c r="H194" s="154">
        <f>SUMIF('Notas fiscais - G200'!D:D,'Detalhamento - G200'!A194,'Notas fiscais - G200'!T:T)</f>
        <v>0</v>
      </c>
      <c r="I194" s="154">
        <f>VLOOKUP(A194,'Projeções - G200'!B:F,5,FALSE)</f>
        <v>0</v>
      </c>
      <c r="J194" s="154">
        <f t="shared" si="110"/>
        <v>0</v>
      </c>
      <c r="K194" s="154">
        <f t="shared" si="111"/>
        <v>0</v>
      </c>
      <c r="L194" s="261"/>
    </row>
    <row r="195" spans="1:12" outlineLevel="3">
      <c r="A195" s="146">
        <v>2001012011</v>
      </c>
      <c r="B195" s="147" t="s">
        <v>192</v>
      </c>
      <c r="C195" s="154">
        <v>0</v>
      </c>
      <c r="D195" s="154">
        <f>_xlfn.XLOOKUP(A195,'[1]CADASTRO CENTRO DE CUSTO-ALOCAÇ'!$A:$A,'[1]CADASTRO CENTRO DE CUSTO-ALOCAÇ'!$C:$C)</f>
        <v>0</v>
      </c>
      <c r="E195" s="154">
        <f t="shared" si="85"/>
        <v>0</v>
      </c>
      <c r="F195" s="154">
        <f>SUMIF('Contratos - G200'!E:E,'Detalhamento - G200'!A195,'Contratos - G200'!J:J)+SUMIF('Pedidos - G200'!D:D,'Detalhamento - G200'!A195,'Pedidos - G200'!H:H)</f>
        <v>0</v>
      </c>
      <c r="G195" s="154">
        <f t="shared" si="109"/>
        <v>0</v>
      </c>
      <c r="H195" s="154">
        <f>SUMIF('Notas fiscais - G200'!D:D,'Detalhamento - G200'!A195,'Notas fiscais - G200'!T:T)</f>
        <v>0</v>
      </c>
      <c r="I195" s="154">
        <f>VLOOKUP(A195,'Projeções - G200'!B:F,5,FALSE)</f>
        <v>0</v>
      </c>
      <c r="J195" s="154">
        <f t="shared" si="110"/>
        <v>0</v>
      </c>
      <c r="K195" s="154">
        <f t="shared" si="111"/>
        <v>0</v>
      </c>
      <c r="L195" s="261"/>
    </row>
    <row r="196" spans="1:12" outlineLevel="2">
      <c r="A196" s="144">
        <v>2001013</v>
      </c>
      <c r="B196" s="145" t="s">
        <v>193</v>
      </c>
      <c r="C196" s="254">
        <f>SUBTOTAL(9,C197)</f>
        <v>89600</v>
      </c>
      <c r="D196" s="154">
        <f>_xlfn.XLOOKUP(A196,'[1]CADASTRO CENTRO DE CUSTO-ALOCAÇ'!$A:$A,'[1]CADASTRO CENTRO DE CUSTO-ALOCAÇ'!$C:$C)</f>
        <v>89600</v>
      </c>
      <c r="E196" s="154">
        <f t="shared" si="85"/>
        <v>0</v>
      </c>
      <c r="F196" s="254">
        <f t="shared" ref="F196:K196" si="112">SUBTOTAL(9,F197)</f>
        <v>89600</v>
      </c>
      <c r="G196" s="254">
        <f t="shared" si="112"/>
        <v>0</v>
      </c>
      <c r="H196" s="254">
        <f t="shared" si="112"/>
        <v>9380</v>
      </c>
      <c r="I196" s="254">
        <f t="shared" si="112"/>
        <v>0</v>
      </c>
      <c r="J196" s="254">
        <f t="shared" si="112"/>
        <v>89600</v>
      </c>
      <c r="K196" s="254">
        <f t="shared" si="112"/>
        <v>0</v>
      </c>
      <c r="L196" s="261"/>
    </row>
    <row r="197" spans="1:12" outlineLevel="3">
      <c r="A197" s="146">
        <v>2001013001</v>
      </c>
      <c r="B197" s="147" t="s">
        <v>194</v>
      </c>
      <c r="C197" s="154">
        <v>89600</v>
      </c>
      <c r="D197" s="154">
        <f>_xlfn.XLOOKUP(A197,'[1]CADASTRO CENTRO DE CUSTO-ALOCAÇ'!$A:$A,'[1]CADASTRO CENTRO DE CUSTO-ALOCAÇ'!$C:$C)</f>
        <v>89600</v>
      </c>
      <c r="E197" s="154">
        <f t="shared" si="85"/>
        <v>0</v>
      </c>
      <c r="F197" s="154">
        <f>SUMIF('Contratos - G200'!E:E,'Detalhamento - G200'!A197,'Contratos - G200'!J:J)+SUMIF('Pedidos - G200'!D:D,'Detalhamento - G200'!A197,'Pedidos - G200'!H:H)</f>
        <v>89600</v>
      </c>
      <c r="G197" s="154">
        <f t="shared" ref="G197" si="113">C197-F197</f>
        <v>0</v>
      </c>
      <c r="H197" s="154">
        <f>SUMIF('Notas fiscais - G200'!D:D,'Detalhamento - G200'!A197,'Notas fiscais - G200'!T:T)</f>
        <v>9380</v>
      </c>
      <c r="I197" s="154">
        <f>VLOOKUP(A197,'Projeções - G200'!B:F,5,FALSE)</f>
        <v>0</v>
      </c>
      <c r="J197" s="154">
        <f>F197+I197</f>
        <v>89600</v>
      </c>
      <c r="K197" s="154">
        <f>C197-J197</f>
        <v>0</v>
      </c>
      <c r="L197" s="261"/>
    </row>
    <row r="198" spans="1:12" outlineLevel="2">
      <c r="A198" s="144">
        <v>2001014</v>
      </c>
      <c r="B198" s="145" t="s">
        <v>195</v>
      </c>
      <c r="C198" s="254">
        <f>SUBTOTAL(9,C199:C200)</f>
        <v>0</v>
      </c>
      <c r="D198" s="154">
        <f>_xlfn.XLOOKUP(A198,'[1]CADASTRO CENTRO DE CUSTO-ALOCAÇ'!$A:$A,'[1]CADASTRO CENTRO DE CUSTO-ALOCAÇ'!$C:$C)</f>
        <v>0</v>
      </c>
      <c r="E198" s="154">
        <f t="shared" si="85"/>
        <v>0</v>
      </c>
      <c r="F198" s="254">
        <f t="shared" ref="F198:K198" si="114">SUBTOTAL(9,F199:F200)</f>
        <v>0</v>
      </c>
      <c r="G198" s="254">
        <f t="shared" si="114"/>
        <v>0</v>
      </c>
      <c r="H198" s="254">
        <f t="shared" si="114"/>
        <v>0</v>
      </c>
      <c r="I198" s="254">
        <f t="shared" si="114"/>
        <v>0</v>
      </c>
      <c r="J198" s="254">
        <f t="shared" si="114"/>
        <v>0</v>
      </c>
      <c r="K198" s="254">
        <f t="shared" si="114"/>
        <v>0</v>
      </c>
      <c r="L198" s="261"/>
    </row>
    <row r="199" spans="1:12" outlineLevel="3">
      <c r="A199" s="146">
        <v>2001014001</v>
      </c>
      <c r="B199" s="147" t="s">
        <v>196</v>
      </c>
      <c r="C199" s="154">
        <v>0</v>
      </c>
      <c r="D199" s="154">
        <f>_xlfn.XLOOKUP(A199,'[1]CADASTRO CENTRO DE CUSTO-ALOCAÇ'!$A:$A,'[1]CADASTRO CENTRO DE CUSTO-ALOCAÇ'!$C:$C)</f>
        <v>0</v>
      </c>
      <c r="E199" s="154">
        <f t="shared" si="85"/>
        <v>0</v>
      </c>
      <c r="F199" s="154">
        <f>SUMIF('Contratos - G200'!E:E,'Detalhamento - G200'!A199,'Contratos - G200'!J:J)+SUMIF('Pedidos - G200'!D:D,'Detalhamento - G200'!A199,'Pedidos - G200'!H:H)</f>
        <v>0</v>
      </c>
      <c r="G199" s="154">
        <f t="shared" ref="G199:G200" si="115">C199-F199</f>
        <v>0</v>
      </c>
      <c r="H199" s="154">
        <f>SUMIF('Notas fiscais - G200'!D:D,'Detalhamento - G200'!A199,'Notas fiscais - G200'!T:T)</f>
        <v>0</v>
      </c>
      <c r="I199" s="154">
        <f>VLOOKUP(A199,'Projeções - G200'!B:F,5,FALSE)</f>
        <v>0</v>
      </c>
      <c r="J199" s="154">
        <f t="shared" ref="J199:J200" si="116">F199+I199</f>
        <v>0</v>
      </c>
      <c r="K199" s="154">
        <f>C199-J199</f>
        <v>0</v>
      </c>
      <c r="L199" s="261"/>
    </row>
    <row r="200" spans="1:12" outlineLevel="3">
      <c r="A200" s="146">
        <v>2001014002</v>
      </c>
      <c r="B200" s="147" t="s">
        <v>197</v>
      </c>
      <c r="C200" s="154">
        <v>0</v>
      </c>
      <c r="D200" s="154">
        <f>_xlfn.XLOOKUP(A200,'[1]CADASTRO CENTRO DE CUSTO-ALOCAÇ'!$A:$A,'[1]CADASTRO CENTRO DE CUSTO-ALOCAÇ'!$C:$C)</f>
        <v>0</v>
      </c>
      <c r="E200" s="154">
        <f t="shared" ref="E200:E253" si="117">C200-D200</f>
        <v>0</v>
      </c>
      <c r="F200" s="154">
        <f>SUMIF('Contratos - G200'!E:E,'Detalhamento - G200'!A200,'Contratos - G200'!J:J)+SUMIF('Pedidos - G200'!D:D,'Detalhamento - G200'!A200,'Pedidos - G200'!H:H)</f>
        <v>0</v>
      </c>
      <c r="G200" s="154">
        <f t="shared" si="115"/>
        <v>0</v>
      </c>
      <c r="H200" s="154">
        <f>SUMIF('Notas fiscais - G200'!D:D,'Detalhamento - G200'!A200,'Notas fiscais - G200'!T:T)</f>
        <v>0</v>
      </c>
      <c r="I200" s="154">
        <f>VLOOKUP(A200,'Projeções - G200'!B:F,5,FALSE)</f>
        <v>0</v>
      </c>
      <c r="J200" s="154">
        <f t="shared" si="116"/>
        <v>0</v>
      </c>
      <c r="K200" s="154">
        <f>C200-J200</f>
        <v>0</v>
      </c>
      <c r="L200" s="261"/>
    </row>
    <row r="201" spans="1:12" outlineLevel="2">
      <c r="A201" s="144">
        <v>2001015</v>
      </c>
      <c r="B201" s="145" t="s">
        <v>198</v>
      </c>
      <c r="C201" s="254">
        <f>SUBTOTAL(9,C202:C203)</f>
        <v>0</v>
      </c>
      <c r="D201" s="154">
        <f>_xlfn.XLOOKUP(A201,'[1]CADASTRO CENTRO DE CUSTO-ALOCAÇ'!$A:$A,'[1]CADASTRO CENTRO DE CUSTO-ALOCAÇ'!$C:$C)</f>
        <v>0</v>
      </c>
      <c r="E201" s="154">
        <f t="shared" si="117"/>
        <v>0</v>
      </c>
      <c r="F201" s="254">
        <f t="shared" ref="F201:K201" si="118">SUBTOTAL(9,F202:F203)</f>
        <v>0</v>
      </c>
      <c r="G201" s="254">
        <f t="shared" si="118"/>
        <v>0</v>
      </c>
      <c r="H201" s="254">
        <f t="shared" si="118"/>
        <v>0</v>
      </c>
      <c r="I201" s="254">
        <f t="shared" si="118"/>
        <v>0</v>
      </c>
      <c r="J201" s="254">
        <f t="shared" si="118"/>
        <v>0</v>
      </c>
      <c r="K201" s="254">
        <f t="shared" si="118"/>
        <v>0</v>
      </c>
      <c r="L201" s="261"/>
    </row>
    <row r="202" spans="1:12" outlineLevel="3">
      <c r="A202" s="146">
        <v>2001015001</v>
      </c>
      <c r="B202" s="147" t="s">
        <v>199</v>
      </c>
      <c r="C202" s="154">
        <v>0</v>
      </c>
      <c r="D202" s="154">
        <f>_xlfn.XLOOKUP(A202,'[1]CADASTRO CENTRO DE CUSTO-ALOCAÇ'!$A:$A,'[1]CADASTRO CENTRO DE CUSTO-ALOCAÇ'!$C:$C)</f>
        <v>0</v>
      </c>
      <c r="E202" s="154">
        <f t="shared" si="117"/>
        <v>0</v>
      </c>
      <c r="F202" s="154">
        <f>SUMIF('Contratos - G200'!E:E,'Detalhamento - G200'!A202,'Contratos - G200'!J:J)+SUMIF('Pedidos - G200'!D:D,'Detalhamento - G200'!A202,'Pedidos - G200'!H:H)</f>
        <v>0</v>
      </c>
      <c r="G202" s="154">
        <f t="shared" ref="G202:G203" si="119">C202-F202</f>
        <v>0</v>
      </c>
      <c r="H202" s="154">
        <f>SUMIF('Notas fiscais - G200'!D:D,'Detalhamento - G200'!A202,'Notas fiscais - G200'!T:T)</f>
        <v>0</v>
      </c>
      <c r="I202" s="154">
        <f>VLOOKUP(A202,'Projeções - G200'!B:F,5,FALSE)</f>
        <v>0</v>
      </c>
      <c r="J202" s="154">
        <f t="shared" ref="J202:J203" si="120">F202+I202</f>
        <v>0</v>
      </c>
      <c r="K202" s="154">
        <f>C202-J202</f>
        <v>0</v>
      </c>
      <c r="L202" s="261"/>
    </row>
    <row r="203" spans="1:12" outlineLevel="3">
      <c r="A203" s="146">
        <v>2001015002</v>
      </c>
      <c r="B203" s="147" t="s">
        <v>200</v>
      </c>
      <c r="C203" s="154">
        <v>0</v>
      </c>
      <c r="D203" s="154">
        <f>_xlfn.XLOOKUP(A203,'[1]CADASTRO CENTRO DE CUSTO-ALOCAÇ'!$A:$A,'[1]CADASTRO CENTRO DE CUSTO-ALOCAÇ'!$C:$C)</f>
        <v>0</v>
      </c>
      <c r="E203" s="154">
        <f t="shared" si="117"/>
        <v>0</v>
      </c>
      <c r="F203" s="154">
        <f>SUMIF('Contratos - G200'!E:E,'Detalhamento - G200'!A203,'Contratos - G200'!J:J)+SUMIF('Pedidos - G200'!D:D,'Detalhamento - G200'!A203,'Pedidos - G200'!H:H)</f>
        <v>0</v>
      </c>
      <c r="G203" s="154">
        <f t="shared" si="119"/>
        <v>0</v>
      </c>
      <c r="H203" s="154">
        <f>SUMIF('Notas fiscais - G200'!D:D,'Detalhamento - G200'!A203,'Notas fiscais - G200'!T:T)</f>
        <v>0</v>
      </c>
      <c r="I203" s="154">
        <f>VLOOKUP(A203,'Projeções - G200'!B:F,5,FALSE)</f>
        <v>0</v>
      </c>
      <c r="J203" s="154">
        <f t="shared" si="120"/>
        <v>0</v>
      </c>
      <c r="K203" s="154">
        <f>C203-J203</f>
        <v>0</v>
      </c>
      <c r="L203" s="261"/>
    </row>
    <row r="204" spans="1:12" outlineLevel="2">
      <c r="A204" s="144">
        <v>2001016</v>
      </c>
      <c r="B204" s="145" t="s">
        <v>201</v>
      </c>
      <c r="C204" s="254">
        <f>SUBTOTAL(9,C205)</f>
        <v>0</v>
      </c>
      <c r="D204" s="154">
        <f>_xlfn.XLOOKUP(A204,'[1]CADASTRO CENTRO DE CUSTO-ALOCAÇ'!$A:$A,'[1]CADASTRO CENTRO DE CUSTO-ALOCAÇ'!$C:$C)</f>
        <v>0</v>
      </c>
      <c r="E204" s="154">
        <f t="shared" si="117"/>
        <v>0</v>
      </c>
      <c r="F204" s="254">
        <f t="shared" ref="F204:K204" si="121">SUBTOTAL(9,F205)</f>
        <v>0</v>
      </c>
      <c r="G204" s="254">
        <f t="shared" si="121"/>
        <v>0</v>
      </c>
      <c r="H204" s="254">
        <f t="shared" si="121"/>
        <v>0</v>
      </c>
      <c r="I204" s="254">
        <f t="shared" si="121"/>
        <v>0</v>
      </c>
      <c r="J204" s="254">
        <f t="shared" si="121"/>
        <v>0</v>
      </c>
      <c r="K204" s="254">
        <f t="shared" si="121"/>
        <v>0</v>
      </c>
      <c r="L204" s="261"/>
    </row>
    <row r="205" spans="1:12" outlineLevel="3">
      <c r="A205" s="146">
        <v>2001016001</v>
      </c>
      <c r="B205" s="147" t="s">
        <v>202</v>
      </c>
      <c r="C205" s="154">
        <v>0</v>
      </c>
      <c r="D205" s="154">
        <f>_xlfn.XLOOKUP(A205,'[1]CADASTRO CENTRO DE CUSTO-ALOCAÇ'!$A:$A,'[1]CADASTRO CENTRO DE CUSTO-ALOCAÇ'!$C:$C)</f>
        <v>0</v>
      </c>
      <c r="E205" s="154">
        <f t="shared" si="117"/>
        <v>0</v>
      </c>
      <c r="F205" s="154">
        <f>SUMIF('Contratos - G200'!E:E,'Detalhamento - G200'!A205,'Contratos - G200'!J:J)+SUMIF('Pedidos - G200'!D:D,'Detalhamento - G200'!A205,'Pedidos - G200'!H:H)</f>
        <v>0</v>
      </c>
      <c r="G205" s="154">
        <f t="shared" ref="G205" si="122">C205-F205</f>
        <v>0</v>
      </c>
      <c r="H205" s="154">
        <f>SUMIF('Notas fiscais - G200'!D:D,'Detalhamento - G200'!A205,'Notas fiscais - G200'!T:T)</f>
        <v>0</v>
      </c>
      <c r="I205" s="154">
        <f>VLOOKUP(A205,'Projeções - G200'!B:F,5,FALSE)</f>
        <v>0</v>
      </c>
      <c r="J205" s="154">
        <f>F205+I205</f>
        <v>0</v>
      </c>
      <c r="K205" s="154">
        <f>C205-J205</f>
        <v>0</v>
      </c>
      <c r="L205" s="261"/>
    </row>
    <row r="206" spans="1:12" outlineLevel="2">
      <c r="A206" s="144">
        <v>2001017</v>
      </c>
      <c r="B206" s="145" t="s">
        <v>203</v>
      </c>
      <c r="C206" s="254">
        <f>SUBTOTAL(9,C207:C211)</f>
        <v>8000</v>
      </c>
      <c r="D206" s="154">
        <f>_xlfn.XLOOKUP(A206,'[1]CADASTRO CENTRO DE CUSTO-ALOCAÇ'!$A:$A,'[1]CADASTRO CENTRO DE CUSTO-ALOCAÇ'!$C:$C)</f>
        <v>8000</v>
      </c>
      <c r="E206" s="154">
        <f t="shared" si="117"/>
        <v>0</v>
      </c>
      <c r="F206" s="254">
        <f t="shared" ref="F206:K206" si="123">SUBTOTAL(9,F207:F211)</f>
        <v>17.670000000000002</v>
      </c>
      <c r="G206" s="254">
        <f t="shared" si="123"/>
        <v>7982.33</v>
      </c>
      <c r="H206" s="254">
        <f t="shared" si="123"/>
        <v>0</v>
      </c>
      <c r="I206" s="254">
        <f t="shared" si="123"/>
        <v>0</v>
      </c>
      <c r="J206" s="254">
        <f t="shared" si="123"/>
        <v>17.670000000000002</v>
      </c>
      <c r="K206" s="254">
        <f t="shared" si="123"/>
        <v>7982.33</v>
      </c>
      <c r="L206" s="261"/>
    </row>
    <row r="207" spans="1:12" outlineLevel="3">
      <c r="A207" s="146">
        <v>2001017001</v>
      </c>
      <c r="B207" s="147" t="s">
        <v>204</v>
      </c>
      <c r="C207" s="154">
        <v>0</v>
      </c>
      <c r="D207" s="154">
        <f>_xlfn.XLOOKUP(A207,'[1]CADASTRO CENTRO DE CUSTO-ALOCAÇ'!$A:$A,'[1]CADASTRO CENTRO DE CUSTO-ALOCAÇ'!$C:$C)</f>
        <v>0</v>
      </c>
      <c r="E207" s="154">
        <f t="shared" si="117"/>
        <v>0</v>
      </c>
      <c r="F207" s="154">
        <f>SUMIF('Contratos - G200'!E:E,'Detalhamento - G200'!A207,'Contratos - G200'!J:J)+SUMIF('Pedidos - G200'!D:D,'Detalhamento - G200'!A207,'Pedidos - G200'!H:H)</f>
        <v>0</v>
      </c>
      <c r="G207" s="154">
        <f t="shared" ref="G207:G211" si="124">C207-F207</f>
        <v>0</v>
      </c>
      <c r="H207" s="154">
        <f>SUMIF('Notas fiscais - G200'!D:D,'Detalhamento - G200'!A207,'Notas fiscais - G200'!T:T)</f>
        <v>0</v>
      </c>
      <c r="I207" s="154">
        <f>VLOOKUP(A207,'Projeções - G200'!B:F,5,FALSE)</f>
        <v>0</v>
      </c>
      <c r="J207" s="154">
        <f t="shared" ref="J207:J211" si="125">F207+I207</f>
        <v>0</v>
      </c>
      <c r="K207" s="154">
        <f>C207-J207</f>
        <v>0</v>
      </c>
      <c r="L207" s="261"/>
    </row>
    <row r="208" spans="1:12" outlineLevel="3">
      <c r="A208" s="146">
        <v>2001017002</v>
      </c>
      <c r="B208" s="147" t="s">
        <v>205</v>
      </c>
      <c r="C208" s="154">
        <v>8000</v>
      </c>
      <c r="D208" s="154">
        <f>_xlfn.XLOOKUP(A208,'[1]CADASTRO CENTRO DE CUSTO-ALOCAÇ'!$A:$A,'[1]CADASTRO CENTRO DE CUSTO-ALOCAÇ'!$C:$C)</f>
        <v>8000</v>
      </c>
      <c r="E208" s="154">
        <f t="shared" si="117"/>
        <v>0</v>
      </c>
      <c r="F208" s="154">
        <f>SUMIF('Contratos - G200'!E:E,'Detalhamento - G200'!A208,'Contratos - G200'!J:J)+SUMIF('Pedidos - G200'!D:D,'Detalhamento - G200'!A208,'Pedidos - G200'!H:H)</f>
        <v>17.670000000000002</v>
      </c>
      <c r="G208" s="154">
        <f t="shared" si="124"/>
        <v>7982.33</v>
      </c>
      <c r="H208" s="154">
        <f>SUMIF('Notas fiscais - G200'!D:D,'Detalhamento - G200'!A208,'Notas fiscais - G200'!T:T)</f>
        <v>0</v>
      </c>
      <c r="I208" s="154">
        <f>VLOOKUP(A208,'Projeções - G200'!B:F,5,FALSE)</f>
        <v>0</v>
      </c>
      <c r="J208" s="154">
        <f t="shared" si="125"/>
        <v>17.670000000000002</v>
      </c>
      <c r="K208" s="154">
        <f>C208-J208</f>
        <v>7982.33</v>
      </c>
      <c r="L208" s="261"/>
    </row>
    <row r="209" spans="1:12" outlineLevel="3">
      <c r="A209" s="146">
        <v>2001017003</v>
      </c>
      <c r="B209" s="147" t="s">
        <v>206</v>
      </c>
      <c r="C209" s="154">
        <v>0</v>
      </c>
      <c r="D209" s="154">
        <f>_xlfn.XLOOKUP(A209,'[1]CADASTRO CENTRO DE CUSTO-ALOCAÇ'!$A:$A,'[1]CADASTRO CENTRO DE CUSTO-ALOCAÇ'!$C:$C)</f>
        <v>0</v>
      </c>
      <c r="E209" s="154">
        <f t="shared" si="117"/>
        <v>0</v>
      </c>
      <c r="F209" s="154">
        <f>SUMIF('Contratos - G200'!E:E,'Detalhamento - G200'!A209,'Contratos - G200'!J:J)+SUMIF('Pedidos - G200'!D:D,'Detalhamento - G200'!A209,'Pedidos - G200'!H:H)</f>
        <v>0</v>
      </c>
      <c r="G209" s="154">
        <f t="shared" si="124"/>
        <v>0</v>
      </c>
      <c r="H209" s="154">
        <f>SUMIF('Notas fiscais - G200'!D:D,'Detalhamento - G200'!A209,'Notas fiscais - G200'!T:T)</f>
        <v>0</v>
      </c>
      <c r="I209" s="154">
        <f>VLOOKUP(A209,'Projeções - G200'!B:F,5,FALSE)</f>
        <v>0</v>
      </c>
      <c r="J209" s="154">
        <f t="shared" si="125"/>
        <v>0</v>
      </c>
      <c r="K209" s="154">
        <f>C209-J209</f>
        <v>0</v>
      </c>
      <c r="L209" s="261"/>
    </row>
    <row r="210" spans="1:12" outlineLevel="3">
      <c r="A210" s="146">
        <v>2001017004</v>
      </c>
      <c r="B210" s="147" t="s">
        <v>207</v>
      </c>
      <c r="C210" s="154">
        <v>0</v>
      </c>
      <c r="D210" s="154">
        <f>_xlfn.XLOOKUP(A210,'[1]CADASTRO CENTRO DE CUSTO-ALOCAÇ'!$A:$A,'[1]CADASTRO CENTRO DE CUSTO-ALOCAÇ'!$C:$C)</f>
        <v>0</v>
      </c>
      <c r="E210" s="154">
        <f t="shared" si="117"/>
        <v>0</v>
      </c>
      <c r="F210" s="154">
        <f>SUMIF('Contratos - G200'!E:E,'Detalhamento - G200'!A210,'Contratos - G200'!J:J)+SUMIF('Pedidos - G200'!D:D,'Detalhamento - G200'!A210,'Pedidos - G200'!H:H)</f>
        <v>0</v>
      </c>
      <c r="G210" s="154">
        <f t="shared" si="124"/>
        <v>0</v>
      </c>
      <c r="H210" s="154">
        <f>SUMIF('Notas fiscais - G200'!D:D,'Detalhamento - G200'!A210,'Notas fiscais - G200'!T:T)</f>
        <v>0</v>
      </c>
      <c r="I210" s="154">
        <f>VLOOKUP(A210,'Projeções - G200'!B:F,5,FALSE)</f>
        <v>0</v>
      </c>
      <c r="J210" s="154">
        <f t="shared" si="125"/>
        <v>0</v>
      </c>
      <c r="K210" s="154">
        <f>C210-J210</f>
        <v>0</v>
      </c>
      <c r="L210" s="261"/>
    </row>
    <row r="211" spans="1:12" outlineLevel="3">
      <c r="A211" s="146">
        <v>2001017005</v>
      </c>
      <c r="B211" s="147" t="s">
        <v>208</v>
      </c>
      <c r="C211" s="154">
        <v>0</v>
      </c>
      <c r="D211" s="154">
        <f>_xlfn.XLOOKUP(A211,'[1]CADASTRO CENTRO DE CUSTO-ALOCAÇ'!$A:$A,'[1]CADASTRO CENTRO DE CUSTO-ALOCAÇ'!$C:$C)</f>
        <v>0</v>
      </c>
      <c r="E211" s="154">
        <f t="shared" si="117"/>
        <v>0</v>
      </c>
      <c r="F211" s="154">
        <f>SUMIF('Contratos - G200'!E:E,'Detalhamento - G200'!A211,'Contratos - G200'!J:J)+SUMIF('Pedidos - G200'!D:D,'Detalhamento - G200'!A211,'Pedidos - G200'!H:H)</f>
        <v>0</v>
      </c>
      <c r="G211" s="154">
        <f t="shared" si="124"/>
        <v>0</v>
      </c>
      <c r="H211" s="154">
        <f>SUMIF('Notas fiscais - G200'!D:D,'Detalhamento - G200'!A211,'Notas fiscais - G200'!T:T)</f>
        <v>0</v>
      </c>
      <c r="I211" s="154">
        <f>VLOOKUP(A211,'Projeções - G200'!B:F,5,FALSE)</f>
        <v>0</v>
      </c>
      <c r="J211" s="154">
        <f t="shared" si="125"/>
        <v>0</v>
      </c>
      <c r="K211" s="154">
        <f>C211-J211</f>
        <v>0</v>
      </c>
      <c r="L211" s="261"/>
    </row>
    <row r="212" spans="1:12" outlineLevel="2">
      <c r="A212" s="144">
        <v>2001018</v>
      </c>
      <c r="B212" s="145" t="s">
        <v>209</v>
      </c>
      <c r="C212" s="254">
        <f>SUBTOTAL(9,C213:C215)</f>
        <v>0</v>
      </c>
      <c r="D212" s="154">
        <f>_xlfn.XLOOKUP(A212,'[1]CADASTRO CENTRO DE CUSTO-ALOCAÇ'!$A:$A,'[1]CADASTRO CENTRO DE CUSTO-ALOCAÇ'!$C:$C)</f>
        <v>0</v>
      </c>
      <c r="E212" s="154">
        <f t="shared" si="117"/>
        <v>0</v>
      </c>
      <c r="F212" s="254">
        <f t="shared" ref="F212:K212" si="126">SUBTOTAL(9,F213:F215)</f>
        <v>0</v>
      </c>
      <c r="G212" s="254">
        <f t="shared" si="126"/>
        <v>0</v>
      </c>
      <c r="H212" s="254">
        <f t="shared" si="126"/>
        <v>0</v>
      </c>
      <c r="I212" s="254">
        <f t="shared" si="126"/>
        <v>0</v>
      </c>
      <c r="J212" s="254">
        <f t="shared" si="126"/>
        <v>0</v>
      </c>
      <c r="K212" s="254">
        <f t="shared" si="126"/>
        <v>0</v>
      </c>
      <c r="L212" s="261"/>
    </row>
    <row r="213" spans="1:12" outlineLevel="3">
      <c r="A213" s="146">
        <v>2001018001</v>
      </c>
      <c r="B213" s="147" t="s">
        <v>210</v>
      </c>
      <c r="C213" s="154">
        <v>0</v>
      </c>
      <c r="D213" s="154">
        <f>_xlfn.XLOOKUP(A213,'[1]CADASTRO CENTRO DE CUSTO-ALOCAÇ'!$A:$A,'[1]CADASTRO CENTRO DE CUSTO-ALOCAÇ'!$C:$C)</f>
        <v>0</v>
      </c>
      <c r="E213" s="154">
        <f t="shared" si="117"/>
        <v>0</v>
      </c>
      <c r="F213" s="154">
        <f>SUMIF('Contratos - G200'!E:E,'Detalhamento - G200'!A213,'Contratos - G200'!J:J)+SUMIF('Pedidos - G200'!D:D,'Detalhamento - G200'!A213,'Pedidos - G200'!H:H)</f>
        <v>0</v>
      </c>
      <c r="G213" s="154">
        <f t="shared" ref="G213:G215" si="127">C213-F213</f>
        <v>0</v>
      </c>
      <c r="H213" s="154">
        <f>SUMIF('Notas fiscais - G200'!D:D,'Detalhamento - G200'!A213,'Notas fiscais - G200'!T:T)</f>
        <v>0</v>
      </c>
      <c r="I213" s="154">
        <f>VLOOKUP(A213,'Projeções - G200'!B:F,5,FALSE)</f>
        <v>0</v>
      </c>
      <c r="J213" s="154">
        <f t="shared" ref="J213:J215" si="128">F213+I213</f>
        <v>0</v>
      </c>
      <c r="K213" s="154">
        <f>C213-J213</f>
        <v>0</v>
      </c>
      <c r="L213" s="261"/>
    </row>
    <row r="214" spans="1:12" outlineLevel="3">
      <c r="A214" s="146">
        <v>2001018002</v>
      </c>
      <c r="B214" s="147" t="s">
        <v>211</v>
      </c>
      <c r="C214" s="154">
        <v>0</v>
      </c>
      <c r="D214" s="154">
        <f>_xlfn.XLOOKUP(A214,'[1]CADASTRO CENTRO DE CUSTO-ALOCAÇ'!$A:$A,'[1]CADASTRO CENTRO DE CUSTO-ALOCAÇ'!$C:$C)</f>
        <v>0</v>
      </c>
      <c r="E214" s="154">
        <f t="shared" si="117"/>
        <v>0</v>
      </c>
      <c r="F214" s="154">
        <f>SUMIF('Contratos - G200'!E:E,'Detalhamento - G200'!A214,'Contratos - G200'!J:J)+SUMIF('Pedidos - G200'!D:D,'Detalhamento - G200'!A214,'Pedidos - G200'!H:H)</f>
        <v>0</v>
      </c>
      <c r="G214" s="154">
        <f t="shared" si="127"/>
        <v>0</v>
      </c>
      <c r="H214" s="154">
        <f>SUMIF('Notas fiscais - G200'!D:D,'Detalhamento - G200'!A214,'Notas fiscais - G200'!T:T)</f>
        <v>0</v>
      </c>
      <c r="I214" s="154">
        <f>VLOOKUP(A214,'Projeções - G200'!B:F,5,FALSE)</f>
        <v>0</v>
      </c>
      <c r="J214" s="154">
        <f t="shared" si="128"/>
        <v>0</v>
      </c>
      <c r="K214" s="154">
        <f>C214-J214</f>
        <v>0</v>
      </c>
      <c r="L214" s="261"/>
    </row>
    <row r="215" spans="1:12" outlineLevel="3">
      <c r="A215" s="146">
        <v>2001018003</v>
      </c>
      <c r="B215" s="147" t="s">
        <v>212</v>
      </c>
      <c r="C215" s="154">
        <v>0</v>
      </c>
      <c r="D215" s="154">
        <f>_xlfn.XLOOKUP(A215,'[1]CADASTRO CENTRO DE CUSTO-ALOCAÇ'!$A:$A,'[1]CADASTRO CENTRO DE CUSTO-ALOCAÇ'!$C:$C)</f>
        <v>0</v>
      </c>
      <c r="E215" s="154">
        <f t="shared" si="117"/>
        <v>0</v>
      </c>
      <c r="F215" s="154">
        <f>SUMIF('Contratos - G200'!E:E,'Detalhamento - G200'!A215,'Contratos - G200'!J:J)+SUMIF('Pedidos - G200'!D:D,'Detalhamento - G200'!A215,'Pedidos - G200'!H:H)</f>
        <v>0</v>
      </c>
      <c r="G215" s="154">
        <f t="shared" si="127"/>
        <v>0</v>
      </c>
      <c r="H215" s="154">
        <f>SUMIF('Notas fiscais - G200'!D:D,'Detalhamento - G200'!A215,'Notas fiscais - G200'!T:T)</f>
        <v>0</v>
      </c>
      <c r="I215" s="154">
        <f>VLOOKUP(A215,'Projeções - G200'!B:F,5,FALSE)</f>
        <v>0</v>
      </c>
      <c r="J215" s="154">
        <f t="shared" si="128"/>
        <v>0</v>
      </c>
      <c r="K215" s="154">
        <f>C215-J215</f>
        <v>0</v>
      </c>
      <c r="L215" s="261"/>
    </row>
    <row r="216" spans="1:12" outlineLevel="2">
      <c r="A216" s="144">
        <v>2001019</v>
      </c>
      <c r="B216" s="145" t="s">
        <v>213</v>
      </c>
      <c r="C216" s="254">
        <f>SUBTOTAL(9,C217:C218)</f>
        <v>0</v>
      </c>
      <c r="D216" s="154">
        <f>_xlfn.XLOOKUP(A216,'[1]CADASTRO CENTRO DE CUSTO-ALOCAÇ'!$A:$A,'[1]CADASTRO CENTRO DE CUSTO-ALOCAÇ'!$C:$C)</f>
        <v>0</v>
      </c>
      <c r="E216" s="154">
        <f t="shared" si="117"/>
        <v>0</v>
      </c>
      <c r="F216" s="254">
        <f t="shared" ref="F216:K216" si="129">SUBTOTAL(9,F217:F218)</f>
        <v>0</v>
      </c>
      <c r="G216" s="254">
        <f t="shared" si="129"/>
        <v>0</v>
      </c>
      <c r="H216" s="254">
        <f t="shared" si="129"/>
        <v>0</v>
      </c>
      <c r="I216" s="254">
        <f t="shared" si="129"/>
        <v>0</v>
      </c>
      <c r="J216" s="254">
        <f t="shared" si="129"/>
        <v>0</v>
      </c>
      <c r="K216" s="254">
        <f t="shared" si="129"/>
        <v>0</v>
      </c>
      <c r="L216" s="261"/>
    </row>
    <row r="217" spans="1:12" outlineLevel="3">
      <c r="A217" s="146">
        <v>2001019001</v>
      </c>
      <c r="B217" s="147" t="s">
        <v>214</v>
      </c>
      <c r="C217" s="154">
        <v>0</v>
      </c>
      <c r="D217" s="154">
        <f>_xlfn.XLOOKUP(A217,'[1]CADASTRO CENTRO DE CUSTO-ALOCAÇ'!$A:$A,'[1]CADASTRO CENTRO DE CUSTO-ALOCAÇ'!$C:$C)</f>
        <v>0</v>
      </c>
      <c r="E217" s="154">
        <f t="shared" si="117"/>
        <v>0</v>
      </c>
      <c r="F217" s="154">
        <f>SUMIF('Contratos - G200'!E:E,'Detalhamento - G200'!A217,'Contratos - G200'!J:J)+SUMIF('Pedidos - G200'!D:D,'Detalhamento - G200'!A217,'Pedidos - G200'!H:H)</f>
        <v>0</v>
      </c>
      <c r="G217" s="154">
        <f t="shared" ref="G217:G218" si="130">C217-F217</f>
        <v>0</v>
      </c>
      <c r="H217" s="154">
        <f>SUMIF('Notas fiscais - G200'!D:D,'Detalhamento - G200'!A217,'Notas fiscais - G200'!T:T)</f>
        <v>0</v>
      </c>
      <c r="I217" s="154">
        <f>VLOOKUP(A217,'Projeções - G200'!B:F,5,FALSE)</f>
        <v>0</v>
      </c>
      <c r="J217" s="154">
        <f t="shared" ref="J217:J218" si="131">F217+I217</f>
        <v>0</v>
      </c>
      <c r="K217" s="154">
        <f>C217-J217</f>
        <v>0</v>
      </c>
      <c r="L217" s="261"/>
    </row>
    <row r="218" spans="1:12" outlineLevel="3">
      <c r="A218" s="146">
        <v>2001019002</v>
      </c>
      <c r="B218" s="147" t="s">
        <v>215</v>
      </c>
      <c r="C218" s="154">
        <v>0</v>
      </c>
      <c r="D218" s="154">
        <f>_xlfn.XLOOKUP(A218,'[1]CADASTRO CENTRO DE CUSTO-ALOCAÇ'!$A:$A,'[1]CADASTRO CENTRO DE CUSTO-ALOCAÇ'!$C:$C)</f>
        <v>0</v>
      </c>
      <c r="E218" s="154">
        <f t="shared" si="117"/>
        <v>0</v>
      </c>
      <c r="F218" s="154">
        <f>SUMIF('Contratos - G200'!E:E,'Detalhamento - G200'!A218,'Contratos - G200'!J:J)+SUMIF('Pedidos - G200'!D:D,'Detalhamento - G200'!A218,'Pedidos - G200'!H:H)</f>
        <v>0</v>
      </c>
      <c r="G218" s="154">
        <f t="shared" si="130"/>
        <v>0</v>
      </c>
      <c r="H218" s="154">
        <f>SUMIF('Notas fiscais - G200'!D:D,'Detalhamento - G200'!A218,'Notas fiscais - G200'!T:T)</f>
        <v>0</v>
      </c>
      <c r="I218" s="154">
        <f>VLOOKUP(A218,'Projeções - G200'!B:F,5,FALSE)</f>
        <v>0</v>
      </c>
      <c r="J218" s="154">
        <f t="shared" si="131"/>
        <v>0</v>
      </c>
      <c r="K218" s="154">
        <f>C218-J218</f>
        <v>0</v>
      </c>
      <c r="L218" s="261"/>
    </row>
    <row r="219" spans="1:12" outlineLevel="2">
      <c r="A219" s="144">
        <v>2001020</v>
      </c>
      <c r="B219" s="145" t="s">
        <v>216</v>
      </c>
      <c r="C219" s="254">
        <f>SUBTOTAL(9,C220:C221)</f>
        <v>0</v>
      </c>
      <c r="D219" s="154">
        <f>_xlfn.XLOOKUP(A219,'[1]CADASTRO CENTRO DE CUSTO-ALOCAÇ'!$A:$A,'[1]CADASTRO CENTRO DE CUSTO-ALOCAÇ'!$C:$C)</f>
        <v>0</v>
      </c>
      <c r="E219" s="154">
        <f t="shared" si="117"/>
        <v>0</v>
      </c>
      <c r="F219" s="254">
        <f t="shared" ref="F219:K219" si="132">SUBTOTAL(9,F220:F221)</f>
        <v>0</v>
      </c>
      <c r="G219" s="254">
        <f t="shared" si="132"/>
        <v>0</v>
      </c>
      <c r="H219" s="254">
        <f t="shared" si="132"/>
        <v>0</v>
      </c>
      <c r="I219" s="254">
        <f t="shared" si="132"/>
        <v>0</v>
      </c>
      <c r="J219" s="254">
        <f t="shared" si="132"/>
        <v>0</v>
      </c>
      <c r="K219" s="254">
        <f t="shared" si="132"/>
        <v>0</v>
      </c>
      <c r="L219" s="261"/>
    </row>
    <row r="220" spans="1:12" outlineLevel="3">
      <c r="A220" s="146">
        <v>2001020001</v>
      </c>
      <c r="B220" s="147" t="s">
        <v>217</v>
      </c>
      <c r="C220" s="154">
        <v>0</v>
      </c>
      <c r="D220" s="154">
        <f>_xlfn.XLOOKUP(A220,'[1]CADASTRO CENTRO DE CUSTO-ALOCAÇ'!$A:$A,'[1]CADASTRO CENTRO DE CUSTO-ALOCAÇ'!$C:$C)</f>
        <v>0</v>
      </c>
      <c r="E220" s="154">
        <f t="shared" si="117"/>
        <v>0</v>
      </c>
      <c r="F220" s="154">
        <f>SUMIF('Contratos - G200'!E:E,'Detalhamento - G200'!A220,'Contratos - G200'!J:J)+SUMIF('Pedidos - G200'!D:D,'Detalhamento - G200'!A220,'Pedidos - G200'!H:H)</f>
        <v>0</v>
      </c>
      <c r="G220" s="154">
        <f t="shared" ref="G220:G221" si="133">C220-F220</f>
        <v>0</v>
      </c>
      <c r="H220" s="154">
        <f>SUMIF('Notas fiscais - G200'!D:D,'Detalhamento - G200'!A220,'Notas fiscais - G200'!T:T)</f>
        <v>0</v>
      </c>
      <c r="I220" s="154">
        <f>VLOOKUP(A220,'Projeções - G200'!B:F,5,FALSE)</f>
        <v>0</v>
      </c>
      <c r="J220" s="154">
        <f t="shared" ref="J220:J221" si="134">F220+I220</f>
        <v>0</v>
      </c>
      <c r="K220" s="154">
        <f>C220-J220</f>
        <v>0</v>
      </c>
      <c r="L220" s="261"/>
    </row>
    <row r="221" spans="1:12" outlineLevel="3">
      <c r="A221" s="146">
        <v>2001020002</v>
      </c>
      <c r="B221" s="147" t="s">
        <v>218</v>
      </c>
      <c r="C221" s="154">
        <v>0</v>
      </c>
      <c r="D221" s="154">
        <f>_xlfn.XLOOKUP(A221,'[1]CADASTRO CENTRO DE CUSTO-ALOCAÇ'!$A:$A,'[1]CADASTRO CENTRO DE CUSTO-ALOCAÇ'!$C:$C)</f>
        <v>0</v>
      </c>
      <c r="E221" s="154">
        <f t="shared" si="117"/>
        <v>0</v>
      </c>
      <c r="F221" s="154">
        <f>SUMIF('Contratos - G200'!E:E,'Detalhamento - G200'!A221,'Contratos - G200'!J:J)+SUMIF('Pedidos - G200'!D:D,'Detalhamento - G200'!A221,'Pedidos - G200'!H:H)</f>
        <v>0</v>
      </c>
      <c r="G221" s="154">
        <f t="shared" si="133"/>
        <v>0</v>
      </c>
      <c r="H221" s="154">
        <f>SUMIF('Notas fiscais - G200'!D:D,'Detalhamento - G200'!A221,'Notas fiscais - G200'!T:T)</f>
        <v>0</v>
      </c>
      <c r="I221" s="154">
        <f>VLOOKUP(A221,'Projeções - G200'!B:F,5,FALSE)</f>
        <v>0</v>
      </c>
      <c r="J221" s="154">
        <f t="shared" si="134"/>
        <v>0</v>
      </c>
      <c r="K221" s="154">
        <f>C221-J221</f>
        <v>0</v>
      </c>
      <c r="L221" s="261"/>
    </row>
    <row r="222" spans="1:12" outlineLevel="2">
      <c r="A222" s="144">
        <v>2001021</v>
      </c>
      <c r="B222" s="145" t="s">
        <v>219</v>
      </c>
      <c r="C222" s="254">
        <f>SUBTOTAL(9,C223)</f>
        <v>18360.670684931509</v>
      </c>
      <c r="D222" s="154">
        <f>_xlfn.XLOOKUP(A222,'[1]CADASTRO CENTRO DE CUSTO-ALOCAÇ'!$A:$A,'[1]CADASTRO CENTRO DE CUSTO-ALOCAÇ'!$C:$C)</f>
        <v>18360.670684931509</v>
      </c>
      <c r="E222" s="154">
        <f t="shared" si="117"/>
        <v>0</v>
      </c>
      <c r="F222" s="254">
        <f t="shared" ref="F222:K222" si="135">SUBTOTAL(9,F223)</f>
        <v>360</v>
      </c>
      <c r="G222" s="254">
        <f t="shared" si="135"/>
        <v>18000.670684931509</v>
      </c>
      <c r="H222" s="254">
        <f t="shared" si="135"/>
        <v>0</v>
      </c>
      <c r="I222" s="254">
        <f t="shared" si="135"/>
        <v>0</v>
      </c>
      <c r="J222" s="254">
        <f t="shared" si="135"/>
        <v>360</v>
      </c>
      <c r="K222" s="254">
        <f t="shared" si="135"/>
        <v>18000.670684931509</v>
      </c>
      <c r="L222" s="261"/>
    </row>
    <row r="223" spans="1:12" outlineLevel="3">
      <c r="A223" s="146">
        <v>2001021001</v>
      </c>
      <c r="B223" s="147" t="s">
        <v>220</v>
      </c>
      <c r="C223" s="154">
        <v>18360.670684931509</v>
      </c>
      <c r="D223" s="154">
        <f>_xlfn.XLOOKUP(A223,'[1]CADASTRO CENTRO DE CUSTO-ALOCAÇ'!$A:$A,'[1]CADASTRO CENTRO DE CUSTO-ALOCAÇ'!$C:$C)</f>
        <v>18360.670684931509</v>
      </c>
      <c r="E223" s="154">
        <f t="shared" si="117"/>
        <v>0</v>
      </c>
      <c r="F223" s="154">
        <f>SUMIF('Contratos - G200'!E:E,'Detalhamento - G200'!A223,'Contratos - G200'!J:J)+SUMIF('Pedidos - G200'!D:D,'Detalhamento - G200'!A223,'Pedidos - G200'!H:H)</f>
        <v>360</v>
      </c>
      <c r="G223" s="154">
        <f t="shared" ref="G223" si="136">C223-F223</f>
        <v>18000.670684931509</v>
      </c>
      <c r="H223" s="154">
        <f>SUMIF('Notas fiscais - G200'!D:D,'Detalhamento - G200'!A223,'Notas fiscais - G200'!T:T)</f>
        <v>0</v>
      </c>
      <c r="I223" s="154">
        <f>VLOOKUP(A223,'Projeções - G200'!B:F,5,FALSE)</f>
        <v>0</v>
      </c>
      <c r="J223" s="154">
        <f>F223+I223</f>
        <v>360</v>
      </c>
      <c r="K223" s="154">
        <f>C223-J223</f>
        <v>18000.670684931509</v>
      </c>
      <c r="L223" s="261"/>
    </row>
    <row r="224" spans="1:12" outlineLevel="2">
      <c r="A224" s="144">
        <v>2001022</v>
      </c>
      <c r="B224" s="145" t="s">
        <v>221</v>
      </c>
      <c r="C224" s="254">
        <f>SUBTOTAL(9,C225)</f>
        <v>1460.11</v>
      </c>
      <c r="D224" s="154">
        <f>_xlfn.XLOOKUP(A224,'[1]CADASTRO CENTRO DE CUSTO-ALOCAÇ'!$A:$A,'[1]CADASTRO CENTRO DE CUSTO-ALOCAÇ'!$C:$C)</f>
        <v>1460.11</v>
      </c>
      <c r="E224" s="154">
        <f t="shared" si="117"/>
        <v>0</v>
      </c>
      <c r="F224" s="254">
        <f t="shared" ref="F224:K224" si="137">SUBTOTAL(9,F225)</f>
        <v>0</v>
      </c>
      <c r="G224" s="254">
        <f t="shared" si="137"/>
        <v>1460.11</v>
      </c>
      <c r="H224" s="254">
        <f t="shared" si="137"/>
        <v>0</v>
      </c>
      <c r="I224" s="254">
        <f t="shared" si="137"/>
        <v>0</v>
      </c>
      <c r="J224" s="254">
        <f t="shared" si="137"/>
        <v>0</v>
      </c>
      <c r="K224" s="254">
        <f t="shared" si="137"/>
        <v>1460.11</v>
      </c>
      <c r="L224" s="261"/>
    </row>
    <row r="225" spans="1:14" outlineLevel="3">
      <c r="A225" s="146">
        <v>2001022001</v>
      </c>
      <c r="B225" s="147" t="s">
        <v>222</v>
      </c>
      <c r="C225" s="154">
        <v>1460.11</v>
      </c>
      <c r="D225" s="154">
        <f>_xlfn.XLOOKUP(A225,'[1]CADASTRO CENTRO DE CUSTO-ALOCAÇ'!$A:$A,'[1]CADASTRO CENTRO DE CUSTO-ALOCAÇ'!$C:$C)</f>
        <v>1460.11</v>
      </c>
      <c r="E225" s="154">
        <f t="shared" si="117"/>
        <v>0</v>
      </c>
      <c r="F225" s="154">
        <f>SUMIF('Contratos - G200'!E:E,'Detalhamento - G200'!A225,'Contratos - G200'!J:J)+SUMIF('Pedidos - G200'!D:D,'Detalhamento - G200'!A225,'Pedidos - G200'!H:H)</f>
        <v>0</v>
      </c>
      <c r="G225" s="154">
        <f t="shared" ref="G225" si="138">C225-F225</f>
        <v>1460.11</v>
      </c>
      <c r="H225" s="154">
        <f>SUMIF('Notas fiscais - G200'!D:D,'Detalhamento - G200'!A225,'Notas fiscais - G200'!T:T)</f>
        <v>0</v>
      </c>
      <c r="I225" s="154">
        <f>VLOOKUP(A225,'Projeções - G200'!B:F,5,FALSE)</f>
        <v>0</v>
      </c>
      <c r="J225" s="154">
        <f>F225+I225</f>
        <v>0</v>
      </c>
      <c r="K225" s="154">
        <f>C225-J225</f>
        <v>1460.11</v>
      </c>
      <c r="L225" s="261"/>
    </row>
    <row r="226" spans="1:14" outlineLevel="2">
      <c r="A226" s="144">
        <v>2001023</v>
      </c>
      <c r="B226" s="145" t="s">
        <v>223</v>
      </c>
      <c r="C226" s="254">
        <f>SUBTOTAL(9,C227)</f>
        <v>0</v>
      </c>
      <c r="D226" s="154">
        <f>_xlfn.XLOOKUP(A226,'[1]CADASTRO CENTRO DE CUSTO-ALOCAÇ'!$A:$A,'[1]CADASTRO CENTRO DE CUSTO-ALOCAÇ'!$C:$C)</f>
        <v>0</v>
      </c>
      <c r="E226" s="154">
        <f t="shared" si="117"/>
        <v>0</v>
      </c>
      <c r="F226" s="254">
        <f t="shared" ref="F226:K226" si="139">SUBTOTAL(9,F227)</f>
        <v>0</v>
      </c>
      <c r="G226" s="254">
        <f t="shared" si="139"/>
        <v>0</v>
      </c>
      <c r="H226" s="254">
        <f t="shared" si="139"/>
        <v>0</v>
      </c>
      <c r="I226" s="254">
        <f t="shared" si="139"/>
        <v>0</v>
      </c>
      <c r="J226" s="254">
        <f t="shared" si="139"/>
        <v>0</v>
      </c>
      <c r="K226" s="254">
        <f t="shared" si="139"/>
        <v>0</v>
      </c>
      <c r="L226" s="261"/>
    </row>
    <row r="227" spans="1:14" outlineLevel="3">
      <c r="A227" s="146">
        <v>2001023001</v>
      </c>
      <c r="B227" s="147" t="s">
        <v>224</v>
      </c>
      <c r="C227" s="154">
        <v>0</v>
      </c>
      <c r="D227" s="154">
        <f>_xlfn.XLOOKUP(A227,'[1]CADASTRO CENTRO DE CUSTO-ALOCAÇ'!$A:$A,'[1]CADASTRO CENTRO DE CUSTO-ALOCAÇ'!$C:$C)</f>
        <v>0</v>
      </c>
      <c r="E227" s="154">
        <f t="shared" si="117"/>
        <v>0</v>
      </c>
      <c r="F227" s="154">
        <f>SUMIF('Contratos - G200'!E:E,'Detalhamento - G200'!A227,'Contratos - G200'!J:J)+SUMIF('Pedidos - G200'!D:D,'Detalhamento - G200'!A227,'Pedidos - G200'!H:H)</f>
        <v>0</v>
      </c>
      <c r="G227" s="154">
        <f t="shared" ref="G227" si="140">C227-F227</f>
        <v>0</v>
      </c>
      <c r="H227" s="154">
        <f>SUMIF('Notas fiscais - G200'!D:D,'Detalhamento - G200'!A227,'Notas fiscais - G200'!T:T)</f>
        <v>0</v>
      </c>
      <c r="I227" s="154">
        <f>VLOOKUP(A227,'Projeções - G200'!B:F,5,FALSE)</f>
        <v>0</v>
      </c>
      <c r="J227" s="154">
        <f>F227+I227</f>
        <v>0</v>
      </c>
      <c r="K227" s="154">
        <f>C227-J227</f>
        <v>0</v>
      </c>
      <c r="L227" s="261"/>
    </row>
    <row r="228" spans="1:14" outlineLevel="2">
      <c r="A228" s="144">
        <v>2001024</v>
      </c>
      <c r="B228" s="145" t="s">
        <v>225</v>
      </c>
      <c r="C228" s="254">
        <f t="shared" ref="C228:I228" si="141">SUBTOTAL(9,C229:C244)</f>
        <v>863495</v>
      </c>
      <c r="D228" s="154">
        <f>_xlfn.XLOOKUP(A228,'[1]CADASTRO CENTRO DE CUSTO-ALOCAÇ'!$A:$A,'[1]CADASTRO CENTRO DE CUSTO-ALOCAÇ'!$C:$C)</f>
        <v>863495</v>
      </c>
      <c r="E228" s="154">
        <f t="shared" si="117"/>
        <v>0</v>
      </c>
      <c r="F228" s="254">
        <f t="shared" si="141"/>
        <v>851591.72</v>
      </c>
      <c r="G228" s="254">
        <f t="shared" si="141"/>
        <v>11903.280000000028</v>
      </c>
      <c r="H228" s="254">
        <f t="shared" si="141"/>
        <v>37475.369999999995</v>
      </c>
      <c r="I228" s="254">
        <f t="shared" si="141"/>
        <v>0</v>
      </c>
      <c r="J228" s="254">
        <f>SUBTOTAL(9,J229:J244)</f>
        <v>851591.72</v>
      </c>
      <c r="K228" s="254">
        <f t="shared" ref="K228" si="142">SUBTOTAL(9,K229:K244)</f>
        <v>11903.280000000028</v>
      </c>
      <c r="L228" s="261"/>
    </row>
    <row r="229" spans="1:14" outlineLevel="3">
      <c r="A229" s="146">
        <v>2001024001</v>
      </c>
      <c r="B229" s="147" t="s">
        <v>226</v>
      </c>
      <c r="C229" s="154">
        <v>807115.4</v>
      </c>
      <c r="D229" s="154">
        <f>_xlfn.XLOOKUP(A229,'[1]CADASTRO CENTRO DE CUSTO-ALOCAÇ'!$A:$A,'[1]CADASTRO CENTRO DE CUSTO-ALOCAÇ'!$C:$C)</f>
        <v>807115.4</v>
      </c>
      <c r="E229" s="154">
        <f t="shared" si="117"/>
        <v>0</v>
      </c>
      <c r="F229" s="154">
        <f>SUMIF('Contratos - G200'!E:E,'Detalhamento - G200'!A229,'Contratos - G200'!J:J)+SUMIF('Pedidos - G200'!D:D,'Detalhamento - G200'!A229,'Pedidos - G200'!H:H)</f>
        <v>807042.12</v>
      </c>
      <c r="G229" s="154">
        <f t="shared" ref="G229:G243" si="143">C229-F229</f>
        <v>73.28000000002794</v>
      </c>
      <c r="H229" s="154">
        <f>SUMIF('Notas fiscais - G200'!D:D,'Detalhamento - G200'!A229,'Notas fiscais - G200'!T:T)</f>
        <v>33275.369999999995</v>
      </c>
      <c r="I229" s="154">
        <f>VLOOKUP(A229,'Projeções - G200'!B:F,5,FALSE)</f>
        <v>0</v>
      </c>
      <c r="J229" s="154">
        <f t="shared" ref="J229:J244" si="144">F229+I229</f>
        <v>807042.12</v>
      </c>
      <c r="K229" s="154">
        <f t="shared" ref="K229:K244" si="145">C229-J229</f>
        <v>73.28000000002794</v>
      </c>
      <c r="L229" s="261"/>
    </row>
    <row r="230" spans="1:14" outlineLevel="3">
      <c r="A230" s="146">
        <v>2001024002</v>
      </c>
      <c r="B230" s="147" t="s">
        <v>227</v>
      </c>
      <c r="C230" s="154">
        <v>0</v>
      </c>
      <c r="D230" s="154">
        <f>_xlfn.XLOOKUP(A230,'[1]CADASTRO CENTRO DE CUSTO-ALOCAÇ'!$A:$A,'[1]CADASTRO CENTRO DE CUSTO-ALOCAÇ'!$C:$C)</f>
        <v>0</v>
      </c>
      <c r="E230" s="154">
        <f t="shared" si="117"/>
        <v>0</v>
      </c>
      <c r="F230" s="154">
        <f>SUMIF('Contratos - G200'!E:E,'Detalhamento - G200'!A230,'Contratos - G200'!J:J)+SUMIF('Pedidos - G200'!D:D,'Detalhamento - G200'!A230,'Pedidos - G200'!H:H)</f>
        <v>0</v>
      </c>
      <c r="G230" s="154">
        <f t="shared" si="143"/>
        <v>0</v>
      </c>
      <c r="H230" s="154">
        <f>SUMIF('Notas fiscais - G200'!D:D,'Detalhamento - G200'!A230,'Notas fiscais - G200'!T:T)</f>
        <v>0</v>
      </c>
      <c r="I230" s="154">
        <f>VLOOKUP(A230,'Projeções - G200'!B:F,5,FALSE)</f>
        <v>0</v>
      </c>
      <c r="J230" s="154">
        <f t="shared" si="144"/>
        <v>0</v>
      </c>
      <c r="K230" s="154">
        <f t="shared" si="145"/>
        <v>0</v>
      </c>
      <c r="L230" s="261"/>
    </row>
    <row r="231" spans="1:14" outlineLevel="3">
      <c r="A231" s="146">
        <v>2001024003</v>
      </c>
      <c r="B231" s="147" t="s">
        <v>228</v>
      </c>
      <c r="C231" s="154">
        <v>0</v>
      </c>
      <c r="D231" s="154">
        <f>_xlfn.XLOOKUP(A231,'[1]CADASTRO CENTRO DE CUSTO-ALOCAÇ'!$A:$A,'[1]CADASTRO CENTRO DE CUSTO-ALOCAÇ'!$C:$C)</f>
        <v>0</v>
      </c>
      <c r="E231" s="154">
        <f t="shared" si="117"/>
        <v>0</v>
      </c>
      <c r="F231" s="154">
        <f>SUMIF('Contratos - G200'!E:E,'Detalhamento - G200'!A231,'Contratos - G200'!J:J)+SUMIF('Pedidos - G200'!D:D,'Detalhamento - G200'!A231,'Pedidos - G200'!H:H)</f>
        <v>0</v>
      </c>
      <c r="G231" s="154">
        <f t="shared" si="143"/>
        <v>0</v>
      </c>
      <c r="H231" s="154">
        <f>SUMIF('Notas fiscais - G200'!D:D,'Detalhamento - G200'!A231,'Notas fiscais - G200'!T:T)</f>
        <v>0</v>
      </c>
      <c r="I231" s="154">
        <f>VLOOKUP(A231,'Projeções - G200'!B:F,5,FALSE)</f>
        <v>0</v>
      </c>
      <c r="J231" s="154">
        <f t="shared" si="144"/>
        <v>0</v>
      </c>
      <c r="K231" s="154">
        <f t="shared" si="145"/>
        <v>0</v>
      </c>
      <c r="L231" s="261"/>
    </row>
    <row r="232" spans="1:14" s="139" customFormat="1" outlineLevel="3">
      <c r="A232" s="146">
        <v>2001024004</v>
      </c>
      <c r="B232" s="147" t="s">
        <v>229</v>
      </c>
      <c r="C232" s="154">
        <v>799.6</v>
      </c>
      <c r="D232" s="154">
        <f>_xlfn.XLOOKUP(A232,'[1]CADASTRO CENTRO DE CUSTO-ALOCAÇ'!$A:$A,'[1]CADASTRO CENTRO DE CUSTO-ALOCAÇ'!$C:$C)</f>
        <v>799.6</v>
      </c>
      <c r="E232" s="154">
        <f t="shared" si="117"/>
        <v>0</v>
      </c>
      <c r="F232" s="154">
        <f>SUMIF('Contratos - G200'!E:E,'Detalhamento - G200'!A232,'Contratos - G200'!J:J)+SUMIF('Pedidos - G200'!D:D,'Detalhamento - G200'!A232,'Pedidos - G200'!H:H)</f>
        <v>799.6</v>
      </c>
      <c r="G232" s="154">
        <f t="shared" si="143"/>
        <v>0</v>
      </c>
      <c r="H232" s="154">
        <f>SUMIF('Notas fiscais - G200'!D:D,'Detalhamento - G200'!A232,'Notas fiscais - G200'!T:T)</f>
        <v>0</v>
      </c>
      <c r="I232" s="154">
        <f>VLOOKUP(A232,'Projeções - G200'!B:F,5,FALSE)</f>
        <v>0</v>
      </c>
      <c r="J232" s="154">
        <f t="shared" si="144"/>
        <v>799.6</v>
      </c>
      <c r="K232" s="154">
        <f t="shared" si="145"/>
        <v>0</v>
      </c>
      <c r="L232" s="261"/>
      <c r="M232" s="247"/>
      <c r="N232" s="247"/>
    </row>
    <row r="233" spans="1:14" outlineLevel="3">
      <c r="A233" s="146">
        <v>2001024005</v>
      </c>
      <c r="B233" s="147" t="s">
        <v>230</v>
      </c>
      <c r="C233" s="154">
        <v>0</v>
      </c>
      <c r="D233" s="154">
        <f>_xlfn.XLOOKUP(A233,'[1]CADASTRO CENTRO DE CUSTO-ALOCAÇ'!$A:$A,'[1]CADASTRO CENTRO DE CUSTO-ALOCAÇ'!$C:$C)</f>
        <v>0</v>
      </c>
      <c r="E233" s="154">
        <f t="shared" si="117"/>
        <v>0</v>
      </c>
      <c r="F233" s="154">
        <f>SUMIF('Contratos - G200'!E:E,'Detalhamento - G200'!A233,'Contratos - G200'!J:J)+SUMIF('Pedidos - G200'!D:D,'Detalhamento - G200'!A233,'Pedidos - G200'!H:H)</f>
        <v>0</v>
      </c>
      <c r="G233" s="154">
        <f t="shared" si="143"/>
        <v>0</v>
      </c>
      <c r="H233" s="154">
        <f>SUMIF('Notas fiscais - G200'!D:D,'Detalhamento - G200'!A233,'Notas fiscais - G200'!T:T)</f>
        <v>0</v>
      </c>
      <c r="I233" s="154">
        <f>VLOOKUP(A233,'Projeções - G200'!B:F,5,FALSE)</f>
        <v>0</v>
      </c>
      <c r="J233" s="154">
        <f t="shared" si="144"/>
        <v>0</v>
      </c>
      <c r="K233" s="154">
        <f t="shared" si="145"/>
        <v>0</v>
      </c>
      <c r="L233" s="261"/>
    </row>
    <row r="234" spans="1:14" outlineLevel="3">
      <c r="A234" s="146">
        <v>2001024006</v>
      </c>
      <c r="B234" s="147" t="s">
        <v>231</v>
      </c>
      <c r="C234" s="154">
        <v>0</v>
      </c>
      <c r="D234" s="154">
        <f>_xlfn.XLOOKUP(A234,'[1]CADASTRO CENTRO DE CUSTO-ALOCAÇ'!$A:$A,'[1]CADASTRO CENTRO DE CUSTO-ALOCAÇ'!$C:$C)</f>
        <v>0</v>
      </c>
      <c r="E234" s="154">
        <f t="shared" si="117"/>
        <v>0</v>
      </c>
      <c r="F234" s="154">
        <f>SUMIF('Contratos - G200'!E:E,'Detalhamento - G200'!A234,'Contratos - G200'!J:J)+SUMIF('Pedidos - G200'!D:D,'Detalhamento - G200'!A234,'Pedidos - G200'!H:H)</f>
        <v>0</v>
      </c>
      <c r="G234" s="154">
        <f t="shared" si="143"/>
        <v>0</v>
      </c>
      <c r="H234" s="154">
        <f>SUMIF('Notas fiscais - G200'!D:D,'Detalhamento - G200'!A234,'Notas fiscais - G200'!T:T)</f>
        <v>0</v>
      </c>
      <c r="I234" s="154">
        <f>VLOOKUP(A234,'Projeções - G200'!B:F,5,FALSE)</f>
        <v>0</v>
      </c>
      <c r="J234" s="154">
        <f t="shared" si="144"/>
        <v>0</v>
      </c>
      <c r="K234" s="154">
        <f t="shared" si="145"/>
        <v>0</v>
      </c>
      <c r="L234" s="261"/>
    </row>
    <row r="235" spans="1:14" outlineLevel="3">
      <c r="A235" s="146">
        <v>2001024007</v>
      </c>
      <c r="B235" s="147" t="s">
        <v>232</v>
      </c>
      <c r="C235" s="154">
        <v>0</v>
      </c>
      <c r="D235" s="154">
        <f>_xlfn.XLOOKUP(A235,'[1]CADASTRO CENTRO DE CUSTO-ALOCAÇ'!$A:$A,'[1]CADASTRO CENTRO DE CUSTO-ALOCAÇ'!$C:$C)</f>
        <v>0</v>
      </c>
      <c r="E235" s="154">
        <f t="shared" si="117"/>
        <v>0</v>
      </c>
      <c r="F235" s="154">
        <f>SUMIF('Contratos - G200'!E:E,'Detalhamento - G200'!A235,'Contratos - G200'!J:J)+SUMIF('Pedidos - G200'!D:D,'Detalhamento - G200'!A235,'Pedidos - G200'!H:H)</f>
        <v>0</v>
      </c>
      <c r="G235" s="154">
        <f t="shared" si="143"/>
        <v>0</v>
      </c>
      <c r="H235" s="154">
        <f>SUMIF('Notas fiscais - G200'!D:D,'Detalhamento - G200'!A235,'Notas fiscais - G200'!T:T)</f>
        <v>0</v>
      </c>
      <c r="I235" s="154">
        <f>VLOOKUP(A235,'Projeções - G200'!B:F,5,FALSE)</f>
        <v>0</v>
      </c>
      <c r="J235" s="154">
        <f t="shared" si="144"/>
        <v>0</v>
      </c>
      <c r="K235" s="154">
        <f t="shared" si="145"/>
        <v>0</v>
      </c>
      <c r="L235" s="261"/>
    </row>
    <row r="236" spans="1:14" outlineLevel="3">
      <c r="A236" s="146">
        <v>2001024008</v>
      </c>
      <c r="B236" s="147" t="s">
        <v>233</v>
      </c>
      <c r="C236" s="154">
        <v>0</v>
      </c>
      <c r="D236" s="154">
        <f>_xlfn.XLOOKUP(A236,'[1]CADASTRO CENTRO DE CUSTO-ALOCAÇ'!$A:$A,'[1]CADASTRO CENTRO DE CUSTO-ALOCAÇ'!$C:$C)</f>
        <v>0</v>
      </c>
      <c r="E236" s="154">
        <f t="shared" si="117"/>
        <v>0</v>
      </c>
      <c r="F236" s="154">
        <f>SUMIF('Contratos - G200'!E:E,'Detalhamento - G200'!A236,'Contratos - G200'!J:J)+SUMIF('Pedidos - G200'!D:D,'Detalhamento - G200'!A236,'Pedidos - G200'!H:H)</f>
        <v>0</v>
      </c>
      <c r="G236" s="154">
        <f t="shared" si="143"/>
        <v>0</v>
      </c>
      <c r="H236" s="154">
        <f>SUMIF('Notas fiscais - G200'!D:D,'Detalhamento - G200'!A236,'Notas fiscais - G200'!T:T)</f>
        <v>0</v>
      </c>
      <c r="I236" s="154">
        <f>VLOOKUP(A236,'Projeções - G200'!B:F,5,FALSE)</f>
        <v>0</v>
      </c>
      <c r="J236" s="154">
        <f t="shared" si="144"/>
        <v>0</v>
      </c>
      <c r="K236" s="154">
        <f t="shared" si="145"/>
        <v>0</v>
      </c>
      <c r="L236" s="261"/>
    </row>
    <row r="237" spans="1:14" outlineLevel="3">
      <c r="A237" s="146">
        <v>2001024009</v>
      </c>
      <c r="B237" s="147" t="s">
        <v>234</v>
      </c>
      <c r="C237" s="154">
        <v>0</v>
      </c>
      <c r="D237" s="154">
        <f>_xlfn.XLOOKUP(A237,'[1]CADASTRO CENTRO DE CUSTO-ALOCAÇ'!$A:$A,'[1]CADASTRO CENTRO DE CUSTO-ALOCAÇ'!$C:$C)</f>
        <v>0</v>
      </c>
      <c r="E237" s="154">
        <f t="shared" si="117"/>
        <v>0</v>
      </c>
      <c r="F237" s="154">
        <f>SUMIF('Contratos - G200'!E:E,'Detalhamento - G200'!A237,'Contratos - G200'!J:J)+SUMIF('Pedidos - G200'!D:D,'Detalhamento - G200'!A237,'Pedidos - G200'!H:H)</f>
        <v>0</v>
      </c>
      <c r="G237" s="154">
        <f t="shared" si="143"/>
        <v>0</v>
      </c>
      <c r="H237" s="154">
        <f>SUMIF('Notas fiscais - G200'!D:D,'Detalhamento - G200'!A237,'Notas fiscais - G200'!T:T)</f>
        <v>0</v>
      </c>
      <c r="I237" s="154">
        <f>VLOOKUP(A237,'Projeções - G200'!B:F,5,FALSE)</f>
        <v>0</v>
      </c>
      <c r="J237" s="154">
        <f t="shared" si="144"/>
        <v>0</v>
      </c>
      <c r="K237" s="154">
        <f t="shared" si="145"/>
        <v>0</v>
      </c>
      <c r="L237" s="261"/>
    </row>
    <row r="238" spans="1:14" outlineLevel="3">
      <c r="A238" s="146">
        <v>2001024010</v>
      </c>
      <c r="B238" s="147" t="s">
        <v>235</v>
      </c>
      <c r="C238" s="154">
        <v>55580</v>
      </c>
      <c r="D238" s="154">
        <f>_xlfn.XLOOKUP(A238,'[1]CADASTRO CENTRO DE CUSTO-ALOCAÇ'!$A:$A,'[1]CADASTRO CENTRO DE CUSTO-ALOCAÇ'!$C:$C)</f>
        <v>55580</v>
      </c>
      <c r="E238" s="154">
        <f t="shared" si="117"/>
        <v>0</v>
      </c>
      <c r="F238" s="154">
        <f>SUMIF('Contratos - G200'!E:E,'Detalhamento - G200'!A238,'Contratos - G200'!J:J)+SUMIF('Pedidos - G200'!D:D,'Detalhamento - G200'!A238,'Pedidos - G200'!H:H)</f>
        <v>43750</v>
      </c>
      <c r="G238" s="154">
        <f t="shared" si="143"/>
        <v>11830</v>
      </c>
      <c r="H238" s="154">
        <f>SUMIF('Notas fiscais - G200'!D:D,'Detalhamento - G200'!A238,'Notas fiscais - G200'!T:T)</f>
        <v>4200</v>
      </c>
      <c r="I238" s="154">
        <f>VLOOKUP(A238,'Projeções - G200'!B:F,5,FALSE)</f>
        <v>0</v>
      </c>
      <c r="J238" s="154">
        <f t="shared" si="144"/>
        <v>43750</v>
      </c>
      <c r="K238" s="154">
        <f t="shared" si="145"/>
        <v>11830</v>
      </c>
      <c r="L238" s="261"/>
    </row>
    <row r="239" spans="1:14" outlineLevel="3">
      <c r="A239" s="146">
        <v>2001024011</v>
      </c>
      <c r="B239" s="147" t="s">
        <v>236</v>
      </c>
      <c r="C239" s="154">
        <v>0</v>
      </c>
      <c r="D239" s="154">
        <f>_xlfn.XLOOKUP(A239,'[1]CADASTRO CENTRO DE CUSTO-ALOCAÇ'!$A:$A,'[1]CADASTRO CENTRO DE CUSTO-ALOCAÇ'!$C:$C)</f>
        <v>0</v>
      </c>
      <c r="E239" s="154">
        <f t="shared" si="117"/>
        <v>0</v>
      </c>
      <c r="F239" s="154">
        <f>SUMIF('Contratos - G200'!E:E,'Detalhamento - G200'!A239,'Contratos - G200'!J:J)+SUMIF('Pedidos - G200'!D:D,'Detalhamento - G200'!A239,'Pedidos - G200'!H:H)</f>
        <v>0</v>
      </c>
      <c r="G239" s="154">
        <f t="shared" si="143"/>
        <v>0</v>
      </c>
      <c r="H239" s="154">
        <f>SUMIF('Notas fiscais - G200'!D:D,'Detalhamento - G200'!A239,'Notas fiscais - G200'!T:T)</f>
        <v>0</v>
      </c>
      <c r="I239" s="154">
        <f>VLOOKUP(A239,'Projeções - G200'!B:F,5,FALSE)</f>
        <v>0</v>
      </c>
      <c r="J239" s="154">
        <f t="shared" si="144"/>
        <v>0</v>
      </c>
      <c r="K239" s="154">
        <f t="shared" si="145"/>
        <v>0</v>
      </c>
      <c r="L239" s="261"/>
    </row>
    <row r="240" spans="1:14" outlineLevel="3">
      <c r="A240" s="146">
        <v>2001024012</v>
      </c>
      <c r="B240" s="147" t="s">
        <v>237</v>
      </c>
      <c r="C240" s="154">
        <v>0</v>
      </c>
      <c r="D240" s="154">
        <f>_xlfn.XLOOKUP(A240,'[1]CADASTRO CENTRO DE CUSTO-ALOCAÇ'!$A:$A,'[1]CADASTRO CENTRO DE CUSTO-ALOCAÇ'!$C:$C)</f>
        <v>0</v>
      </c>
      <c r="E240" s="154">
        <f t="shared" si="117"/>
        <v>0</v>
      </c>
      <c r="F240" s="154">
        <f>SUMIF('Contratos - G200'!E:E,'Detalhamento - G200'!A240,'Contratos - G200'!J:J)+SUMIF('Pedidos - G200'!D:D,'Detalhamento - G200'!A240,'Pedidos - G200'!H:H)</f>
        <v>0</v>
      </c>
      <c r="G240" s="154">
        <f t="shared" si="143"/>
        <v>0</v>
      </c>
      <c r="H240" s="154">
        <f>SUMIF('Notas fiscais - G200'!D:D,'Detalhamento - G200'!A240,'Notas fiscais - G200'!T:T)</f>
        <v>0</v>
      </c>
      <c r="I240" s="154">
        <f>VLOOKUP(A240,'Projeções - G200'!B:F,5,FALSE)</f>
        <v>0</v>
      </c>
      <c r="J240" s="154">
        <f t="shared" si="144"/>
        <v>0</v>
      </c>
      <c r="K240" s="154">
        <f t="shared" si="145"/>
        <v>0</v>
      </c>
      <c r="L240" s="261"/>
    </row>
    <row r="241" spans="1:12" outlineLevel="3">
      <c r="A241" s="146">
        <v>2001024013</v>
      </c>
      <c r="B241" s="147" t="s">
        <v>238</v>
      </c>
      <c r="C241" s="154">
        <v>0</v>
      </c>
      <c r="D241" s="154">
        <f>_xlfn.XLOOKUP(A241,'[1]CADASTRO CENTRO DE CUSTO-ALOCAÇ'!$A:$A,'[1]CADASTRO CENTRO DE CUSTO-ALOCAÇ'!$C:$C)</f>
        <v>0</v>
      </c>
      <c r="E241" s="154">
        <f t="shared" si="117"/>
        <v>0</v>
      </c>
      <c r="F241" s="154">
        <f>SUMIF('Contratos - G200'!E:E,'Detalhamento - G200'!A241,'Contratos - G200'!J:J)+SUMIF('Pedidos - G200'!D:D,'Detalhamento - G200'!A241,'Pedidos - G200'!H:H)</f>
        <v>0</v>
      </c>
      <c r="G241" s="154">
        <f t="shared" si="143"/>
        <v>0</v>
      </c>
      <c r="H241" s="154">
        <f>SUMIF('Notas fiscais - G200'!D:D,'Detalhamento - G200'!A241,'Notas fiscais - G200'!T:T)</f>
        <v>0</v>
      </c>
      <c r="I241" s="154">
        <f>VLOOKUP(A241,'Projeções - G200'!B:F,5,FALSE)</f>
        <v>0</v>
      </c>
      <c r="J241" s="154">
        <f t="shared" si="144"/>
        <v>0</v>
      </c>
      <c r="K241" s="154">
        <f t="shared" si="145"/>
        <v>0</v>
      </c>
      <c r="L241" s="261"/>
    </row>
    <row r="242" spans="1:12" outlineLevel="3">
      <c r="A242" s="146">
        <v>2001024014</v>
      </c>
      <c r="B242" s="147" t="s">
        <v>239</v>
      </c>
      <c r="C242" s="154">
        <v>0</v>
      </c>
      <c r="D242" s="154">
        <f>_xlfn.XLOOKUP(A242,'[1]CADASTRO CENTRO DE CUSTO-ALOCAÇ'!$A:$A,'[1]CADASTRO CENTRO DE CUSTO-ALOCAÇ'!$C:$C)</f>
        <v>0</v>
      </c>
      <c r="E242" s="154">
        <f t="shared" si="117"/>
        <v>0</v>
      </c>
      <c r="F242" s="154">
        <f>SUMIF('Contratos - G200'!E:E,'Detalhamento - G200'!A242,'Contratos - G200'!J:J)+SUMIF('Pedidos - G200'!D:D,'Detalhamento - G200'!A242,'Pedidos - G200'!H:H)</f>
        <v>0</v>
      </c>
      <c r="G242" s="154">
        <f t="shared" si="143"/>
        <v>0</v>
      </c>
      <c r="H242" s="154">
        <f>SUMIF('Notas fiscais - G200'!D:D,'Detalhamento - G200'!A242,'Notas fiscais - G200'!T:T)</f>
        <v>0</v>
      </c>
      <c r="I242" s="154">
        <f>VLOOKUP(A242,'Projeções - G200'!B:F,5,FALSE)</f>
        <v>0</v>
      </c>
      <c r="J242" s="154">
        <f t="shared" si="144"/>
        <v>0</v>
      </c>
      <c r="K242" s="154">
        <f t="shared" si="145"/>
        <v>0</v>
      </c>
      <c r="L242" s="261"/>
    </row>
    <row r="243" spans="1:12" outlineLevel="3">
      <c r="A243" s="146">
        <v>2001024015</v>
      </c>
      <c r="B243" s="147" t="s">
        <v>240</v>
      </c>
      <c r="C243" s="154">
        <v>0</v>
      </c>
      <c r="D243" s="154">
        <f>_xlfn.XLOOKUP(A243,'[1]CADASTRO CENTRO DE CUSTO-ALOCAÇ'!$A:$A,'[1]CADASTRO CENTRO DE CUSTO-ALOCAÇ'!$C:$C)</f>
        <v>0</v>
      </c>
      <c r="E243" s="154">
        <f t="shared" si="117"/>
        <v>0</v>
      </c>
      <c r="F243" s="154">
        <f>SUMIF('Contratos - G200'!E:E,'Detalhamento - G200'!A243,'Contratos - G200'!J:J)+SUMIF('Pedidos - G200'!D:D,'Detalhamento - G200'!A243,'Pedidos - G200'!H:H)</f>
        <v>0</v>
      </c>
      <c r="G243" s="154">
        <f t="shared" si="143"/>
        <v>0</v>
      </c>
      <c r="H243" s="154">
        <f>SUMIF('Notas fiscais - G200'!D:D,'Detalhamento - G200'!A243,'Notas fiscais - G200'!T:T)</f>
        <v>0</v>
      </c>
      <c r="I243" s="154">
        <f>VLOOKUP(A243,'Projeções - G200'!B:F,5,FALSE)</f>
        <v>0</v>
      </c>
      <c r="J243" s="154">
        <f t="shared" si="144"/>
        <v>0</v>
      </c>
      <c r="K243" s="154">
        <f t="shared" si="145"/>
        <v>0</v>
      </c>
      <c r="L243" s="261"/>
    </row>
    <row r="244" spans="1:12" outlineLevel="3">
      <c r="A244" s="146">
        <v>2001024016</v>
      </c>
      <c r="B244" s="147" t="s">
        <v>241</v>
      </c>
      <c r="C244" s="154">
        <v>0</v>
      </c>
      <c r="D244" s="154">
        <f>_xlfn.XLOOKUP(A244,'[1]CADASTRO CENTRO DE CUSTO-ALOCAÇ'!$A:$A,'[1]CADASTRO CENTRO DE CUSTO-ALOCAÇ'!$C:$C)</f>
        <v>0</v>
      </c>
      <c r="E244" s="154">
        <f t="shared" si="117"/>
        <v>0</v>
      </c>
      <c r="F244" s="154">
        <f>SUMIF('Contratos - G200'!E:E,'Detalhamento - G200'!A244,'Contratos - G200'!J:J)+SUMIF('Pedidos - G200'!D:D,'Detalhamento - G200'!A244,'Pedidos - G200'!H:H)</f>
        <v>0</v>
      </c>
      <c r="G244" s="154">
        <f t="shared" ref="G244" si="146">C244-F244</f>
        <v>0</v>
      </c>
      <c r="H244" s="154">
        <f>SUMIF('Notas fiscais - G200'!D:D,'Detalhamento - G200'!A244,'Notas fiscais - G200'!T:T)</f>
        <v>0</v>
      </c>
      <c r="I244" s="154">
        <f>VLOOKUP(A244,'Projeções - G200'!B:F,5,FALSE)</f>
        <v>0</v>
      </c>
      <c r="J244" s="154">
        <f t="shared" si="144"/>
        <v>0</v>
      </c>
      <c r="K244" s="154">
        <f t="shared" si="145"/>
        <v>0</v>
      </c>
      <c r="L244" s="261"/>
    </row>
    <row r="245" spans="1:12" outlineLevel="2">
      <c r="A245" s="144">
        <v>2001025</v>
      </c>
      <c r="B245" s="145" t="s">
        <v>242</v>
      </c>
      <c r="C245" s="254">
        <f>SUBTOTAL(9,C246:C247)</f>
        <v>2300000</v>
      </c>
      <c r="D245" s="154">
        <f>_xlfn.XLOOKUP(A245,'[1]CADASTRO CENTRO DE CUSTO-ALOCAÇ'!$A:$A,'[1]CADASTRO CENTRO DE CUSTO-ALOCAÇ'!$C:$C)</f>
        <v>2300000</v>
      </c>
      <c r="E245" s="154">
        <f t="shared" si="117"/>
        <v>0</v>
      </c>
      <c r="F245" s="254">
        <f t="shared" ref="F245:K245" si="147">SUBTOTAL(9,F246:F247)</f>
        <v>2300000</v>
      </c>
      <c r="G245" s="254">
        <f t="shared" si="147"/>
        <v>0</v>
      </c>
      <c r="H245" s="254">
        <f t="shared" si="147"/>
        <v>1407280.0675668053</v>
      </c>
      <c r="I245" s="254">
        <f t="shared" si="147"/>
        <v>0</v>
      </c>
      <c r="J245" s="254">
        <f t="shared" si="147"/>
        <v>2300000</v>
      </c>
      <c r="K245" s="254">
        <f t="shared" si="147"/>
        <v>0</v>
      </c>
      <c r="L245" s="261"/>
    </row>
    <row r="246" spans="1:12" ht="36" outlineLevel="3">
      <c r="A246" s="146">
        <v>2001025001</v>
      </c>
      <c r="B246" s="147" t="s">
        <v>243</v>
      </c>
      <c r="C246" s="154">
        <v>2000000</v>
      </c>
      <c r="D246" s="154">
        <f>_xlfn.XLOOKUP(A246,'[1]CADASTRO CENTRO DE CUSTO-ALOCAÇ'!$A:$A,'[1]CADASTRO CENTRO DE CUSTO-ALOCAÇ'!$C:$C)</f>
        <v>2000000</v>
      </c>
      <c r="E246" s="154">
        <f t="shared" si="117"/>
        <v>0</v>
      </c>
      <c r="F246" s="154">
        <f>SUMIF('Contratos - G200'!E:E,'Detalhamento - G200'!A246,'Contratos - G200'!J:J)+SUMIF('Pedidos - G200'!D:D,'Detalhamento - G200'!A246,'Pedidos - G200'!H:H)</f>
        <v>2000000</v>
      </c>
      <c r="G246" s="154">
        <f t="shared" ref="G246:G247" si="148">C246-F246</f>
        <v>0</v>
      </c>
      <c r="H246" s="154">
        <f>SUMIF('Notas fiscais - G200'!D:D,'Detalhamento - G200'!A246,'Notas fiscais - G200'!T:T)</f>
        <v>1233772.6348217092</v>
      </c>
      <c r="I246" s="154">
        <f>VLOOKUP(A246,'Projeções - G200'!B:F,5,FALSE)</f>
        <v>0</v>
      </c>
      <c r="J246" s="154">
        <f t="shared" ref="J246:J247" si="149">F246+I246</f>
        <v>2000000</v>
      </c>
      <c r="K246" s="154">
        <f>C246-J246</f>
        <v>0</v>
      </c>
      <c r="L246" s="261"/>
    </row>
    <row r="247" spans="1:12" outlineLevel="3">
      <c r="A247" s="146">
        <v>2001025002</v>
      </c>
      <c r="B247" s="147" t="s">
        <v>244</v>
      </c>
      <c r="C247" s="154">
        <v>300000</v>
      </c>
      <c r="D247" s="154">
        <f>_xlfn.XLOOKUP(A247,'[1]CADASTRO CENTRO DE CUSTO-ALOCAÇ'!$A:$A,'[1]CADASTRO CENTRO DE CUSTO-ALOCAÇ'!$C:$C)</f>
        <v>300000</v>
      </c>
      <c r="E247" s="154">
        <f t="shared" si="117"/>
        <v>0</v>
      </c>
      <c r="F247" s="154">
        <f>SUMIF('Contratos - G200'!E:E,'Detalhamento - G200'!A247,'Contratos - G200'!J:J)+SUMIF('Pedidos - G200'!D:D,'Detalhamento - G200'!A247,'Pedidos - G200'!H:H)</f>
        <v>300000</v>
      </c>
      <c r="G247" s="154">
        <f t="shared" si="148"/>
        <v>0</v>
      </c>
      <c r="H247" s="154">
        <f>SUMIF('Notas fiscais - G200'!D:D,'Detalhamento - G200'!A247,'Notas fiscais - G200'!T:T)</f>
        <v>173507.43274509604</v>
      </c>
      <c r="I247" s="154">
        <f>VLOOKUP(A247,'Projeções - G200'!B:F,5,FALSE)</f>
        <v>0</v>
      </c>
      <c r="J247" s="154">
        <f t="shared" si="149"/>
        <v>300000</v>
      </c>
      <c r="K247" s="154">
        <f>C247-J247</f>
        <v>0</v>
      </c>
      <c r="L247" s="261"/>
    </row>
    <row r="248" spans="1:12" outlineLevel="1">
      <c r="A248" s="143">
        <v>2002</v>
      </c>
      <c r="B248" s="141" t="s">
        <v>245</v>
      </c>
      <c r="C248" s="253">
        <f t="shared" ref="C248:K248" si="150">SUBTOTAL(9,C249:C250)</f>
        <v>19609893.629999999</v>
      </c>
      <c r="D248" s="154">
        <f>_xlfn.XLOOKUP(A248,'[1]CADASTRO CENTRO DE CUSTO-ALOCAÇ'!$A:$A,'[1]CADASTRO CENTRO DE CUSTO-ALOCAÇ'!$C:$C)</f>
        <v>19609893.629999999</v>
      </c>
      <c r="E248" s="154">
        <f t="shared" si="117"/>
        <v>0</v>
      </c>
      <c r="F248" s="253">
        <f t="shared" si="150"/>
        <v>19609893.640000001</v>
      </c>
      <c r="G248" s="253">
        <f t="shared" si="150"/>
        <v>-1.0000001639127731E-2</v>
      </c>
      <c r="H248" s="253">
        <f t="shared" si="150"/>
        <v>7052804.9304360338</v>
      </c>
      <c r="I248" s="253">
        <f t="shared" si="150"/>
        <v>1.00000016391277E-2</v>
      </c>
      <c r="J248" s="253">
        <f t="shared" si="150"/>
        <v>19609893.650000002</v>
      </c>
      <c r="K248" s="253">
        <f t="shared" si="150"/>
        <v>-2.0000003278255463E-2</v>
      </c>
      <c r="L248" s="261"/>
    </row>
    <row r="249" spans="1:12" outlineLevel="2">
      <c r="A249" s="144">
        <v>2002001</v>
      </c>
      <c r="B249" s="145" t="s">
        <v>246</v>
      </c>
      <c r="C249" s="254">
        <f t="shared" ref="C249:K249" si="151">SUBTOTAL(9,C250:C250)</f>
        <v>19609893.629999999</v>
      </c>
      <c r="D249" s="154">
        <f>_xlfn.XLOOKUP(A249,'[1]CADASTRO CENTRO DE CUSTO-ALOCAÇ'!$A:$A,'[1]CADASTRO CENTRO DE CUSTO-ALOCAÇ'!$C:$C)</f>
        <v>19609893.629999999</v>
      </c>
      <c r="E249" s="154">
        <f t="shared" si="117"/>
        <v>0</v>
      </c>
      <c r="F249" s="254">
        <f t="shared" si="151"/>
        <v>19609893.640000001</v>
      </c>
      <c r="G249" s="254">
        <f t="shared" si="151"/>
        <v>-1.0000001639127731E-2</v>
      </c>
      <c r="H249" s="254">
        <f t="shared" si="151"/>
        <v>7052804.9304360338</v>
      </c>
      <c r="I249" s="254">
        <f>SUBTOTAL(9,I250:I250)</f>
        <v>1.00000016391277E-2</v>
      </c>
      <c r="J249" s="254">
        <f t="shared" si="151"/>
        <v>19609893.650000002</v>
      </c>
      <c r="K249" s="254">
        <f t="shared" si="151"/>
        <v>-2.0000003278255463E-2</v>
      </c>
      <c r="L249" s="261"/>
    </row>
    <row r="250" spans="1:12" outlineLevel="3">
      <c r="A250" s="146">
        <v>2002001001</v>
      </c>
      <c r="B250" s="147" t="s">
        <v>247</v>
      </c>
      <c r="C250" s="154">
        <v>19609893.629999999</v>
      </c>
      <c r="D250" s="154">
        <f>_xlfn.XLOOKUP(A250,'[1]CADASTRO CENTRO DE CUSTO-ALOCAÇ'!$A:$A,'[1]CADASTRO CENTRO DE CUSTO-ALOCAÇ'!$C:$C)</f>
        <v>19609893.629999999</v>
      </c>
      <c r="E250" s="154">
        <f t="shared" si="117"/>
        <v>0</v>
      </c>
      <c r="F250" s="154">
        <f>SUMIF('Contratos - G200'!E:E,'Detalhamento - G200'!A250,'Contratos - G200'!G:G)+SUMIF('Pedidos - G200'!D:D,'Detalhamento - G200'!A250,'Pedidos - G200'!J:J)</f>
        <v>19609893.640000001</v>
      </c>
      <c r="G250" s="154">
        <f t="shared" ref="G250" si="152">C250-F250</f>
        <v>-1.0000001639127731E-2</v>
      </c>
      <c r="H250" s="154">
        <f>SUMIF('Notas fiscais - G200'!D:D,'Detalhamento - G200'!A250,'Notas fiscais - G200'!T:T)</f>
        <v>7052804.9304360338</v>
      </c>
      <c r="I250" s="154">
        <f>VLOOKUP(A250,'Projeções - G200'!B:F,5,FALSE)</f>
        <v>1.00000016391277E-2</v>
      </c>
      <c r="J250" s="154">
        <f>F250+I250</f>
        <v>19609893.650000002</v>
      </c>
      <c r="K250" s="154">
        <f>C250-J250</f>
        <v>-2.0000003278255463E-2</v>
      </c>
      <c r="L250" s="261"/>
    </row>
    <row r="251" spans="1:12" outlineLevel="1">
      <c r="A251" s="143">
        <v>2003</v>
      </c>
      <c r="B251" s="141" t="s">
        <v>248</v>
      </c>
      <c r="C251" s="253">
        <f t="shared" ref="C251:K251" si="153">SUBTOTAL(9,C252:C253)</f>
        <v>39328228.93</v>
      </c>
      <c r="D251" s="154">
        <f>_xlfn.XLOOKUP(A251,'[1]CADASTRO CENTRO DE CUSTO-ALOCAÇ'!$A:$A,'[1]CADASTRO CENTRO DE CUSTO-ALOCAÇ'!$C:$C)</f>
        <v>39328228.93</v>
      </c>
      <c r="E251" s="154">
        <f t="shared" si="117"/>
        <v>0</v>
      </c>
      <c r="F251" s="253">
        <f t="shared" si="153"/>
        <v>37208193.730000004</v>
      </c>
      <c r="G251" s="253">
        <f t="shared" si="153"/>
        <v>2120035.1999999955</v>
      </c>
      <c r="H251" s="253">
        <f t="shared" si="153"/>
        <v>11225908.421997162</v>
      </c>
      <c r="I251" s="253">
        <f t="shared" si="153"/>
        <v>0</v>
      </c>
      <c r="J251" s="253">
        <f t="shared" si="153"/>
        <v>37208193.730000004</v>
      </c>
      <c r="K251" s="253">
        <f t="shared" si="153"/>
        <v>2120035.1999999955</v>
      </c>
      <c r="L251" s="261"/>
    </row>
    <row r="252" spans="1:12" outlineLevel="2">
      <c r="A252" s="144">
        <v>2003001</v>
      </c>
      <c r="B252" s="145" t="s">
        <v>248</v>
      </c>
      <c r="C252" s="254">
        <f t="shared" ref="C252:K252" si="154">SUBTOTAL(9,C253:C253)</f>
        <v>39328228.93</v>
      </c>
      <c r="D252" s="154">
        <f>_xlfn.XLOOKUP(A252,'[1]CADASTRO CENTRO DE CUSTO-ALOCAÇ'!$A:$A,'[1]CADASTRO CENTRO DE CUSTO-ALOCAÇ'!$C:$C)</f>
        <v>39328228.93</v>
      </c>
      <c r="E252" s="154">
        <f t="shared" si="117"/>
        <v>0</v>
      </c>
      <c r="F252" s="254">
        <f t="shared" si="154"/>
        <v>37208193.730000004</v>
      </c>
      <c r="G252" s="254">
        <f t="shared" si="154"/>
        <v>2120035.1999999955</v>
      </c>
      <c r="H252" s="254">
        <f t="shared" si="154"/>
        <v>11225908.421997162</v>
      </c>
      <c r="I252" s="254">
        <f>SUBTOTAL(9,I253:I253)</f>
        <v>0</v>
      </c>
      <c r="J252" s="254">
        <f t="shared" si="154"/>
        <v>37208193.730000004</v>
      </c>
      <c r="K252" s="254">
        <f t="shared" si="154"/>
        <v>2120035.1999999955</v>
      </c>
      <c r="L252" s="261"/>
    </row>
    <row r="253" spans="1:12" outlineLevel="3">
      <c r="A253" s="146">
        <v>2003001001</v>
      </c>
      <c r="B253" s="147" t="s">
        <v>248</v>
      </c>
      <c r="C253" s="154">
        <v>39328228.93</v>
      </c>
      <c r="D253" s="154">
        <f>_xlfn.XLOOKUP(A253,'[1]CADASTRO CENTRO DE CUSTO-ALOCAÇ'!$A:$A,'[1]CADASTRO CENTRO DE CUSTO-ALOCAÇ'!$C:$C)</f>
        <v>39328228.93</v>
      </c>
      <c r="E253" s="154">
        <f t="shared" si="117"/>
        <v>0</v>
      </c>
      <c r="F253" s="154">
        <f>SUMIF('Contratos - G200'!E:E,'Detalhamento - G200'!A253,'Contratos - G200'!J:J)+SUMIF('Pedidos - G200'!D:D,'Detalhamento - G200'!A253,'Pedidos - G200'!H:H)</f>
        <v>37208193.730000004</v>
      </c>
      <c r="G253" s="154">
        <f t="shared" ref="G253" si="155">C253-F253</f>
        <v>2120035.1999999955</v>
      </c>
      <c r="H253" s="154">
        <f>SUMIF('Notas fiscais - G200'!D:D,'Detalhamento - G200'!A253,'Notas fiscais - G200'!T:T)</f>
        <v>11225908.421997162</v>
      </c>
      <c r="I253" s="154">
        <f>VLOOKUP(A253,'Projeções - G200'!B:F,5,FALSE)</f>
        <v>0</v>
      </c>
      <c r="J253" s="154">
        <f>F253+I253</f>
        <v>37208193.730000004</v>
      </c>
      <c r="K253" s="154">
        <f>C253-J253</f>
        <v>2120035.1999999955</v>
      </c>
      <c r="L253" s="261"/>
    </row>
    <row r="254" spans="1:12">
      <c r="L254" s="261"/>
    </row>
    <row r="255" spans="1:12">
      <c r="L255" s="261"/>
    </row>
  </sheetData>
  <autoFilter ref="A5:K253" xr:uid="{D2724FC5-AA58-470C-BD0A-6CDE8541AF91}"/>
  <mergeCells count="2">
    <mergeCell ref="I1:K1"/>
    <mergeCell ref="A4:K4"/>
  </mergeCells>
  <conditionalFormatting sqref="A1 A2:H3 J2:J3 A4">
    <cfRule type="cellIs" dxfId="203" priority="57" operator="lessThan">
      <formula>0</formula>
    </cfRule>
  </conditionalFormatting>
  <conditionalFormatting sqref="B2:B3">
    <cfRule type="duplicateValues" dxfId="202" priority="192"/>
  </conditionalFormatting>
  <conditionalFormatting sqref="G1:G1048576">
    <cfRule type="cellIs" dxfId="201" priority="8" operator="lessThan">
      <formula>0</formula>
    </cfRule>
  </conditionalFormatting>
  <conditionalFormatting sqref="G10:G11">
    <cfRule type="cellIs" dxfId="200" priority="55" operator="lessThan">
      <formula>-0.1</formula>
    </cfRule>
  </conditionalFormatting>
  <conditionalFormatting sqref="G13:G19">
    <cfRule type="cellIs" dxfId="199" priority="54" operator="lessThan">
      <formula>-0.1</formula>
    </cfRule>
  </conditionalFormatting>
  <conditionalFormatting sqref="G21:G34">
    <cfRule type="cellIs" dxfId="198" priority="15" operator="lessThan">
      <formula>-0.1</formula>
    </cfRule>
  </conditionalFormatting>
  <conditionalFormatting sqref="G36:G45 G47:G48">
    <cfRule type="cellIs" dxfId="197" priority="52" operator="lessThan">
      <formula>-0.1</formula>
    </cfRule>
  </conditionalFormatting>
  <conditionalFormatting sqref="G50:G56">
    <cfRule type="cellIs" dxfId="196" priority="14" operator="lessThan">
      <formula>-0.1</formula>
    </cfRule>
  </conditionalFormatting>
  <conditionalFormatting sqref="G59:G60">
    <cfRule type="cellIs" dxfId="195" priority="13" operator="lessThan">
      <formula>-0.1</formula>
    </cfRule>
  </conditionalFormatting>
  <conditionalFormatting sqref="G62:G67 G69">
    <cfRule type="cellIs" dxfId="194" priority="48" operator="lessThan">
      <formula>-0.1</formula>
    </cfRule>
  </conditionalFormatting>
  <conditionalFormatting sqref="G72">
    <cfRule type="cellIs" dxfId="193" priority="12" operator="lessThan">
      <formula>-0.1</formula>
    </cfRule>
  </conditionalFormatting>
  <conditionalFormatting sqref="G74:G75 G77:G78">
    <cfRule type="cellIs" dxfId="192" priority="47" operator="lessThan">
      <formula>-0.1</formula>
    </cfRule>
  </conditionalFormatting>
  <conditionalFormatting sqref="G80:G81">
    <cfRule type="cellIs" dxfId="191" priority="46" operator="lessThan">
      <formula>-0.1</formula>
    </cfRule>
  </conditionalFormatting>
  <conditionalFormatting sqref="G83">
    <cfRule type="cellIs" dxfId="190" priority="45" operator="lessThan">
      <formula>-0.1</formula>
    </cfRule>
  </conditionalFormatting>
  <conditionalFormatting sqref="G85">
    <cfRule type="cellIs" dxfId="189" priority="23" operator="lessThan">
      <formula>-0.1</formula>
    </cfRule>
  </conditionalFormatting>
  <conditionalFormatting sqref="G88:G92">
    <cfRule type="cellIs" dxfId="188" priority="11" operator="lessThan">
      <formula>-0.1</formula>
    </cfRule>
  </conditionalFormatting>
  <conditionalFormatting sqref="G94:G104 G107:G109">
    <cfRule type="cellIs" dxfId="187" priority="43" operator="lessThan">
      <formula>-0.1</formula>
    </cfRule>
  </conditionalFormatting>
  <conditionalFormatting sqref="G122">
    <cfRule type="cellIs" dxfId="186" priority="42" operator="lessThan">
      <formula>-0.1</formula>
    </cfRule>
  </conditionalFormatting>
  <conditionalFormatting sqref="G124:G126">
    <cfRule type="cellIs" dxfId="185" priority="41" operator="lessThan">
      <formula>-0.1</formula>
    </cfRule>
  </conditionalFormatting>
  <conditionalFormatting sqref="G128:G130">
    <cfRule type="cellIs" dxfId="184" priority="40" operator="lessThan">
      <formula>-0.1</formula>
    </cfRule>
  </conditionalFormatting>
  <conditionalFormatting sqref="G132:G135 G137:G138">
    <cfRule type="cellIs" dxfId="183" priority="39" operator="lessThan">
      <formula>-0.1</formula>
    </cfRule>
  </conditionalFormatting>
  <conditionalFormatting sqref="G140:G159">
    <cfRule type="cellIs" dxfId="182" priority="37" operator="lessThan">
      <formula>-0.1</formula>
    </cfRule>
  </conditionalFormatting>
  <conditionalFormatting sqref="G161:G163">
    <cfRule type="cellIs" dxfId="181" priority="36" operator="lessThan">
      <formula>-0.1</formula>
    </cfRule>
  </conditionalFormatting>
  <conditionalFormatting sqref="G165:G167">
    <cfRule type="cellIs" dxfId="180" priority="35" operator="lessThan">
      <formula>-0.1</formula>
    </cfRule>
  </conditionalFormatting>
  <conditionalFormatting sqref="G169:G171 G173">
    <cfRule type="cellIs" dxfId="179" priority="34" operator="lessThan">
      <formula>-0.1</formula>
    </cfRule>
  </conditionalFormatting>
  <conditionalFormatting sqref="G175:G183">
    <cfRule type="cellIs" dxfId="178" priority="21" operator="lessThan">
      <formula>-0.1</formula>
    </cfRule>
  </conditionalFormatting>
  <conditionalFormatting sqref="G185:G195 G197 G199:G200">
    <cfRule type="cellIs" dxfId="177" priority="32" operator="lessThan">
      <formula>-0.1</formula>
    </cfRule>
  </conditionalFormatting>
  <conditionalFormatting sqref="G202:G203">
    <cfRule type="cellIs" dxfId="176" priority="31" operator="lessThan">
      <formula>-0.1</formula>
    </cfRule>
  </conditionalFormatting>
  <conditionalFormatting sqref="G205">
    <cfRule type="cellIs" dxfId="175" priority="30" operator="lessThan">
      <formula>-0.1</formula>
    </cfRule>
  </conditionalFormatting>
  <conditionalFormatting sqref="G207:G211">
    <cfRule type="cellIs" dxfId="174" priority="20" operator="lessThan">
      <formula>-0.1</formula>
    </cfRule>
  </conditionalFormatting>
  <conditionalFormatting sqref="G213:G215 G217:G218">
    <cfRule type="cellIs" dxfId="173" priority="28" operator="lessThan">
      <formula>-0.1</formula>
    </cfRule>
  </conditionalFormatting>
  <conditionalFormatting sqref="G220:G221">
    <cfRule type="cellIs" dxfId="172" priority="27" operator="lessThan">
      <formula>-0.1</formula>
    </cfRule>
  </conditionalFormatting>
  <conditionalFormatting sqref="G223">
    <cfRule type="cellIs" dxfId="171" priority="26" operator="lessThan">
      <formula>-0.1</formula>
    </cfRule>
  </conditionalFormatting>
  <conditionalFormatting sqref="G225">
    <cfRule type="cellIs" dxfId="170" priority="19" operator="lessThan">
      <formula>-0.1</formula>
    </cfRule>
  </conditionalFormatting>
  <conditionalFormatting sqref="G227">
    <cfRule type="cellIs" dxfId="169" priority="18" operator="lessThan">
      <formula>-0.1</formula>
    </cfRule>
  </conditionalFormatting>
  <conditionalFormatting sqref="G229:G244">
    <cfRule type="cellIs" dxfId="168" priority="17" operator="lessThan">
      <formula>-0.1</formula>
    </cfRule>
  </conditionalFormatting>
  <conditionalFormatting sqref="G246:G247">
    <cfRule type="cellIs" dxfId="167" priority="25" operator="lessThan">
      <formula>-0.1</formula>
    </cfRule>
  </conditionalFormatting>
  <conditionalFormatting sqref="G250">
    <cfRule type="cellIs" dxfId="166" priority="10" operator="lessThan">
      <formula>-0.1</formula>
    </cfRule>
  </conditionalFormatting>
  <conditionalFormatting sqref="G253">
    <cfRule type="cellIs" dxfId="165" priority="9" operator="lessThan">
      <formula>-0.1</formula>
    </cfRule>
  </conditionalFormatting>
  <conditionalFormatting sqref="K1:K1048576">
    <cfRule type="cellIs" dxfId="164" priority="7" operator="lessThan">
      <formula>0</formula>
    </cfRule>
  </conditionalFormatting>
  <conditionalFormatting sqref="M11:XFD255">
    <cfRule type="cellIs" dxfId="163" priority="1" operator="lessThan">
      <formula>0</formula>
    </cfRule>
    <cfRule type="cellIs" dxfId="162" priority="2" operator="lessThan">
      <formula>0</formula>
    </cfRule>
  </conditionalFormatting>
  <conditionalFormatting sqref="P1:XFD10 A254:K255 A256:XFD1048576">
    <cfRule type="cellIs" dxfId="161" priority="58" operator="lessThan">
      <formula>0</formula>
    </cfRule>
  </conditionalFormatting>
  <conditionalFormatting sqref="P1:XFD10 I254:K255 A254:A1048576 I256:XFD1048576">
    <cfRule type="cellIs" dxfId="160" priority="187" operator="lessThan">
      <formula>0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35" firstPageNumber="0" fitToHeight="0" pageOrder="overThenDown" orientation="portrait" verticalDpi="300" r:id="rId1"/>
  <headerFooter alignWithMargins="0"/>
  <rowBreaks count="1" manualBreakCount="1">
    <brk id="244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1C1BC-33B1-4388-81CD-9BC7DD9FF64E}">
  <sheetPr>
    <tabColor theme="1"/>
  </sheetPr>
  <dimension ref="A1:J219"/>
  <sheetViews>
    <sheetView showGridLines="0" zoomScale="65" zoomScaleNormal="65" workbookViewId="0">
      <selection activeCell="B14" sqref="B14:B219"/>
    </sheetView>
  </sheetViews>
  <sheetFormatPr defaultColWidth="8.85546875" defaultRowHeight="18" outlineLevelRow="1"/>
  <cols>
    <col min="1" max="1" width="8.85546875" style="156"/>
    <col min="2" max="2" width="18.7109375" style="147" bestFit="1" customWidth="1"/>
    <col min="3" max="3" width="91.5703125" style="147" customWidth="1"/>
    <col min="4" max="4" width="28.5703125" style="146" customWidth="1"/>
    <col min="5" max="5" width="56.28515625" style="147" bestFit="1" customWidth="1"/>
    <col min="6" max="6" width="25.7109375" style="154" bestFit="1" customWidth="1"/>
    <col min="7" max="7" width="25.42578125" style="147" customWidth="1"/>
    <col min="8" max="8" width="24.42578125" style="154" bestFit="1" customWidth="1"/>
    <col min="9" max="9" width="23.28515625" style="159" bestFit="1" customWidth="1"/>
    <col min="10" max="11" width="8.85546875" style="159"/>
    <col min="12" max="12" width="13.5703125" style="159" bestFit="1" customWidth="1"/>
    <col min="13" max="16384" width="8.85546875" style="159"/>
  </cols>
  <sheetData>
    <row r="1" spans="1:10">
      <c r="B1" s="157"/>
      <c r="C1" s="157"/>
      <c r="D1" s="157"/>
      <c r="E1" s="157"/>
      <c r="F1" s="158"/>
      <c r="G1" s="157"/>
      <c r="H1" s="158"/>
      <c r="I1" s="135" t="s">
        <v>978</v>
      </c>
      <c r="J1" s="134" t="s">
        <v>973</v>
      </c>
    </row>
    <row r="2" spans="1:10" hidden="1" outlineLevel="1">
      <c r="B2" s="157" t="s">
        <v>264</v>
      </c>
      <c r="C2" s="157" t="s">
        <v>265</v>
      </c>
      <c r="D2" s="157"/>
      <c r="E2" s="157"/>
      <c r="F2" s="158"/>
      <c r="G2" s="157"/>
      <c r="H2" s="158"/>
      <c r="I2" s="133"/>
      <c r="J2" s="133"/>
    </row>
    <row r="3" spans="1:10" hidden="1" outlineLevel="1">
      <c r="B3" s="157"/>
      <c r="C3" s="157" t="s">
        <v>266</v>
      </c>
      <c r="D3" s="157"/>
      <c r="E3" s="157"/>
      <c r="F3" s="158"/>
      <c r="G3" s="157"/>
      <c r="H3" s="158"/>
      <c r="I3" s="133"/>
      <c r="J3" s="133"/>
    </row>
    <row r="4" spans="1:10" hidden="1" outlineLevel="1">
      <c r="B4" s="157" t="s">
        <v>267</v>
      </c>
      <c r="C4" s="157" t="s">
        <v>781</v>
      </c>
      <c r="D4" s="157"/>
      <c r="E4" s="157"/>
      <c r="F4" s="158"/>
      <c r="G4" s="157"/>
      <c r="H4" s="158"/>
      <c r="I4" s="133"/>
      <c r="J4" s="133"/>
    </row>
    <row r="5" spans="1:10" collapsed="1">
      <c r="B5" s="157"/>
      <c r="C5" s="157"/>
      <c r="D5" s="157"/>
      <c r="E5"/>
      <c r="F5" s="138"/>
      <c r="G5" s="138"/>
      <c r="H5" s="158"/>
      <c r="I5" s="133">
        <v>32280</v>
      </c>
      <c r="J5" s="133" t="s">
        <v>976</v>
      </c>
    </row>
    <row r="6" spans="1:10" ht="36">
      <c r="B6" s="157"/>
      <c r="C6" s="157"/>
      <c r="D6" s="250"/>
      <c r="E6" s="138"/>
      <c r="F6" s="251"/>
      <c r="G6" s="138"/>
      <c r="H6" s="158"/>
      <c r="I6" s="133">
        <v>5422769.1799999997</v>
      </c>
      <c r="J6" s="133" t="s">
        <v>970</v>
      </c>
    </row>
    <row r="7" spans="1:10">
      <c r="B7" s="157"/>
      <c r="C7" s="157"/>
      <c r="D7" s="157"/>
      <c r="E7" s="157"/>
      <c r="F7" s="157"/>
      <c r="G7" s="157"/>
      <c r="H7" s="252"/>
      <c r="I7" s="133">
        <v>14890073.2401</v>
      </c>
      <c r="J7" s="133" t="s">
        <v>971</v>
      </c>
    </row>
    <row r="8" spans="1:10">
      <c r="B8" s="157"/>
      <c r="C8" s="157"/>
      <c r="D8" s="252"/>
      <c r="E8" s="157"/>
      <c r="F8" s="157"/>
      <c r="G8" s="157"/>
      <c r="H8" s="157"/>
      <c r="I8" s="133"/>
      <c r="J8" s="133" t="s">
        <v>972</v>
      </c>
    </row>
    <row r="9" spans="1:10">
      <c r="B9" s="157"/>
      <c r="C9" s="157"/>
      <c r="D9" s="157"/>
      <c r="E9" s="250"/>
      <c r="F9" s="250"/>
      <c r="G9" s="157"/>
      <c r="H9" s="157"/>
    </row>
    <row r="10" spans="1:10">
      <c r="B10" s="158"/>
      <c r="C10" s="157"/>
      <c r="D10" s="157"/>
      <c r="E10" s="157"/>
      <c r="F10" s="158"/>
      <c r="G10" s="157"/>
      <c r="H10" s="158"/>
    </row>
    <row r="11" spans="1:10">
      <c r="B11" s="157"/>
      <c r="C11" s="157"/>
      <c r="D11" s="127" t="s">
        <v>269</v>
      </c>
      <c r="E11" s="127"/>
      <c r="F11" s="130">
        <f>SUBTOTAL(9,F14:F1048576)</f>
        <v>26099069.816300008</v>
      </c>
      <c r="G11" s="132">
        <f>F11-H11</f>
        <v>15635730.890100006</v>
      </c>
      <c r="H11" s="130">
        <f>SUBTOTAL(9,H14:H1048576)</f>
        <v>10463338.926200002</v>
      </c>
    </row>
    <row r="12" spans="1:10">
      <c r="B12" s="157"/>
      <c r="C12" s="157"/>
      <c r="D12" s="157"/>
      <c r="E12" s="157"/>
      <c r="F12" s="158"/>
      <c r="G12" s="157"/>
      <c r="H12" s="158"/>
    </row>
    <row r="13" spans="1:10" ht="31.9" customHeight="1">
      <c r="A13" s="127" t="s">
        <v>973</v>
      </c>
      <c r="B13" s="127" t="s">
        <v>270</v>
      </c>
      <c r="C13" s="127" t="s">
        <v>271</v>
      </c>
      <c r="D13" s="127" t="s">
        <v>256</v>
      </c>
      <c r="E13" s="127" t="s">
        <v>655</v>
      </c>
      <c r="F13" s="130" t="s">
        <v>272</v>
      </c>
      <c r="G13" s="127" t="s">
        <v>273</v>
      </c>
      <c r="H13" s="130" t="s">
        <v>611</v>
      </c>
    </row>
    <row r="14" spans="1:10" s="156" customFormat="1">
      <c r="A14" s="147" t="s">
        <v>976</v>
      </c>
      <c r="B14" s="147" t="s">
        <v>645</v>
      </c>
      <c r="C14" s="147" t="s">
        <v>274</v>
      </c>
      <c r="D14" s="146">
        <v>2001001007</v>
      </c>
      <c r="E14" s="147" t="str">
        <f>_xlfn.XLOOKUP(D14,'Detalhamento - G200'!A:A,'Detalhamento - G200'!B:B,0)</f>
        <v>LOCAÇÃO DE TOLDO</v>
      </c>
      <c r="F14" s="154">
        <f>32280</f>
        <v>32280</v>
      </c>
      <c r="G14" s="147"/>
      <c r="H14" s="154">
        <f t="shared" ref="H14:H45" si="0">IF(G14&lt;&gt;"",0,F14)</f>
        <v>32280</v>
      </c>
    </row>
    <row r="15" spans="1:10" s="156" customFormat="1">
      <c r="A15" s="147" t="s">
        <v>977</v>
      </c>
      <c r="B15" s="147" t="s">
        <v>636</v>
      </c>
      <c r="C15" s="147" t="s">
        <v>275</v>
      </c>
      <c r="D15" s="146">
        <v>1001001001</v>
      </c>
      <c r="E15" s="147" t="str">
        <f>_xlfn.XLOOKUP(D15,'Detalhamento - G200'!A:A,'Detalhamento - G200'!B:B,0)</f>
        <v>PROJETOS</v>
      </c>
      <c r="F15" s="154">
        <v>7000</v>
      </c>
      <c r="G15" s="147"/>
      <c r="H15" s="154">
        <f t="shared" si="0"/>
        <v>7000</v>
      </c>
    </row>
    <row r="16" spans="1:10" s="156" customFormat="1">
      <c r="A16" s="147" t="s">
        <v>977</v>
      </c>
      <c r="B16" s="147" t="s">
        <v>635</v>
      </c>
      <c r="C16" s="147" t="s">
        <v>276</v>
      </c>
      <c r="D16" s="146">
        <v>2001001006</v>
      </c>
      <c r="E16" s="147" t="str">
        <f>_xlfn.XLOOKUP(D16,'Detalhamento - G200'!A:A,'Detalhamento - G200'!B:B,0)</f>
        <v>IMPLANTAÇÃO DE CANTEIRO - CIVIL</v>
      </c>
      <c r="F16" s="154">
        <v>11921</v>
      </c>
      <c r="G16" s="147"/>
      <c r="H16" s="154">
        <f t="shared" si="0"/>
        <v>11921</v>
      </c>
    </row>
    <row r="17" spans="1:8" s="156" customFormat="1">
      <c r="A17" s="147" t="s">
        <v>977</v>
      </c>
      <c r="B17" s="147" t="s">
        <v>658</v>
      </c>
      <c r="C17" s="147" t="s">
        <v>277</v>
      </c>
      <c r="D17" s="146">
        <v>1001003002</v>
      </c>
      <c r="E17" s="147" t="str">
        <f>_xlfn.XLOOKUP(D17,'Detalhamento - G200'!A:A,'Detalhamento - G200'!B:B,0)</f>
        <v>SUPERESTRUTURA GALPÃO</v>
      </c>
      <c r="F17" s="154">
        <v>3350</v>
      </c>
      <c r="G17" s="147"/>
      <c r="H17" s="154">
        <f t="shared" si="0"/>
        <v>3350</v>
      </c>
    </row>
    <row r="18" spans="1:8" s="156" customFormat="1">
      <c r="A18" s="147" t="s">
        <v>977</v>
      </c>
      <c r="B18" s="147" t="s">
        <v>659</v>
      </c>
      <c r="C18" s="147" t="s">
        <v>278</v>
      </c>
      <c r="D18" s="146">
        <v>1001003002</v>
      </c>
      <c r="E18" s="147" t="str">
        <f>_xlfn.XLOOKUP(D18,'Detalhamento - G200'!A:A,'Detalhamento - G200'!B:B,0)</f>
        <v>SUPERESTRUTURA GALPÃO</v>
      </c>
      <c r="F18" s="154">
        <v>23458</v>
      </c>
      <c r="G18" s="147"/>
      <c r="H18" s="154">
        <f t="shared" si="0"/>
        <v>23458</v>
      </c>
    </row>
    <row r="19" spans="1:8" s="156" customFormat="1">
      <c r="A19" s="147" t="s">
        <v>977</v>
      </c>
      <c r="B19" s="147" t="s">
        <v>660</v>
      </c>
      <c r="C19" s="147" t="s">
        <v>279</v>
      </c>
      <c r="D19" s="146">
        <v>1001002006</v>
      </c>
      <c r="E19" s="147" t="str">
        <f>_xlfn.XLOOKUP(D19,'Detalhamento - G200'!A:A,'Detalhamento - G200'!B:B,0)</f>
        <v>CONTENÇÕES</v>
      </c>
      <c r="F19" s="154">
        <v>3111.6</v>
      </c>
      <c r="G19" s="147" t="s">
        <v>731</v>
      </c>
      <c r="H19" s="154">
        <f t="shared" si="0"/>
        <v>0</v>
      </c>
    </row>
    <row r="20" spans="1:8" s="156" customFormat="1">
      <c r="A20" s="147" t="s">
        <v>977</v>
      </c>
      <c r="B20" s="147" t="s">
        <v>650</v>
      </c>
      <c r="C20" s="147" t="s">
        <v>280</v>
      </c>
      <c r="D20" s="146">
        <v>1001002006</v>
      </c>
      <c r="E20" s="147" t="str">
        <f>_xlfn.XLOOKUP(D20,'Detalhamento - G200'!A:A,'Detalhamento - G200'!B:B,0)</f>
        <v>CONTENÇÕES</v>
      </c>
      <c r="F20" s="154">
        <v>10620.67</v>
      </c>
      <c r="G20" s="147" t="s">
        <v>731</v>
      </c>
      <c r="H20" s="154">
        <f t="shared" si="0"/>
        <v>0</v>
      </c>
    </row>
    <row r="21" spans="1:8" s="156" customFormat="1">
      <c r="A21" s="147" t="s">
        <v>977</v>
      </c>
      <c r="B21" s="147" t="s">
        <v>649</v>
      </c>
      <c r="C21" s="147" t="s">
        <v>281</v>
      </c>
      <c r="D21" s="146">
        <v>1001002006</v>
      </c>
      <c r="E21" s="147" t="str">
        <f>_xlfn.XLOOKUP(D21,'Detalhamento - G200'!A:A,'Detalhamento - G200'!B:B,0)</f>
        <v>CONTENÇÕES</v>
      </c>
      <c r="F21" s="154">
        <v>34650</v>
      </c>
      <c r="G21" s="147" t="s">
        <v>731</v>
      </c>
      <c r="H21" s="154">
        <f t="shared" si="0"/>
        <v>0</v>
      </c>
    </row>
    <row r="22" spans="1:8" s="156" customFormat="1">
      <c r="A22" s="147" t="s">
        <v>977</v>
      </c>
      <c r="B22" s="147" t="s">
        <v>647</v>
      </c>
      <c r="C22" s="147" t="s">
        <v>282</v>
      </c>
      <c r="D22" s="146">
        <v>1001002006</v>
      </c>
      <c r="E22" s="147" t="str">
        <f>_xlfn.XLOOKUP(D22,'Detalhamento - G200'!A:A,'Detalhamento - G200'!B:B,0)</f>
        <v>CONTENÇÕES</v>
      </c>
      <c r="F22" s="154">
        <v>4972</v>
      </c>
      <c r="G22" s="147" t="s">
        <v>731</v>
      </c>
      <c r="H22" s="154">
        <f t="shared" si="0"/>
        <v>0</v>
      </c>
    </row>
    <row r="23" spans="1:8" s="156" customFormat="1">
      <c r="A23" s="147" t="s">
        <v>977</v>
      </c>
      <c r="B23" s="147" t="s">
        <v>652</v>
      </c>
      <c r="C23" s="147" t="s">
        <v>283</v>
      </c>
      <c r="D23" s="146">
        <v>2001001003</v>
      </c>
      <c r="E23" s="147" t="str">
        <f>_xlfn.XLOOKUP(D23,'Detalhamento - G200'!A:A,'Detalhamento - G200'!B:B,0)</f>
        <v>GERADOR BACK-UP</v>
      </c>
      <c r="F23" s="154">
        <v>9000</v>
      </c>
      <c r="G23" s="147"/>
      <c r="H23" s="154">
        <f t="shared" si="0"/>
        <v>9000</v>
      </c>
    </row>
    <row r="24" spans="1:8" s="156" customFormat="1">
      <c r="A24" s="147" t="s">
        <v>977</v>
      </c>
      <c r="B24" s="147" t="s">
        <v>643</v>
      </c>
      <c r="C24" s="147" t="s">
        <v>284</v>
      </c>
      <c r="D24" s="146">
        <v>2001001002</v>
      </c>
      <c r="E24" s="147" t="str">
        <f>_xlfn.XLOOKUP(D24,'Detalhamento - G200'!A:A,'Detalhamento - G200'!B:B,0)</f>
        <v>IMPLANTAÇÃO DE CANTEIRO - ELETRICA</v>
      </c>
      <c r="F24" s="154">
        <v>6620.16</v>
      </c>
      <c r="G24" s="147"/>
      <c r="H24" s="154">
        <f t="shared" si="0"/>
        <v>6620.16</v>
      </c>
    </row>
    <row r="25" spans="1:8" s="156" customFormat="1">
      <c r="A25" s="147" t="s">
        <v>977</v>
      </c>
      <c r="B25" s="147" t="s">
        <v>661</v>
      </c>
      <c r="C25" s="147" t="s">
        <v>285</v>
      </c>
      <c r="D25" s="146">
        <v>1001002006</v>
      </c>
      <c r="E25" s="147" t="str">
        <f>_xlfn.XLOOKUP(D25,'Detalhamento - G200'!A:A,'Detalhamento - G200'!B:B,0)</f>
        <v>CONTENÇÕES</v>
      </c>
      <c r="F25" s="154">
        <v>115500</v>
      </c>
      <c r="G25" s="147" t="s">
        <v>731</v>
      </c>
      <c r="H25" s="154">
        <f t="shared" si="0"/>
        <v>0</v>
      </c>
    </row>
    <row r="26" spans="1:8" s="156" customFormat="1">
      <c r="A26" s="147" t="s">
        <v>977</v>
      </c>
      <c r="B26" s="147" t="s">
        <v>637</v>
      </c>
      <c r="C26" s="147" t="s">
        <v>286</v>
      </c>
      <c r="D26" s="146">
        <v>1001002003</v>
      </c>
      <c r="E26" s="147" t="str">
        <f>_xlfn.XLOOKUP(D26,'Detalhamento - G200'!A:A,'Detalhamento - G200'!B:B,0)</f>
        <v>MOVIMENTAÇÃO DE TERRA</v>
      </c>
      <c r="F26" s="154">
        <v>2176885.6800000002</v>
      </c>
      <c r="G26" s="147"/>
      <c r="H26" s="154">
        <f t="shared" si="0"/>
        <v>2176885.6800000002</v>
      </c>
    </row>
    <row r="27" spans="1:8" s="156" customFormat="1">
      <c r="A27" s="147" t="s">
        <v>977</v>
      </c>
      <c r="B27" s="147" t="s">
        <v>641</v>
      </c>
      <c r="C27" s="147" t="s">
        <v>287</v>
      </c>
      <c r="D27" s="146">
        <v>2001008001</v>
      </c>
      <c r="E27" s="147" t="str">
        <f>_xlfn.XLOOKUP(D27,'Detalhamento - G200'!A:A,'Detalhamento - G200'!B:B,0)</f>
        <v>MATERIAIS DE COPA E LIMPEZA</v>
      </c>
      <c r="F27" s="154">
        <v>1367.37</v>
      </c>
      <c r="G27" s="147"/>
      <c r="H27" s="154">
        <f t="shared" si="0"/>
        <v>1367.37</v>
      </c>
    </row>
    <row r="28" spans="1:8" s="156" customFormat="1">
      <c r="A28" s="147" t="s">
        <v>977</v>
      </c>
      <c r="B28" s="147" t="s">
        <v>648</v>
      </c>
      <c r="C28" s="147" t="s">
        <v>288</v>
      </c>
      <c r="D28" s="146">
        <v>2001008001</v>
      </c>
      <c r="E28" s="147" t="str">
        <f>_xlfn.XLOOKUP(D28,'Detalhamento - G200'!A:A,'Detalhamento - G200'!B:B,0)</f>
        <v>MATERIAIS DE COPA E LIMPEZA</v>
      </c>
      <c r="F28" s="154">
        <v>3114.11</v>
      </c>
      <c r="G28" s="147"/>
      <c r="H28" s="154">
        <f t="shared" si="0"/>
        <v>3114.11</v>
      </c>
    </row>
    <row r="29" spans="1:8" s="156" customFormat="1">
      <c r="A29" s="147" t="s">
        <v>977</v>
      </c>
      <c r="B29" s="147" t="s">
        <v>648</v>
      </c>
      <c r="C29" s="147" t="s">
        <v>288</v>
      </c>
      <c r="D29" s="146">
        <v>1001006003</v>
      </c>
      <c r="E29" s="147" t="str">
        <f>_xlfn.XLOOKUP(D29,'Detalhamento - G200'!A:A,'Detalhamento - G200'!B:B,0)</f>
        <v>POÇO ARTESIANO</v>
      </c>
      <c r="F29" s="154">
        <v>747</v>
      </c>
      <c r="G29" s="147"/>
      <c r="H29" s="154">
        <f t="shared" si="0"/>
        <v>747</v>
      </c>
    </row>
    <row r="30" spans="1:8" s="156" customFormat="1" ht="36">
      <c r="A30" s="147" t="s">
        <v>977</v>
      </c>
      <c r="B30" s="147" t="s">
        <v>640</v>
      </c>
      <c r="C30" s="147" t="s">
        <v>289</v>
      </c>
      <c r="D30" s="146">
        <v>2001001002</v>
      </c>
      <c r="E30" s="147" t="str">
        <f>_xlfn.XLOOKUP(D30,'Detalhamento - G200'!A:A,'Detalhamento - G200'!B:B,0)</f>
        <v>IMPLANTAÇÃO DE CANTEIRO - ELETRICA</v>
      </c>
      <c r="F30" s="154">
        <v>183.06</v>
      </c>
      <c r="G30" s="147"/>
      <c r="H30" s="154">
        <f t="shared" si="0"/>
        <v>183.06</v>
      </c>
    </row>
    <row r="31" spans="1:8" s="156" customFormat="1">
      <c r="A31" s="147" t="s">
        <v>977</v>
      </c>
      <c r="B31" s="147" t="s">
        <v>662</v>
      </c>
      <c r="C31" s="147" t="s">
        <v>290</v>
      </c>
      <c r="D31" s="146">
        <v>1001002006</v>
      </c>
      <c r="E31" s="147" t="str">
        <f>_xlfn.XLOOKUP(D31,'Detalhamento - G200'!A:A,'Detalhamento - G200'!B:B,0)</f>
        <v>CONTENÇÕES</v>
      </c>
      <c r="F31" s="154">
        <v>115640</v>
      </c>
      <c r="G31" s="147" t="s">
        <v>731</v>
      </c>
      <c r="H31" s="154">
        <f t="shared" si="0"/>
        <v>0</v>
      </c>
    </row>
    <row r="32" spans="1:8" s="156" customFormat="1">
      <c r="A32" s="147" t="s">
        <v>977</v>
      </c>
      <c r="B32" s="147" t="s">
        <v>663</v>
      </c>
      <c r="C32" s="147" t="s">
        <v>291</v>
      </c>
      <c r="D32" s="146">
        <v>2001004001</v>
      </c>
      <c r="E32" s="147" t="str">
        <f>_xlfn.XLOOKUP(D32,'Detalhamento - G200'!A:A,'Detalhamento - G200'!B:B,0)</f>
        <v>LOCAÇÃO DE MUNCK</v>
      </c>
      <c r="F32" s="154">
        <v>8800</v>
      </c>
      <c r="G32" s="147"/>
      <c r="H32" s="154">
        <f t="shared" si="0"/>
        <v>8800</v>
      </c>
    </row>
    <row r="33" spans="1:9" s="156" customFormat="1">
      <c r="A33" s="147" t="s">
        <v>977</v>
      </c>
      <c r="B33" s="147" t="s">
        <v>664</v>
      </c>
      <c r="C33" s="147" t="s">
        <v>292</v>
      </c>
      <c r="D33" s="146">
        <v>2001001005</v>
      </c>
      <c r="E33" s="147" t="str">
        <f>_xlfn.XLOOKUP(D33,'Detalhamento - G200'!A:A,'Detalhamento - G200'!B:B,0)</f>
        <v>IMPLANTAÇÃO DE CANTEIRO -  HIDRÁULICA</v>
      </c>
      <c r="F33" s="154">
        <v>504.3</v>
      </c>
      <c r="G33" s="147"/>
      <c r="H33" s="154">
        <f t="shared" si="0"/>
        <v>504.3</v>
      </c>
    </row>
    <row r="34" spans="1:9" s="156" customFormat="1">
      <c r="A34" s="147" t="s">
        <v>977</v>
      </c>
      <c r="B34" s="147" t="s">
        <v>665</v>
      </c>
      <c r="C34" s="147" t="s">
        <v>293</v>
      </c>
      <c r="D34" s="146">
        <v>1002002001</v>
      </c>
      <c r="E34" s="147" t="str">
        <f>_xlfn.XLOOKUP(D34,'Detalhamento - G200'!A:A,'Detalhamento - G200'!B:B,0)</f>
        <v>FUNDAÇÃO</v>
      </c>
      <c r="F34" s="154">
        <v>288</v>
      </c>
      <c r="G34" s="147"/>
      <c r="H34" s="154">
        <f t="shared" si="0"/>
        <v>288</v>
      </c>
    </row>
    <row r="35" spans="1:9" s="156" customFormat="1">
      <c r="A35" s="147" t="s">
        <v>977</v>
      </c>
      <c r="B35" s="147" t="s">
        <v>666</v>
      </c>
      <c r="C35" s="147" t="s">
        <v>294</v>
      </c>
      <c r="D35" s="146">
        <v>1001002003</v>
      </c>
      <c r="E35" s="147" t="str">
        <f>_xlfn.XLOOKUP(D35,'Detalhamento - G200'!A:A,'Detalhamento - G200'!B:B,0)</f>
        <v>MOVIMENTAÇÃO DE TERRA</v>
      </c>
      <c r="F35" s="154">
        <v>1380324.51</v>
      </c>
      <c r="G35" s="147" t="s">
        <v>295</v>
      </c>
      <c r="H35" s="154">
        <f t="shared" si="0"/>
        <v>0</v>
      </c>
    </row>
    <row r="36" spans="1:9" s="156" customFormat="1">
      <c r="A36" s="147" t="s">
        <v>977</v>
      </c>
      <c r="B36" s="147" t="s">
        <v>638</v>
      </c>
      <c r="C36" s="147" t="s">
        <v>296</v>
      </c>
      <c r="D36" s="146">
        <v>1001002003</v>
      </c>
      <c r="E36" s="147" t="str">
        <f>_xlfn.XLOOKUP(D36,'Detalhamento - G200'!A:A,'Detalhamento - G200'!B:B,0)</f>
        <v>MOVIMENTAÇÃO DE TERRA</v>
      </c>
      <c r="F36" s="154">
        <v>1380324.52</v>
      </c>
      <c r="G36" s="147" t="s">
        <v>295</v>
      </c>
      <c r="H36" s="154">
        <f t="shared" si="0"/>
        <v>0</v>
      </c>
    </row>
    <row r="37" spans="1:9" s="156" customFormat="1">
      <c r="A37" s="147" t="s">
        <v>977</v>
      </c>
      <c r="B37" s="147" t="s">
        <v>639</v>
      </c>
      <c r="C37" s="147" t="s">
        <v>297</v>
      </c>
      <c r="D37" s="146">
        <v>1001002006</v>
      </c>
      <c r="E37" s="147" t="str">
        <f>_xlfn.XLOOKUP(D37,'Detalhamento - G200'!A:A,'Detalhamento - G200'!B:B,0)</f>
        <v>CONTENÇÕES</v>
      </c>
      <c r="F37" s="154">
        <v>7920</v>
      </c>
      <c r="G37" s="147" t="s">
        <v>731</v>
      </c>
      <c r="H37" s="154">
        <f t="shared" si="0"/>
        <v>0</v>
      </c>
    </row>
    <row r="38" spans="1:9" s="156" customFormat="1">
      <c r="A38" s="147" t="s">
        <v>977</v>
      </c>
      <c r="B38" s="147" t="s">
        <v>639</v>
      </c>
      <c r="C38" s="147" t="s">
        <v>297</v>
      </c>
      <c r="D38" s="146">
        <v>1001002003</v>
      </c>
      <c r="E38" s="147" t="str">
        <f>_xlfn.XLOOKUP(D38,'Detalhamento - G200'!A:A,'Detalhamento - G200'!B:B,0)</f>
        <v>MOVIMENTAÇÃO DE TERRA</v>
      </c>
      <c r="F38" s="154">
        <v>13580</v>
      </c>
      <c r="G38" s="147"/>
      <c r="H38" s="154">
        <f t="shared" si="0"/>
        <v>13580</v>
      </c>
    </row>
    <row r="39" spans="1:9" s="156" customFormat="1">
      <c r="A39" s="147" t="s">
        <v>977</v>
      </c>
      <c r="B39" s="147" t="s">
        <v>639</v>
      </c>
      <c r="C39" s="147" t="s">
        <v>297</v>
      </c>
      <c r="D39" s="146">
        <v>1001002003</v>
      </c>
      <c r="E39" s="147" t="str">
        <f>_xlfn.XLOOKUP(D39,'Detalhamento - G200'!A:A,'Detalhamento - G200'!B:B,0)</f>
        <v>MOVIMENTAÇÃO DE TERRA</v>
      </c>
      <c r="F39" s="154">
        <v>71780</v>
      </c>
      <c r="G39" s="147"/>
      <c r="H39" s="154">
        <f t="shared" si="0"/>
        <v>71780</v>
      </c>
    </row>
    <row r="40" spans="1:9" s="156" customFormat="1">
      <c r="A40" s="147" t="s">
        <v>977</v>
      </c>
      <c r="B40" s="147" t="s">
        <v>667</v>
      </c>
      <c r="C40" s="147" t="s">
        <v>278</v>
      </c>
      <c r="D40" s="146">
        <v>1001003002</v>
      </c>
      <c r="E40" s="147" t="str">
        <f>_xlfn.XLOOKUP(D40,'Detalhamento - G200'!A:A,'Detalhamento - G200'!B:B,0)</f>
        <v>SUPERESTRUTURA GALPÃO</v>
      </c>
      <c r="F40" s="154">
        <v>5933</v>
      </c>
      <c r="G40" s="147"/>
      <c r="H40" s="154">
        <f t="shared" si="0"/>
        <v>5933</v>
      </c>
    </row>
    <row r="41" spans="1:9" s="156" customFormat="1">
      <c r="A41" s="147" t="s">
        <v>977</v>
      </c>
      <c r="B41" s="147" t="s">
        <v>668</v>
      </c>
      <c r="C41" s="147" t="s">
        <v>298</v>
      </c>
      <c r="D41" s="146">
        <v>1001001002</v>
      </c>
      <c r="E41" s="147" t="str">
        <f>_xlfn.XLOOKUP(D41,'Detalhamento - G200'!A:A,'Detalhamento - G200'!B:B,0)</f>
        <v>ENSAIOS E CONSULTORIAS</v>
      </c>
      <c r="F41" s="154">
        <v>680</v>
      </c>
      <c r="G41" s="147"/>
      <c r="H41" s="154">
        <f t="shared" si="0"/>
        <v>680</v>
      </c>
      <c r="I41" s="156" t="s">
        <v>858</v>
      </c>
    </row>
    <row r="42" spans="1:9" s="156" customFormat="1">
      <c r="A42" s="147" t="s">
        <v>977</v>
      </c>
      <c r="B42" s="147" t="s">
        <v>668</v>
      </c>
      <c r="C42" s="147" t="s">
        <v>298</v>
      </c>
      <c r="D42" s="146">
        <v>1001002003</v>
      </c>
      <c r="E42" s="147" t="str">
        <f>_xlfn.XLOOKUP(D42,'Detalhamento - G200'!A:A,'Detalhamento - G200'!B:B,0)</f>
        <v>MOVIMENTAÇÃO DE TERRA</v>
      </c>
      <c r="F42" s="154">
        <v>7035</v>
      </c>
      <c r="G42" s="147"/>
      <c r="H42" s="154">
        <f t="shared" si="0"/>
        <v>7035</v>
      </c>
      <c r="I42" s="156" t="s">
        <v>859</v>
      </c>
    </row>
    <row r="43" spans="1:9" s="156" customFormat="1">
      <c r="A43" s="147" t="s">
        <v>977</v>
      </c>
      <c r="B43" s="147" t="s">
        <v>668</v>
      </c>
      <c r="C43" s="147" t="s">
        <v>298</v>
      </c>
      <c r="D43" s="146">
        <v>1001001002</v>
      </c>
      <c r="E43" s="147" t="str">
        <f>_xlfn.XLOOKUP(D43,'Detalhamento - G200'!A:A,'Detalhamento - G200'!B:B,0)</f>
        <v>ENSAIOS E CONSULTORIAS</v>
      </c>
      <c r="F43" s="154">
        <v>880</v>
      </c>
      <c r="G43" s="147"/>
      <c r="H43" s="154">
        <f t="shared" si="0"/>
        <v>880</v>
      </c>
      <c r="I43" s="156" t="s">
        <v>857</v>
      </c>
    </row>
    <row r="44" spans="1:9" s="156" customFormat="1">
      <c r="A44" s="147" t="s">
        <v>977</v>
      </c>
      <c r="B44" s="147" t="s">
        <v>668</v>
      </c>
      <c r="C44" s="147" t="s">
        <v>298</v>
      </c>
      <c r="D44" s="146">
        <v>1001001002</v>
      </c>
      <c r="E44" s="147" t="str">
        <f>_xlfn.XLOOKUP(D44,'Detalhamento - G200'!A:A,'Detalhamento - G200'!B:B,0)</f>
        <v>ENSAIOS E CONSULTORIAS</v>
      </c>
      <c r="F44" s="154">
        <v>920</v>
      </c>
      <c r="G44" s="147" t="s">
        <v>368</v>
      </c>
      <c r="H44" s="154">
        <f t="shared" si="0"/>
        <v>0</v>
      </c>
    </row>
    <row r="45" spans="1:9" s="156" customFormat="1">
      <c r="A45" s="147" t="s">
        <v>977</v>
      </c>
      <c r="B45" s="147" t="s">
        <v>651</v>
      </c>
      <c r="C45" s="147" t="s">
        <v>299</v>
      </c>
      <c r="D45" s="146">
        <v>2001001010</v>
      </c>
      <c r="E45" s="147" t="str">
        <f>_xlfn.XLOOKUP(D45,'Detalhamento - G200'!A:A,'Detalhamento - G200'!B:B,0)</f>
        <v>MANUTENÇÃO DE CANTEIRO</v>
      </c>
      <c r="F45" s="154">
        <v>795</v>
      </c>
      <c r="G45" s="147"/>
      <c r="H45" s="154">
        <f t="shared" si="0"/>
        <v>795</v>
      </c>
    </row>
    <row r="46" spans="1:9" s="156" customFormat="1">
      <c r="A46" s="147" t="s">
        <v>977</v>
      </c>
      <c r="B46" s="147" t="s">
        <v>642</v>
      </c>
      <c r="C46" s="147" t="s">
        <v>300</v>
      </c>
      <c r="D46" s="146">
        <v>1002002001</v>
      </c>
      <c r="E46" s="147" t="str">
        <f>_xlfn.XLOOKUP(D46,'Detalhamento - G200'!A:A,'Detalhamento - G200'!B:B,0)</f>
        <v>FUNDAÇÃO</v>
      </c>
      <c r="F46" s="154">
        <v>6635</v>
      </c>
      <c r="G46" s="147"/>
      <c r="H46" s="154">
        <f t="shared" ref="H46:H76" si="1">IF(G46&lt;&gt;"",0,F46)</f>
        <v>6635</v>
      </c>
    </row>
    <row r="47" spans="1:9" s="156" customFormat="1">
      <c r="A47" s="147" t="s">
        <v>977</v>
      </c>
      <c r="B47" s="147" t="s">
        <v>669</v>
      </c>
      <c r="C47" s="147" t="s">
        <v>301</v>
      </c>
      <c r="D47" s="146">
        <v>2001001006</v>
      </c>
      <c r="E47" s="147" t="str">
        <f>_xlfn.XLOOKUP(D47,'Detalhamento - G200'!A:A,'Detalhamento - G200'!B:B,0)</f>
        <v>IMPLANTAÇÃO DE CANTEIRO - CIVIL</v>
      </c>
      <c r="F47" s="154">
        <v>1130</v>
      </c>
      <c r="G47" s="147"/>
      <c r="H47" s="154">
        <f t="shared" si="1"/>
        <v>1130</v>
      </c>
    </row>
    <row r="48" spans="1:9" s="156" customFormat="1">
      <c r="A48" s="147" t="s">
        <v>977</v>
      </c>
      <c r="B48" s="147" t="s">
        <v>646</v>
      </c>
      <c r="C48" s="147" t="s">
        <v>302</v>
      </c>
      <c r="D48" s="146">
        <v>1001002003</v>
      </c>
      <c r="E48" s="147" t="str">
        <f>_xlfn.XLOOKUP(D48,'Detalhamento - G200'!A:A,'Detalhamento - G200'!B:B,0)</f>
        <v>MOVIMENTAÇÃO DE TERRA</v>
      </c>
      <c r="F48" s="154">
        <v>3528.25</v>
      </c>
      <c r="G48" s="147"/>
      <c r="H48" s="154">
        <f t="shared" si="1"/>
        <v>3528.25</v>
      </c>
    </row>
    <row r="49" spans="1:8" s="156" customFormat="1">
      <c r="A49" s="147" t="s">
        <v>977</v>
      </c>
      <c r="B49" s="147" t="s">
        <v>646</v>
      </c>
      <c r="C49" s="147" t="s">
        <v>302</v>
      </c>
      <c r="D49" s="146">
        <v>1001002006</v>
      </c>
      <c r="E49" s="147" t="str">
        <f>_xlfn.XLOOKUP(D49,'Detalhamento - G200'!A:A,'Detalhamento - G200'!B:B,0)</f>
        <v>CONTENÇÕES</v>
      </c>
      <c r="F49" s="154">
        <v>3570.95</v>
      </c>
      <c r="G49" s="147" t="s">
        <v>731</v>
      </c>
      <c r="H49" s="154">
        <f t="shared" si="1"/>
        <v>0</v>
      </c>
    </row>
    <row r="50" spans="1:8" s="156" customFormat="1">
      <c r="A50" s="147" t="s">
        <v>974</v>
      </c>
      <c r="B50" s="147" t="s">
        <v>670</v>
      </c>
      <c r="C50" s="147" t="s">
        <v>303</v>
      </c>
      <c r="D50" s="146">
        <v>1001002006</v>
      </c>
      <c r="E50" s="147" t="str">
        <f>_xlfn.XLOOKUP(D50,'Detalhamento - G200'!A:A,'Detalhamento - G200'!B:B,0)</f>
        <v>CONTENÇÕES</v>
      </c>
      <c r="F50" s="154">
        <v>1162501.8700000001</v>
      </c>
      <c r="G50" s="147" t="s">
        <v>731</v>
      </c>
      <c r="H50" s="154">
        <f t="shared" si="1"/>
        <v>0</v>
      </c>
    </row>
    <row r="51" spans="1:8" s="156" customFormat="1">
      <c r="A51" s="147" t="s">
        <v>974</v>
      </c>
      <c r="B51" s="147" t="s">
        <v>671</v>
      </c>
      <c r="C51" s="147" t="s">
        <v>304</v>
      </c>
      <c r="D51" s="146">
        <v>1001002006</v>
      </c>
      <c r="E51" s="147" t="str">
        <f>_xlfn.XLOOKUP(D51,'Detalhamento - G200'!A:A,'Detalhamento - G200'!B:B,0)</f>
        <v>CONTENÇÕES</v>
      </c>
      <c r="F51" s="154">
        <v>60984</v>
      </c>
      <c r="G51" s="147" t="s">
        <v>731</v>
      </c>
      <c r="H51" s="154">
        <f t="shared" si="1"/>
        <v>0</v>
      </c>
    </row>
    <row r="52" spans="1:8" s="156" customFormat="1" ht="36">
      <c r="A52" s="147" t="s">
        <v>974</v>
      </c>
      <c r="B52" s="147" t="s">
        <v>672</v>
      </c>
      <c r="C52" s="147" t="s">
        <v>305</v>
      </c>
      <c r="D52" s="146">
        <v>1001002006</v>
      </c>
      <c r="E52" s="147" t="str">
        <f>_xlfn.XLOOKUP(D52,'Detalhamento - G200'!A:A,'Detalhamento - G200'!B:B,0)</f>
        <v>CONTENÇÕES</v>
      </c>
      <c r="F52" s="154">
        <v>49953.7</v>
      </c>
      <c r="G52" s="147" t="s">
        <v>731</v>
      </c>
      <c r="H52" s="154">
        <f t="shared" si="1"/>
        <v>0</v>
      </c>
    </row>
    <row r="53" spans="1:8" s="156" customFormat="1">
      <c r="A53" s="147" t="s">
        <v>974</v>
      </c>
      <c r="B53" s="147" t="s">
        <v>673</v>
      </c>
      <c r="C53" s="147" t="s">
        <v>306</v>
      </c>
      <c r="D53" s="146">
        <v>2001006013</v>
      </c>
      <c r="E53" s="147" t="str">
        <f>_xlfn.XLOOKUP(D53,'Detalhamento - G200'!A:A,'Detalhamento - G200'!B:B,0)</f>
        <v>BIG BAG</v>
      </c>
      <c r="F53" s="154">
        <v>2813.3</v>
      </c>
      <c r="G53" s="147"/>
      <c r="H53" s="154">
        <f t="shared" si="1"/>
        <v>2813.3</v>
      </c>
    </row>
    <row r="54" spans="1:8" s="156" customFormat="1">
      <c r="A54" s="147" t="s">
        <v>974</v>
      </c>
      <c r="B54" s="147" t="s">
        <v>674</v>
      </c>
      <c r="C54" s="147" t="s">
        <v>307</v>
      </c>
      <c r="D54" s="146">
        <v>2001006002</v>
      </c>
      <c r="E54" s="147" t="str">
        <f>_xlfn.XLOOKUP(D54,'Detalhamento - G200'!A:A,'Detalhamento - G200'!B:B,0)</f>
        <v>LIMPA FOSSA</v>
      </c>
      <c r="F54" s="154">
        <v>51180</v>
      </c>
      <c r="G54" s="147"/>
      <c r="H54" s="154">
        <f t="shared" si="1"/>
        <v>51180</v>
      </c>
    </row>
    <row r="55" spans="1:8" s="156" customFormat="1">
      <c r="A55" s="147" t="s">
        <v>974</v>
      </c>
      <c r="B55" s="147" t="s">
        <v>675</v>
      </c>
      <c r="C55" s="147" t="s">
        <v>308</v>
      </c>
      <c r="D55" s="146">
        <v>1002002001</v>
      </c>
      <c r="E55" s="147" t="str">
        <f>_xlfn.XLOOKUP(D55,'Detalhamento - G200'!A:A,'Detalhamento - G200'!B:B,0)</f>
        <v>FUNDAÇÃO</v>
      </c>
      <c r="F55" s="154">
        <v>4625</v>
      </c>
      <c r="G55" s="147"/>
      <c r="H55" s="154">
        <f t="shared" si="1"/>
        <v>4625</v>
      </c>
    </row>
    <row r="56" spans="1:8" s="156" customFormat="1">
      <c r="A56" s="147" t="s">
        <v>974</v>
      </c>
      <c r="B56" s="147" t="s">
        <v>675</v>
      </c>
      <c r="C56" s="147" t="s">
        <v>308</v>
      </c>
      <c r="D56" s="146">
        <v>2001001006</v>
      </c>
      <c r="E56" s="147" t="str">
        <f>_xlfn.XLOOKUP(D56,'Detalhamento - G200'!A:A,'Detalhamento - G200'!B:B,0)</f>
        <v>IMPLANTAÇÃO DE CANTEIRO - CIVIL</v>
      </c>
      <c r="F56" s="154">
        <v>4440</v>
      </c>
      <c r="G56" s="147"/>
      <c r="H56" s="154">
        <f t="shared" si="1"/>
        <v>4440</v>
      </c>
    </row>
    <row r="57" spans="1:8" s="156" customFormat="1">
      <c r="A57" s="147" t="s">
        <v>974</v>
      </c>
      <c r="B57" s="147" t="s">
        <v>676</v>
      </c>
      <c r="C57" s="147" t="s">
        <v>309</v>
      </c>
      <c r="D57" s="146">
        <v>2001008001</v>
      </c>
      <c r="E57" s="147" t="str">
        <f>_xlfn.XLOOKUP(D57,'Detalhamento - G200'!A:A,'Detalhamento - G200'!B:B,0)</f>
        <v>MATERIAIS DE COPA E LIMPEZA</v>
      </c>
      <c r="F57" s="154">
        <v>1062</v>
      </c>
      <c r="G57" s="147"/>
      <c r="H57" s="154">
        <f t="shared" si="1"/>
        <v>1062</v>
      </c>
    </row>
    <row r="58" spans="1:8" s="156" customFormat="1">
      <c r="A58" s="147" t="s">
        <v>974</v>
      </c>
      <c r="B58" s="147" t="s">
        <v>677</v>
      </c>
      <c r="C58" s="147" t="s">
        <v>310</v>
      </c>
      <c r="D58" s="146">
        <v>2001001005</v>
      </c>
      <c r="E58" s="147" t="str">
        <f>_xlfn.XLOOKUP(D58,'Detalhamento - G200'!A:A,'Detalhamento - G200'!B:B,0)</f>
        <v>IMPLANTAÇÃO DE CANTEIRO -  HIDRÁULICA</v>
      </c>
      <c r="F58" s="154">
        <v>1464.68</v>
      </c>
      <c r="G58" s="147"/>
      <c r="H58" s="154">
        <f t="shared" si="1"/>
        <v>1464.68</v>
      </c>
    </row>
    <row r="59" spans="1:8" s="156" customFormat="1">
      <c r="A59" s="147" t="s">
        <v>974</v>
      </c>
      <c r="B59" s="147" t="s">
        <v>678</v>
      </c>
      <c r="C59" s="147" t="s">
        <v>301</v>
      </c>
      <c r="D59" s="146">
        <v>2001005002</v>
      </c>
      <c r="E59" s="147" t="str">
        <f>_xlfn.XLOOKUP(D59,'Detalhamento - G200'!A:A,'Detalhamento - G200'!B:B,0)</f>
        <v>EPC GERAL E COMUNICAÇÃO VISUAL</v>
      </c>
      <c r="F59" s="154">
        <v>5090.3999999999996</v>
      </c>
      <c r="G59" s="147"/>
      <c r="H59" s="154">
        <f t="shared" si="1"/>
        <v>5090.3999999999996</v>
      </c>
    </row>
    <row r="60" spans="1:8" s="156" customFormat="1">
      <c r="A60" s="147" t="s">
        <v>974</v>
      </c>
      <c r="B60" s="147" t="s">
        <v>678</v>
      </c>
      <c r="C60" s="147" t="s">
        <v>301</v>
      </c>
      <c r="D60" s="146">
        <v>2001021001</v>
      </c>
      <c r="E60" s="147" t="str">
        <f>_xlfn.XLOOKUP(D60,'Detalhamento - G200'!A:A,'Detalhamento - G200'!B:B,0)</f>
        <v>PLOTAGEM</v>
      </c>
      <c r="F60" s="154">
        <v>360</v>
      </c>
      <c r="G60" s="147"/>
      <c r="H60" s="154">
        <f t="shared" si="1"/>
        <v>360</v>
      </c>
    </row>
    <row r="61" spans="1:8" s="156" customFormat="1">
      <c r="A61" s="147" t="s">
        <v>974</v>
      </c>
      <c r="B61" s="147" t="s">
        <v>679</v>
      </c>
      <c r="C61" s="147" t="s">
        <v>312</v>
      </c>
      <c r="D61" s="146">
        <v>2001001006</v>
      </c>
      <c r="E61" s="147" t="str">
        <f>_xlfn.XLOOKUP(D61,'Detalhamento - G200'!A:A,'Detalhamento - G200'!B:B,0)</f>
        <v>IMPLANTAÇÃO DE CANTEIRO - CIVIL</v>
      </c>
      <c r="F61" s="154">
        <v>11747.5</v>
      </c>
      <c r="G61" s="147"/>
      <c r="H61" s="154">
        <f t="shared" si="1"/>
        <v>11747.5</v>
      </c>
    </row>
    <row r="62" spans="1:8" s="156" customFormat="1">
      <c r="A62" s="147" t="s">
        <v>974</v>
      </c>
      <c r="B62" s="147" t="s">
        <v>680</v>
      </c>
      <c r="C62" s="147" t="s">
        <v>588</v>
      </c>
      <c r="D62" s="146">
        <v>2001001007</v>
      </c>
      <c r="E62" s="147" t="str">
        <f>_xlfn.XLOOKUP(D62,'Detalhamento - G200'!A:A,'Detalhamento - G200'!B:B,0)</f>
        <v>LOCAÇÃO DE TOLDO</v>
      </c>
      <c r="F62" s="154">
        <v>1500</v>
      </c>
      <c r="G62" s="147"/>
      <c r="H62" s="154">
        <f t="shared" si="1"/>
        <v>1500</v>
      </c>
    </row>
    <row r="63" spans="1:8" s="156" customFormat="1">
      <c r="A63" s="147" t="s">
        <v>974</v>
      </c>
      <c r="B63" s="147" t="s">
        <v>681</v>
      </c>
      <c r="C63" s="147" t="s">
        <v>291</v>
      </c>
      <c r="D63" s="146">
        <v>2001004001</v>
      </c>
      <c r="E63" s="147" t="str">
        <f>_xlfn.XLOOKUP(D63,'Detalhamento - G200'!A:A,'Detalhamento - G200'!B:B,0)</f>
        <v>LOCAÇÃO DE MUNCK</v>
      </c>
      <c r="F63" s="154">
        <v>36042.800000000003</v>
      </c>
      <c r="G63" s="147"/>
      <c r="H63" s="154">
        <f t="shared" si="1"/>
        <v>36042.800000000003</v>
      </c>
    </row>
    <row r="64" spans="1:8" s="156" customFormat="1">
      <c r="A64" s="147" t="s">
        <v>974</v>
      </c>
      <c r="B64" s="147" t="s">
        <v>682</v>
      </c>
      <c r="C64" s="147" t="s">
        <v>299</v>
      </c>
      <c r="D64" s="146">
        <v>2001001006</v>
      </c>
      <c r="E64" s="147" t="str">
        <f>_xlfn.XLOOKUP(D64,'Detalhamento - G200'!A:A,'Detalhamento - G200'!B:B,0)</f>
        <v>IMPLANTAÇÃO DE CANTEIRO - CIVIL</v>
      </c>
      <c r="F64" s="154">
        <v>490</v>
      </c>
      <c r="G64" s="147"/>
      <c r="H64" s="154">
        <f t="shared" si="1"/>
        <v>490</v>
      </c>
    </row>
    <row r="65" spans="1:8" s="156" customFormat="1">
      <c r="A65" s="147" t="s">
        <v>974</v>
      </c>
      <c r="B65" s="147" t="s">
        <v>682</v>
      </c>
      <c r="C65" s="147" t="s">
        <v>299</v>
      </c>
      <c r="D65" s="146">
        <v>2001001010</v>
      </c>
      <c r="E65" s="147" t="str">
        <f>_xlfn.XLOOKUP(D65,'Detalhamento - G200'!A:A,'Detalhamento - G200'!B:B,0)</f>
        <v>MANUTENÇÃO DE CANTEIRO</v>
      </c>
      <c r="F65" s="154">
        <v>490</v>
      </c>
      <c r="G65" s="147"/>
      <c r="H65" s="154">
        <f t="shared" si="1"/>
        <v>490</v>
      </c>
    </row>
    <row r="66" spans="1:8" s="156" customFormat="1">
      <c r="A66" s="147" t="s">
        <v>974</v>
      </c>
      <c r="B66" s="147" t="s">
        <v>683</v>
      </c>
      <c r="C66" s="147" t="s">
        <v>288</v>
      </c>
      <c r="D66" s="146">
        <v>2001001002</v>
      </c>
      <c r="E66" s="147" t="str">
        <f>_xlfn.XLOOKUP(D66,'Detalhamento - G200'!A:A,'Detalhamento - G200'!B:B,0)</f>
        <v>IMPLANTAÇÃO DE CANTEIRO - ELETRICA</v>
      </c>
      <c r="F66" s="154">
        <v>390</v>
      </c>
      <c r="G66" s="147"/>
      <c r="H66" s="154">
        <f t="shared" si="1"/>
        <v>390</v>
      </c>
    </row>
    <row r="67" spans="1:8" s="156" customFormat="1">
      <c r="A67" s="147" t="s">
        <v>974</v>
      </c>
      <c r="B67" s="147" t="s">
        <v>684</v>
      </c>
      <c r="C67" s="147" t="s">
        <v>589</v>
      </c>
      <c r="D67" s="146">
        <v>1002002001</v>
      </c>
      <c r="E67" s="147" t="str">
        <f>_xlfn.XLOOKUP(D67,'Detalhamento - G200'!A:A,'Detalhamento - G200'!B:B,0)</f>
        <v>FUNDAÇÃO</v>
      </c>
      <c r="F67" s="154">
        <v>43780.14</v>
      </c>
      <c r="G67" s="147"/>
      <c r="H67" s="154">
        <f t="shared" si="1"/>
        <v>43780.14</v>
      </c>
    </row>
    <row r="68" spans="1:8" s="156" customFormat="1" ht="36">
      <c r="A68" s="147" t="s">
        <v>974</v>
      </c>
      <c r="B68" s="147" t="s">
        <v>685</v>
      </c>
      <c r="C68" s="147" t="s">
        <v>289</v>
      </c>
      <c r="D68" s="146">
        <v>1002002001</v>
      </c>
      <c r="E68" s="147" t="str">
        <f>_xlfn.XLOOKUP(D68,'Detalhamento - G200'!A:A,'Detalhamento - G200'!B:B,0)</f>
        <v>FUNDAÇÃO</v>
      </c>
      <c r="F68" s="154">
        <v>7747.63</v>
      </c>
      <c r="G68" s="147"/>
      <c r="H68" s="154">
        <f t="shared" si="1"/>
        <v>7747.63</v>
      </c>
    </row>
    <row r="69" spans="1:8" s="156" customFormat="1">
      <c r="A69" s="147" t="s">
        <v>974</v>
      </c>
      <c r="B69" s="147" t="s">
        <v>686</v>
      </c>
      <c r="C69" s="147" t="s">
        <v>301</v>
      </c>
      <c r="D69" s="146">
        <v>2001001006</v>
      </c>
      <c r="E69" s="147" t="str">
        <f>_xlfn.XLOOKUP(D69,'Detalhamento - G200'!A:A,'Detalhamento - G200'!B:B,0)</f>
        <v>IMPLANTAÇÃO DE CANTEIRO - CIVIL</v>
      </c>
      <c r="F69" s="154">
        <v>2300</v>
      </c>
      <c r="G69" s="147"/>
      <c r="H69" s="154">
        <f t="shared" si="1"/>
        <v>2300</v>
      </c>
    </row>
    <row r="70" spans="1:8" s="156" customFormat="1">
      <c r="A70" s="147" t="s">
        <v>974</v>
      </c>
      <c r="B70" s="147" t="s">
        <v>687</v>
      </c>
      <c r="C70" s="147" t="s">
        <v>634</v>
      </c>
      <c r="D70" s="146">
        <v>2001001006</v>
      </c>
      <c r="E70" s="147" t="str">
        <f>_xlfn.XLOOKUP(D70,'Detalhamento - G200'!A:A,'Detalhamento - G200'!B:B,0)</f>
        <v>IMPLANTAÇÃO DE CANTEIRO - CIVIL</v>
      </c>
      <c r="F70" s="154">
        <v>5180</v>
      </c>
      <c r="G70" s="147"/>
      <c r="H70" s="154">
        <f t="shared" si="1"/>
        <v>5180</v>
      </c>
    </row>
    <row r="71" spans="1:8" s="156" customFormat="1">
      <c r="A71" s="147" t="s">
        <v>974</v>
      </c>
      <c r="B71" s="147" t="s">
        <v>688</v>
      </c>
      <c r="C71" s="147" t="s">
        <v>633</v>
      </c>
      <c r="D71" s="146">
        <v>2001008001</v>
      </c>
      <c r="E71" s="147" t="str">
        <f>_xlfn.XLOOKUP(D71,'Detalhamento - G200'!A:A,'Detalhamento - G200'!B:B,0)</f>
        <v>MATERIAIS DE COPA E LIMPEZA</v>
      </c>
      <c r="F71" s="154">
        <v>1534</v>
      </c>
      <c r="G71" s="147"/>
      <c r="H71" s="154">
        <f t="shared" si="1"/>
        <v>1534</v>
      </c>
    </row>
    <row r="72" spans="1:8" s="156" customFormat="1">
      <c r="A72" s="147" t="s">
        <v>974</v>
      </c>
      <c r="B72" s="147" t="s">
        <v>689</v>
      </c>
      <c r="C72" s="147" t="s">
        <v>288</v>
      </c>
      <c r="D72" s="146">
        <v>2001008001</v>
      </c>
      <c r="E72" s="147" t="str">
        <f>_xlfn.XLOOKUP(D72,'Detalhamento - G200'!A:A,'Detalhamento - G200'!B:B,0)</f>
        <v>MATERIAIS DE COPA E LIMPEZA</v>
      </c>
      <c r="F72" s="154">
        <v>3160</v>
      </c>
      <c r="G72" s="147"/>
      <c r="H72" s="154">
        <f t="shared" si="1"/>
        <v>3160</v>
      </c>
    </row>
    <row r="73" spans="1:8" s="156" customFormat="1">
      <c r="A73" s="147" t="s">
        <v>974</v>
      </c>
      <c r="B73" s="147" t="s">
        <v>690</v>
      </c>
      <c r="C73" s="147" t="s">
        <v>630</v>
      </c>
      <c r="D73" s="146">
        <v>1002002001</v>
      </c>
      <c r="E73" s="147" t="str">
        <f>_xlfn.XLOOKUP(D73,'Detalhamento - G200'!A:A,'Detalhamento - G200'!B:B,0)</f>
        <v>FUNDAÇÃO</v>
      </c>
      <c r="F73" s="154">
        <v>2725</v>
      </c>
      <c r="G73" s="147"/>
      <c r="H73" s="154">
        <f t="shared" si="1"/>
        <v>2725</v>
      </c>
    </row>
    <row r="74" spans="1:8" s="156" customFormat="1">
      <c r="A74" s="147" t="s">
        <v>974</v>
      </c>
      <c r="B74" s="147" t="s">
        <v>691</v>
      </c>
      <c r="C74" s="147" t="s">
        <v>631</v>
      </c>
      <c r="D74" s="146">
        <v>1002002001</v>
      </c>
      <c r="E74" s="147" t="str">
        <f>_xlfn.XLOOKUP(D74,'Detalhamento - G200'!A:A,'Detalhamento - G200'!B:B,0)</f>
        <v>FUNDAÇÃO</v>
      </c>
      <c r="F74" s="154">
        <v>330</v>
      </c>
      <c r="G74" s="147"/>
      <c r="H74" s="154">
        <f t="shared" si="1"/>
        <v>330</v>
      </c>
    </row>
    <row r="75" spans="1:8" s="156" customFormat="1">
      <c r="A75" s="147" t="s">
        <v>974</v>
      </c>
      <c r="B75" s="147" t="s">
        <v>692</v>
      </c>
      <c r="C75" s="147" t="s">
        <v>632</v>
      </c>
      <c r="D75" s="146">
        <v>1001002006</v>
      </c>
      <c r="E75" s="147" t="str">
        <f>_xlfn.XLOOKUP(D75,'Detalhamento - G200'!A:A,'Detalhamento - G200'!B:B,0)</f>
        <v>CONTENÇÕES</v>
      </c>
      <c r="F75" s="154">
        <v>4100</v>
      </c>
      <c r="G75" s="147" t="s">
        <v>731</v>
      </c>
      <c r="H75" s="154">
        <f t="shared" si="1"/>
        <v>0</v>
      </c>
    </row>
    <row r="76" spans="1:8" s="156" customFormat="1">
      <c r="A76" s="147" t="s">
        <v>974</v>
      </c>
      <c r="B76" s="147" t="s">
        <v>644</v>
      </c>
      <c r="C76" s="147" t="s">
        <v>286</v>
      </c>
      <c r="D76" s="146">
        <v>1001002002</v>
      </c>
      <c r="E76" s="147" t="str">
        <f>_xlfn.XLOOKUP(D76,'Detalhamento - G200'!A:A,'Detalhamento - G200'!B:B,0)</f>
        <v>MOVIMENTO DE TERRA - ESCOPO MÍNIMO</v>
      </c>
      <c r="F76" s="154">
        <v>4636906.6100000003</v>
      </c>
      <c r="G76" s="147"/>
      <c r="H76" s="154">
        <f t="shared" si="1"/>
        <v>4636906.6100000003</v>
      </c>
    </row>
    <row r="77" spans="1:8" s="156" customFormat="1">
      <c r="A77" s="147" t="s">
        <v>974</v>
      </c>
      <c r="B77" s="147" t="s">
        <v>693</v>
      </c>
      <c r="C77" s="147" t="s">
        <v>369</v>
      </c>
      <c r="D77" s="146">
        <v>1001001002</v>
      </c>
      <c r="E77" s="147" t="str">
        <f>_xlfn.XLOOKUP(D77,'Detalhamento - G200'!A:A,'Detalhamento - G200'!B:B,0)</f>
        <v>ENSAIOS E CONSULTORIAS</v>
      </c>
      <c r="F77" s="154">
        <v>30899.200000000001</v>
      </c>
      <c r="G77" s="147"/>
      <c r="H77" s="154">
        <f t="shared" ref="H77:H113" si="2">IF(G77&lt;&gt;"",0,F77)</f>
        <v>30899.200000000001</v>
      </c>
    </row>
    <row r="78" spans="1:8" s="156" customFormat="1">
      <c r="A78" s="147" t="s">
        <v>974</v>
      </c>
      <c r="B78" s="147" t="s">
        <v>694</v>
      </c>
      <c r="C78" s="147" t="s">
        <v>298</v>
      </c>
      <c r="D78" s="146">
        <v>1001001002</v>
      </c>
      <c r="E78" s="147" t="str">
        <f>_xlfn.XLOOKUP(D78,'Detalhamento - G200'!A:A,'Detalhamento - G200'!B:B,0)</f>
        <v>ENSAIOS E CONSULTORIAS</v>
      </c>
      <c r="F78" s="154">
        <v>1024.8</v>
      </c>
      <c r="G78" s="147" t="s">
        <v>353</v>
      </c>
      <c r="H78" s="154">
        <f t="shared" si="2"/>
        <v>0</v>
      </c>
    </row>
    <row r="79" spans="1:8" s="156" customFormat="1">
      <c r="A79" s="147" t="s">
        <v>974</v>
      </c>
      <c r="B79" s="147" t="s">
        <v>694</v>
      </c>
      <c r="C79" s="147" t="s">
        <v>298</v>
      </c>
      <c r="D79" s="146">
        <v>1001002003</v>
      </c>
      <c r="E79" s="147" t="str">
        <f>_xlfn.XLOOKUP(D79,'Detalhamento - G200'!A:A,'Detalhamento - G200'!B:B,0)</f>
        <v>MOVIMENTAÇÃO DE TERRA</v>
      </c>
      <c r="F79" s="154">
        <v>5255.9</v>
      </c>
      <c r="G79" s="147" t="s">
        <v>295</v>
      </c>
      <c r="H79" s="154">
        <f t="shared" si="2"/>
        <v>0</v>
      </c>
    </row>
    <row r="80" spans="1:8" s="156" customFormat="1">
      <c r="A80" s="147" t="s">
        <v>974</v>
      </c>
      <c r="B80" s="147" t="s">
        <v>694</v>
      </c>
      <c r="C80" s="147" t="s">
        <v>298</v>
      </c>
      <c r="D80" s="146">
        <v>1001001002</v>
      </c>
      <c r="E80" s="147" t="str">
        <f>_xlfn.XLOOKUP(D80,'Detalhamento - G200'!A:A,'Detalhamento - G200'!B:B,0)</f>
        <v>ENSAIOS E CONSULTORIAS</v>
      </c>
      <c r="F80" s="154">
        <v>1024.8</v>
      </c>
      <c r="G80" s="147" t="s">
        <v>358</v>
      </c>
      <c r="H80" s="154">
        <f t="shared" si="2"/>
        <v>0</v>
      </c>
    </row>
    <row r="81" spans="1:8" s="156" customFormat="1">
      <c r="A81" s="147" t="s">
        <v>974</v>
      </c>
      <c r="B81" s="147" t="s">
        <v>694</v>
      </c>
      <c r="C81" s="147" t="s">
        <v>298</v>
      </c>
      <c r="D81" s="146">
        <v>1001001002</v>
      </c>
      <c r="E81" s="147" t="str">
        <f>_xlfn.XLOOKUP(D81,'Detalhamento - G200'!A:A,'Detalhamento - G200'!B:B,0)</f>
        <v>ENSAIOS E CONSULTORIAS</v>
      </c>
      <c r="F81" s="154">
        <v>427</v>
      </c>
      <c r="G81" s="147" t="s">
        <v>358</v>
      </c>
      <c r="H81" s="154">
        <f t="shared" si="2"/>
        <v>0</v>
      </c>
    </row>
    <row r="82" spans="1:8" s="156" customFormat="1">
      <c r="A82" s="147" t="s">
        <v>974</v>
      </c>
      <c r="B82" s="147" t="s">
        <v>740</v>
      </c>
      <c r="C82" s="147" t="s">
        <v>780</v>
      </c>
      <c r="D82" s="146">
        <v>1002002001</v>
      </c>
      <c r="E82" s="147" t="str">
        <f>_xlfn.XLOOKUP(D82,'Detalhamento - G200'!A:A,'Detalhamento - G200'!B:B,0)</f>
        <v>FUNDAÇÃO</v>
      </c>
      <c r="F82" s="154">
        <v>1000000</v>
      </c>
      <c r="G82" s="147"/>
      <c r="H82" s="154">
        <f>IF(G82&lt;&gt;"",0,F82)</f>
        <v>1000000</v>
      </c>
    </row>
    <row r="83" spans="1:8" s="156" customFormat="1">
      <c r="A83" s="147" t="s">
        <v>974</v>
      </c>
      <c r="B83" s="147" t="s">
        <v>695</v>
      </c>
      <c r="C83" s="147" t="s">
        <v>307</v>
      </c>
      <c r="D83" s="146">
        <v>2001006002</v>
      </c>
      <c r="E83" s="147" t="str">
        <f>_xlfn.XLOOKUP(D83,'Detalhamento - G200'!A:A,'Detalhamento - G200'!B:B,0)</f>
        <v>LIMPA FOSSA</v>
      </c>
      <c r="F83" s="154">
        <f>56410</f>
        <v>56410</v>
      </c>
      <c r="G83" s="147"/>
      <c r="H83" s="154">
        <f t="shared" si="2"/>
        <v>56410</v>
      </c>
    </row>
    <row r="84" spans="1:8" s="156" customFormat="1">
      <c r="A84" s="147" t="s">
        <v>974</v>
      </c>
      <c r="B84" s="147" t="s">
        <v>699</v>
      </c>
      <c r="C84" s="147" t="s">
        <v>700</v>
      </c>
      <c r="D84" s="146">
        <v>2001010001</v>
      </c>
      <c r="E84" s="147" t="str">
        <f>_xlfn.XLOOKUP(D84,'Detalhamento - G200'!A:A,'Detalhamento - G200'!B:B,0)</f>
        <v>FRETE E CARRETO</v>
      </c>
      <c r="F84" s="154">
        <f>2301.03</f>
        <v>2301.0300000000002</v>
      </c>
      <c r="G84" s="147"/>
      <c r="H84" s="154">
        <f t="shared" si="2"/>
        <v>2301.0300000000002</v>
      </c>
    </row>
    <row r="85" spans="1:8" s="156" customFormat="1">
      <c r="A85" s="147" t="s">
        <v>974</v>
      </c>
      <c r="B85" s="147" t="s">
        <v>701</v>
      </c>
      <c r="C85" s="147" t="s">
        <v>306</v>
      </c>
      <c r="D85" s="146">
        <v>1001002003</v>
      </c>
      <c r="E85" s="147" t="str">
        <f>_xlfn.XLOOKUP(D85,'Detalhamento - G200'!A:A,'Detalhamento - G200'!B:B,0)</f>
        <v>MOVIMENTAÇÃO DE TERRA</v>
      </c>
      <c r="F85" s="154">
        <v>15840</v>
      </c>
      <c r="G85" s="147"/>
      <c r="H85" s="154">
        <f t="shared" si="2"/>
        <v>15840</v>
      </c>
    </row>
    <row r="86" spans="1:8" s="156" customFormat="1">
      <c r="A86" s="147" t="s">
        <v>974</v>
      </c>
      <c r="B86" s="147" t="s">
        <v>702</v>
      </c>
      <c r="C86" s="147" t="s">
        <v>297</v>
      </c>
      <c r="D86" s="146">
        <v>1001002003</v>
      </c>
      <c r="E86" s="147" t="str">
        <f>_xlfn.XLOOKUP(D86,'Detalhamento - G200'!A:A,'Detalhamento - G200'!B:B,0)</f>
        <v>MOVIMENTAÇÃO DE TERRA</v>
      </c>
      <c r="F86" s="154">
        <f>48500</f>
        <v>48500</v>
      </c>
      <c r="G86" s="147"/>
      <c r="H86" s="154">
        <f t="shared" si="2"/>
        <v>48500</v>
      </c>
    </row>
    <row r="87" spans="1:8" s="156" customFormat="1">
      <c r="A87" s="147" t="s">
        <v>974</v>
      </c>
      <c r="B87" s="147" t="s">
        <v>703</v>
      </c>
      <c r="C87" s="147" t="s">
        <v>704</v>
      </c>
      <c r="D87" s="146">
        <v>2001001002</v>
      </c>
      <c r="E87" s="147" t="str">
        <f>_xlfn.XLOOKUP(D87,'Detalhamento - G200'!A:A,'Detalhamento - G200'!B:B,0)</f>
        <v>IMPLANTAÇÃO DE CANTEIRO - ELETRICA</v>
      </c>
      <c r="F87" s="154">
        <v>15598</v>
      </c>
      <c r="G87" s="147"/>
      <c r="H87" s="154">
        <f t="shared" si="2"/>
        <v>15598</v>
      </c>
    </row>
    <row r="88" spans="1:8" s="156" customFormat="1">
      <c r="A88" s="147" t="s">
        <v>974</v>
      </c>
      <c r="B88" s="147" t="s">
        <v>706</v>
      </c>
      <c r="C88" s="147" t="s">
        <v>705</v>
      </c>
      <c r="D88" s="146">
        <v>1004001003</v>
      </c>
      <c r="E88" s="147" t="str">
        <f>_xlfn.XLOOKUP(D88,'Detalhamento - G200'!A:A,'Detalhamento - G200'!B:B,0)</f>
        <v>AUMENTO DO LUX DA ÁREA EXTERNA</v>
      </c>
      <c r="F88" s="154">
        <v>5949.6824999999999</v>
      </c>
      <c r="G88" s="147" t="s">
        <v>765</v>
      </c>
      <c r="H88" s="154">
        <f t="shared" si="2"/>
        <v>0</v>
      </c>
    </row>
    <row r="89" spans="1:8" s="156" customFormat="1">
      <c r="A89" s="147" t="s">
        <v>974</v>
      </c>
      <c r="B89" s="147" t="s">
        <v>706</v>
      </c>
      <c r="C89" s="147" t="s">
        <v>705</v>
      </c>
      <c r="D89" s="146">
        <v>1001004010</v>
      </c>
      <c r="E89" s="147" t="str">
        <f>_xlfn.XLOOKUP(D89,'Detalhamento - G200'!A:A,'Detalhamento - G200'!B:B,0)</f>
        <v>ÁREA DE LAZER</v>
      </c>
      <c r="F89" s="154">
        <v>10172.7199</v>
      </c>
      <c r="G89" s="147" t="s">
        <v>765</v>
      </c>
      <c r="H89" s="154">
        <f t="shared" si="2"/>
        <v>0</v>
      </c>
    </row>
    <row r="90" spans="1:8" s="156" customFormat="1">
      <c r="A90" s="147" t="s">
        <v>974</v>
      </c>
      <c r="B90" s="147" t="s">
        <v>706</v>
      </c>
      <c r="C90" s="147" t="s">
        <v>705</v>
      </c>
      <c r="D90" s="146">
        <v>1001004006</v>
      </c>
      <c r="E90" s="147" t="str">
        <f>_xlfn.XLOOKUP(D90,'Detalhamento - G200'!A:A,'Detalhamento - G200'!B:B,0)</f>
        <v>SANITÁRIOS EXTERNOS AO GALPÃO</v>
      </c>
      <c r="F90" s="154">
        <v>10028.8698</v>
      </c>
      <c r="G90" s="147" t="s">
        <v>765</v>
      </c>
      <c r="H90" s="154">
        <f t="shared" si="2"/>
        <v>0</v>
      </c>
    </row>
    <row r="91" spans="1:8" s="156" customFormat="1">
      <c r="A91" s="147" t="s">
        <v>974</v>
      </c>
      <c r="B91" s="147" t="s">
        <v>706</v>
      </c>
      <c r="C91" s="147" t="s">
        <v>705</v>
      </c>
      <c r="D91" s="146">
        <v>1001004001</v>
      </c>
      <c r="E91" s="147" t="str">
        <f>_xlfn.XLOOKUP(D91,'Detalhamento - G200'!A:A,'Detalhamento - G200'!B:B,0)</f>
        <v>PORTARIA / COBERTURA DA ECLUSA</v>
      </c>
      <c r="F91" s="154">
        <v>13304.8202</v>
      </c>
      <c r="G91" s="147" t="s">
        <v>765</v>
      </c>
      <c r="H91" s="154">
        <f t="shared" si="2"/>
        <v>0</v>
      </c>
    </row>
    <row r="92" spans="1:8" s="156" customFormat="1">
      <c r="A92" s="147" t="s">
        <v>974</v>
      </c>
      <c r="B92" s="147" t="s">
        <v>706</v>
      </c>
      <c r="C92" s="147" t="s">
        <v>705</v>
      </c>
      <c r="D92" s="146">
        <v>1001004002</v>
      </c>
      <c r="E92" s="147" t="str">
        <f>_xlfn.XLOOKUP(D92,'Detalhamento - G200'!A:A,'Detalhamento - G200'!B:B,0)</f>
        <v>APOIO (VESTIÁRIO + REFEITÓRIO)</v>
      </c>
      <c r="F92" s="154">
        <v>24982.071599999999</v>
      </c>
      <c r="G92" s="147" t="s">
        <v>765</v>
      </c>
      <c r="H92" s="154">
        <f t="shared" si="2"/>
        <v>0</v>
      </c>
    </row>
    <row r="93" spans="1:8" s="156" customFormat="1" ht="36">
      <c r="A93" s="147" t="s">
        <v>974</v>
      </c>
      <c r="B93" s="147" t="s">
        <v>706</v>
      </c>
      <c r="C93" s="147" t="s">
        <v>705</v>
      </c>
      <c r="D93" s="146">
        <v>1001004007</v>
      </c>
      <c r="E93" s="147" t="str">
        <f>_xlfn.XLOOKUP(D93,'Detalhamento - G200'!A:A,'Detalhamento - G200'!B:B,0)</f>
        <v>PASSARELA DE PEDESTRES / COBERTURA DE ESTACIONAMENTO</v>
      </c>
      <c r="F93" s="154">
        <v>21295.416399999998</v>
      </c>
      <c r="G93" s="147" t="s">
        <v>765</v>
      </c>
      <c r="H93" s="154">
        <f t="shared" si="2"/>
        <v>0</v>
      </c>
    </row>
    <row r="94" spans="1:8" s="156" customFormat="1">
      <c r="A94" s="147" t="s">
        <v>974</v>
      </c>
      <c r="B94" s="147" t="s">
        <v>706</v>
      </c>
      <c r="C94" s="147" t="s">
        <v>705</v>
      </c>
      <c r="D94" s="146">
        <v>1001004005</v>
      </c>
      <c r="E94" s="147" t="str">
        <f>_xlfn.XLOOKUP(D94,'Detalhamento - G200'!A:A,'Detalhamento - G200'!B:B,0)</f>
        <v>UTILIDADES</v>
      </c>
      <c r="F94" s="154">
        <v>3726.1725999999999</v>
      </c>
      <c r="G94" s="147" t="s">
        <v>765</v>
      </c>
      <c r="H94" s="154">
        <f t="shared" si="2"/>
        <v>0</v>
      </c>
    </row>
    <row r="95" spans="1:8" s="156" customFormat="1" ht="36">
      <c r="A95" s="147" t="s">
        <v>974</v>
      </c>
      <c r="B95" s="147" t="s">
        <v>706</v>
      </c>
      <c r="C95" s="147" t="s">
        <v>705</v>
      </c>
      <c r="D95" s="146">
        <v>1001005001</v>
      </c>
      <c r="E95" s="147" t="str">
        <f>_xlfn.XLOOKUP(D95,'Detalhamento - G200'!A:A,'Detalhamento - G200'!B:B,0)</f>
        <v>ELETRICA, HIDRÁULICA E COMBATE A INCÊNDIO - MEP</v>
      </c>
      <c r="F95" s="154">
        <v>762657.03850000002</v>
      </c>
      <c r="G95" s="147" t="s">
        <v>765</v>
      </c>
      <c r="H95" s="154">
        <f t="shared" si="2"/>
        <v>0</v>
      </c>
    </row>
    <row r="96" spans="1:8" s="156" customFormat="1" ht="36">
      <c r="A96" s="147" t="s">
        <v>974</v>
      </c>
      <c r="B96" s="147" t="s">
        <v>706</v>
      </c>
      <c r="C96" s="147" t="s">
        <v>705</v>
      </c>
      <c r="D96" s="146">
        <v>1002003001</v>
      </c>
      <c r="E96" s="147" t="str">
        <f>_xlfn.XLOOKUP(D96,'Detalhamento - G200'!A:A,'Detalhamento - G200'!B:B,0)</f>
        <v>ELETRICA, HIDRÁULICA E COMBATE A INCÊNDIO</v>
      </c>
      <c r="F96" s="154">
        <v>777649.5686</v>
      </c>
      <c r="G96" s="147" t="s">
        <v>765</v>
      </c>
      <c r="H96" s="154">
        <f t="shared" si="2"/>
        <v>0</v>
      </c>
    </row>
    <row r="97" spans="1:8" s="156" customFormat="1">
      <c r="A97" s="147" t="s">
        <v>974</v>
      </c>
      <c r="B97" s="147" t="s">
        <v>707</v>
      </c>
      <c r="C97" s="147" t="s">
        <v>708</v>
      </c>
      <c r="D97" s="146">
        <v>2001004002</v>
      </c>
      <c r="E97" s="147" t="str">
        <f>_xlfn.XLOOKUP(D97,'Detalhamento - G200'!A:A,'Detalhamento - G200'!B:B,0)</f>
        <v>LOCAÇÃO DE BOBCAT</v>
      </c>
      <c r="F97" s="154">
        <f>11900</f>
        <v>11900</v>
      </c>
      <c r="G97" s="147"/>
      <c r="H97" s="154">
        <f t="shared" si="2"/>
        <v>11900</v>
      </c>
    </row>
    <row r="98" spans="1:8" s="156" customFormat="1">
      <c r="A98" s="147" t="s">
        <v>974</v>
      </c>
      <c r="B98" s="147" t="s">
        <v>709</v>
      </c>
      <c r="C98" s="147" t="s">
        <v>710</v>
      </c>
      <c r="D98" s="146">
        <v>1002002001</v>
      </c>
      <c r="E98" s="147" t="str">
        <f>_xlfn.XLOOKUP(D98,'Detalhamento - G200'!A:A,'Detalhamento - G200'!B:B,0)</f>
        <v>FUNDAÇÃO</v>
      </c>
      <c r="F98" s="154">
        <v>200000</v>
      </c>
      <c r="G98" s="147"/>
      <c r="H98" s="154">
        <f t="shared" si="2"/>
        <v>200000</v>
      </c>
    </row>
    <row r="99" spans="1:8" s="156" customFormat="1">
      <c r="A99" s="147" t="s">
        <v>974</v>
      </c>
      <c r="B99" s="147" t="s">
        <v>711</v>
      </c>
      <c r="C99" s="147" t="s">
        <v>296</v>
      </c>
      <c r="D99" s="146">
        <v>2001004004</v>
      </c>
      <c r="E99" s="147" t="str">
        <f>_xlfn.XLOOKUP(D99,'Detalhamento - G200'!A:A,'Detalhamento - G200'!B:B,0)</f>
        <v>DIESEL</v>
      </c>
      <c r="F99" s="154">
        <v>2406.39</v>
      </c>
      <c r="G99" s="147"/>
      <c r="H99" s="154">
        <f t="shared" si="2"/>
        <v>2406.39</v>
      </c>
    </row>
    <row r="100" spans="1:8" s="156" customFormat="1" ht="36">
      <c r="A100" s="147" t="s">
        <v>974</v>
      </c>
      <c r="B100" s="147" t="s">
        <v>712</v>
      </c>
      <c r="C100" s="147" t="s">
        <v>713</v>
      </c>
      <c r="D100" s="146">
        <v>1001005001</v>
      </c>
      <c r="E100" s="147" t="str">
        <f>_xlfn.XLOOKUP(D100,'Detalhamento - G200'!A:A,'Detalhamento - G200'!B:B,0)</f>
        <v>ELETRICA, HIDRÁULICA E COMBATE A INCÊNDIO - MEP</v>
      </c>
      <c r="F100" s="154">
        <f>45500</f>
        <v>45500</v>
      </c>
      <c r="G100" s="147" t="s">
        <v>765</v>
      </c>
      <c r="H100" s="154">
        <f t="shared" si="2"/>
        <v>0</v>
      </c>
    </row>
    <row r="101" spans="1:8" s="156" customFormat="1" ht="36">
      <c r="A101" s="147" t="s">
        <v>974</v>
      </c>
      <c r="B101" s="147" t="s">
        <v>714</v>
      </c>
      <c r="C101" s="147" t="s">
        <v>715</v>
      </c>
      <c r="D101" s="146">
        <v>1001005001</v>
      </c>
      <c r="E101" s="147" t="str">
        <f>_xlfn.XLOOKUP(D101,'Detalhamento - G200'!A:A,'Detalhamento - G200'!B:B,0)</f>
        <v>ELETRICA, HIDRÁULICA E COMBATE A INCÊNDIO - MEP</v>
      </c>
      <c r="F101" s="154">
        <f>61746.03</f>
        <v>61746.03</v>
      </c>
      <c r="G101" s="147" t="s">
        <v>765</v>
      </c>
      <c r="H101" s="154">
        <f t="shared" si="2"/>
        <v>0</v>
      </c>
    </row>
    <row r="102" spans="1:8" s="156" customFormat="1" ht="36">
      <c r="A102" s="147" t="s">
        <v>974</v>
      </c>
      <c r="B102" s="147" t="s">
        <v>716</v>
      </c>
      <c r="C102" s="147" t="s">
        <v>715</v>
      </c>
      <c r="D102" s="146">
        <v>1001005001</v>
      </c>
      <c r="E102" s="147" t="str">
        <f>_xlfn.XLOOKUP(D102,'Detalhamento - G200'!A:A,'Detalhamento - G200'!B:B,0)</f>
        <v>ELETRICA, HIDRÁULICA E COMBATE A INCÊNDIO - MEP</v>
      </c>
      <c r="F102" s="154">
        <v>145790.65</v>
      </c>
      <c r="G102" s="147" t="s">
        <v>765</v>
      </c>
      <c r="H102" s="154">
        <f t="shared" si="2"/>
        <v>0</v>
      </c>
    </row>
    <row r="103" spans="1:8" s="156" customFormat="1" ht="36">
      <c r="A103" s="147" t="s">
        <v>974</v>
      </c>
      <c r="B103" s="147" t="s">
        <v>717</v>
      </c>
      <c r="C103" s="147" t="s">
        <v>718</v>
      </c>
      <c r="D103" s="146">
        <v>1001005001</v>
      </c>
      <c r="E103" s="147" t="str">
        <f>_xlfn.XLOOKUP(D103,'Detalhamento - G200'!A:A,'Detalhamento - G200'!B:B,0)</f>
        <v>ELETRICA, HIDRÁULICA E COMBATE A INCÊNDIO - MEP</v>
      </c>
      <c r="F103" s="154">
        <v>535492.73499999999</v>
      </c>
      <c r="G103" s="147" t="s">
        <v>765</v>
      </c>
      <c r="H103" s="154">
        <f t="shared" si="2"/>
        <v>0</v>
      </c>
    </row>
    <row r="104" spans="1:8" s="156" customFormat="1" ht="36">
      <c r="A104" s="147" t="s">
        <v>974</v>
      </c>
      <c r="B104" s="147" t="s">
        <v>717</v>
      </c>
      <c r="C104" s="147" t="s">
        <v>718</v>
      </c>
      <c r="D104" s="146">
        <v>1002003001</v>
      </c>
      <c r="E104" s="147" t="str">
        <f>_xlfn.XLOOKUP(D104,'Detalhamento - G200'!A:A,'Detalhamento - G200'!B:B,0)</f>
        <v>ELETRICA, HIDRÁULICA E COMBATE A INCÊNDIO</v>
      </c>
      <c r="F104" s="154">
        <v>535492.73499999999</v>
      </c>
      <c r="G104" s="147" t="s">
        <v>765</v>
      </c>
      <c r="H104" s="154">
        <f t="shared" ref="H104" si="3">IF(G104&lt;&gt;"",0,F104)</f>
        <v>0</v>
      </c>
    </row>
    <row r="105" spans="1:8" s="156" customFormat="1" ht="36">
      <c r="A105" s="147" t="s">
        <v>974</v>
      </c>
      <c r="B105" s="147" t="s">
        <v>719</v>
      </c>
      <c r="C105" s="147" t="s">
        <v>720</v>
      </c>
      <c r="D105" s="146">
        <v>1001005001</v>
      </c>
      <c r="E105" s="147" t="str">
        <f>_xlfn.XLOOKUP(D105,'Detalhamento - G200'!A:A,'Detalhamento - G200'!B:B,0)</f>
        <v>ELETRICA, HIDRÁULICA E COMBATE A INCÊNDIO - MEP</v>
      </c>
      <c r="F105" s="154">
        <v>214500.24</v>
      </c>
      <c r="G105" s="147" t="s">
        <v>765</v>
      </c>
      <c r="H105" s="154">
        <f t="shared" si="2"/>
        <v>0</v>
      </c>
    </row>
    <row r="106" spans="1:8" s="156" customFormat="1" ht="36">
      <c r="A106" s="147" t="s">
        <v>974</v>
      </c>
      <c r="B106" s="147" t="s">
        <v>721</v>
      </c>
      <c r="C106" s="147" t="s">
        <v>722</v>
      </c>
      <c r="D106" s="146">
        <v>1001005001</v>
      </c>
      <c r="E106" s="147" t="str">
        <f>_xlfn.XLOOKUP(D106,'Detalhamento - G200'!A:A,'Detalhamento - G200'!B:B,0)</f>
        <v>ELETRICA, HIDRÁULICA E COMBATE A INCÊNDIO - MEP</v>
      </c>
      <c r="F106" s="154">
        <v>44136.4</v>
      </c>
      <c r="G106" s="147" t="s">
        <v>765</v>
      </c>
      <c r="H106" s="154">
        <f t="shared" si="2"/>
        <v>0</v>
      </c>
    </row>
    <row r="107" spans="1:8" s="156" customFormat="1" ht="36">
      <c r="A107" s="147" t="s">
        <v>974</v>
      </c>
      <c r="B107" s="147" t="s">
        <v>723</v>
      </c>
      <c r="C107" s="147" t="s">
        <v>724</v>
      </c>
      <c r="D107" s="146">
        <v>1001005001</v>
      </c>
      <c r="E107" s="147" t="str">
        <f>_xlfn.XLOOKUP(D107,'Detalhamento - G200'!A:A,'Detalhamento - G200'!B:B,0)</f>
        <v>ELETRICA, HIDRÁULICA E COMBATE A INCÊNDIO - MEP</v>
      </c>
      <c r="F107" s="154">
        <v>78094</v>
      </c>
      <c r="G107" s="147" t="s">
        <v>765</v>
      </c>
      <c r="H107" s="154">
        <f t="shared" si="2"/>
        <v>0</v>
      </c>
    </row>
    <row r="108" spans="1:8" s="156" customFormat="1" ht="36">
      <c r="A108" s="147" t="s">
        <v>974</v>
      </c>
      <c r="B108" s="147" t="s">
        <v>725</v>
      </c>
      <c r="C108" s="147" t="s">
        <v>726</v>
      </c>
      <c r="D108" s="146">
        <v>1002003001</v>
      </c>
      <c r="E108" s="147" t="str">
        <f>_xlfn.XLOOKUP(D108,'Detalhamento - G200'!A:A,'Detalhamento - G200'!B:B,0)</f>
        <v>ELETRICA, HIDRÁULICA E COMBATE A INCÊNDIO</v>
      </c>
      <c r="F108" s="154">
        <v>322894.56</v>
      </c>
      <c r="G108" s="147" t="s">
        <v>765</v>
      </c>
      <c r="H108" s="154">
        <f t="shared" si="2"/>
        <v>0</v>
      </c>
    </row>
    <row r="109" spans="1:8" s="156" customFormat="1" ht="36">
      <c r="A109" s="147" t="s">
        <v>974</v>
      </c>
      <c r="B109" s="147" t="s">
        <v>727</v>
      </c>
      <c r="C109" s="147" t="s">
        <v>610</v>
      </c>
      <c r="D109" s="146">
        <v>1001005001</v>
      </c>
      <c r="E109" s="147" t="str">
        <f>_xlfn.XLOOKUP(D109,'Detalhamento - G200'!A:A,'Detalhamento - G200'!B:B,0)</f>
        <v>ELETRICA, HIDRÁULICA E COMBATE A INCÊNDIO - MEP</v>
      </c>
      <c r="F109" s="154">
        <v>350538</v>
      </c>
      <c r="G109" s="147" t="s">
        <v>765</v>
      </c>
      <c r="H109" s="154">
        <f t="shared" si="2"/>
        <v>0</v>
      </c>
    </row>
    <row r="110" spans="1:8" s="156" customFormat="1">
      <c r="A110" s="147" t="s">
        <v>974</v>
      </c>
      <c r="B110" s="147" t="s">
        <v>744</v>
      </c>
      <c r="C110" s="147" t="s">
        <v>274</v>
      </c>
      <c r="D110" s="146">
        <v>2001001007</v>
      </c>
      <c r="E110" s="147" t="str">
        <f>_xlfn.XLOOKUP(D110,'Detalhamento - G200'!A:A,'Detalhamento - G200'!B:B,0)</f>
        <v>LOCAÇÃO DE TOLDO</v>
      </c>
      <c r="F110" s="154">
        <v>500</v>
      </c>
      <c r="G110" s="147"/>
      <c r="H110" s="154">
        <f t="shared" si="2"/>
        <v>500</v>
      </c>
    </row>
    <row r="111" spans="1:8" s="156" customFormat="1">
      <c r="A111" s="147" t="s">
        <v>974</v>
      </c>
      <c r="B111" s="147" t="s">
        <v>745</v>
      </c>
      <c r="C111" s="147" t="s">
        <v>274</v>
      </c>
      <c r="D111" s="146">
        <v>2001001007</v>
      </c>
      <c r="E111" s="147" t="str">
        <f>_xlfn.XLOOKUP(D111,'Detalhamento - G200'!A:A,'Detalhamento - G200'!B:B,0)</f>
        <v>LOCAÇÃO DE TOLDO</v>
      </c>
      <c r="F111" s="154">
        <v>3150</v>
      </c>
      <c r="G111" s="147"/>
      <c r="H111" s="154">
        <f t="shared" si="2"/>
        <v>3150</v>
      </c>
    </row>
    <row r="112" spans="1:8" s="156" customFormat="1">
      <c r="A112" s="147" t="s">
        <v>974</v>
      </c>
      <c r="B112" s="147" t="s">
        <v>746</v>
      </c>
      <c r="C112" s="147" t="s">
        <v>301</v>
      </c>
      <c r="D112" s="146">
        <v>2001005002</v>
      </c>
      <c r="E112" s="147" t="str">
        <f>_xlfn.XLOOKUP(D112,'Detalhamento - G200'!A:A,'Detalhamento - G200'!B:B,0)</f>
        <v>EPC GERAL E COMUNICAÇÃO VISUAL</v>
      </c>
      <c r="F112" s="154">
        <v>750</v>
      </c>
      <c r="G112" s="147"/>
      <c r="H112" s="154">
        <f t="shared" si="2"/>
        <v>750</v>
      </c>
    </row>
    <row r="113" spans="1:8" s="156" customFormat="1">
      <c r="A113" s="147" t="s">
        <v>974</v>
      </c>
      <c r="B113" s="147" t="s">
        <v>748</v>
      </c>
      <c r="C113" s="147" t="s">
        <v>747</v>
      </c>
      <c r="D113" s="146">
        <v>1001006006</v>
      </c>
      <c r="E113" s="147" t="str">
        <f>_xlfn.XLOOKUP(D113,'Detalhamento - G200'!A:A,'Detalhamento - G200'!B:B,0)</f>
        <v>ETE</v>
      </c>
      <c r="F113" s="154">
        <f>693.18</f>
        <v>693.18</v>
      </c>
      <c r="G113" s="147"/>
      <c r="H113" s="154">
        <f t="shared" si="2"/>
        <v>693.18</v>
      </c>
    </row>
    <row r="114" spans="1:8" s="156" customFormat="1">
      <c r="A114" s="147" t="s">
        <v>974</v>
      </c>
      <c r="B114" s="147" t="s">
        <v>748</v>
      </c>
      <c r="C114" s="147" t="s">
        <v>747</v>
      </c>
      <c r="D114" s="146">
        <v>2001001006</v>
      </c>
      <c r="E114" s="147" t="str">
        <f>_xlfn.XLOOKUP(D114,'Detalhamento - G200'!A:A,'Detalhamento - G200'!B:B,0)</f>
        <v>IMPLANTAÇÃO DE CANTEIRO - CIVIL</v>
      </c>
      <c r="F114" s="154">
        <f>262.5</f>
        <v>262.5</v>
      </c>
      <c r="G114" s="147"/>
      <c r="H114" s="154">
        <f t="shared" ref="H114:H122" si="4">IF(G114&lt;&gt;"",0,F114)</f>
        <v>262.5</v>
      </c>
    </row>
    <row r="115" spans="1:8" s="156" customFormat="1">
      <c r="A115" s="147" t="s">
        <v>974</v>
      </c>
      <c r="B115" s="147" t="s">
        <v>748</v>
      </c>
      <c r="C115" s="147" t="s">
        <v>747</v>
      </c>
      <c r="D115" s="146">
        <v>2001001010</v>
      </c>
      <c r="E115" s="147" t="str">
        <f>_xlfn.XLOOKUP(D115,'Detalhamento - G200'!A:A,'Detalhamento - G200'!B:B,0)</f>
        <v>MANUTENÇÃO DE CANTEIRO</v>
      </c>
      <c r="F115" s="154">
        <f>1483.92</f>
        <v>1483.92</v>
      </c>
      <c r="G115" s="147"/>
      <c r="H115" s="154">
        <f t="shared" si="4"/>
        <v>1483.92</v>
      </c>
    </row>
    <row r="116" spans="1:8" s="156" customFormat="1">
      <c r="A116" s="147" t="s">
        <v>974</v>
      </c>
      <c r="B116" s="147" t="s">
        <v>758</v>
      </c>
      <c r="C116" s="147" t="s">
        <v>759</v>
      </c>
      <c r="D116" s="146">
        <v>1001002006</v>
      </c>
      <c r="E116" s="147" t="str">
        <f>_xlfn.XLOOKUP(D116,'Detalhamento - G200'!A:A,'Detalhamento - G200'!B:B,0)</f>
        <v>CONTENÇÕES</v>
      </c>
      <c r="F116" s="154">
        <f>919</f>
        <v>919</v>
      </c>
      <c r="G116" s="147" t="s">
        <v>731</v>
      </c>
      <c r="H116" s="154">
        <f t="shared" si="4"/>
        <v>0</v>
      </c>
    </row>
    <row r="117" spans="1:8" s="156" customFormat="1" ht="36">
      <c r="A117" s="147" t="s">
        <v>974</v>
      </c>
      <c r="B117" s="147" t="s">
        <v>760</v>
      </c>
      <c r="C117" s="147" t="s">
        <v>761</v>
      </c>
      <c r="D117" s="146">
        <v>1001006006</v>
      </c>
      <c r="E117" s="147" t="str">
        <f>_xlfn.XLOOKUP(D117,'Detalhamento - G200'!A:A,'Detalhamento - G200'!B:B,0)</f>
        <v>ETE</v>
      </c>
      <c r="F117" s="154">
        <f>13132</f>
        <v>13132</v>
      </c>
      <c r="G117" s="147"/>
      <c r="H117" s="154">
        <f t="shared" si="4"/>
        <v>13132</v>
      </c>
    </row>
    <row r="118" spans="1:8" s="156" customFormat="1">
      <c r="A118" s="147" t="s">
        <v>974</v>
      </c>
      <c r="B118" s="147" t="s">
        <v>762</v>
      </c>
      <c r="C118" s="147" t="s">
        <v>763</v>
      </c>
      <c r="D118" s="146">
        <v>1002002001</v>
      </c>
      <c r="E118" s="147" t="str">
        <f>_xlfn.XLOOKUP(D118,'Detalhamento - G200'!A:A,'Detalhamento - G200'!B:B,0)</f>
        <v>FUNDAÇÃO</v>
      </c>
      <c r="F118" s="154">
        <f>14200</f>
        <v>14200</v>
      </c>
      <c r="G118" s="147"/>
      <c r="H118" s="154">
        <f t="shared" si="4"/>
        <v>14200</v>
      </c>
    </row>
    <row r="120" spans="1:8" s="156" customFormat="1" ht="36">
      <c r="A120" s="147" t="s">
        <v>974</v>
      </c>
      <c r="B120" s="147" t="s">
        <v>821</v>
      </c>
      <c r="C120" s="147" t="s">
        <v>705</v>
      </c>
      <c r="D120" s="146">
        <v>1001005001</v>
      </c>
      <c r="E120" s="147" t="str">
        <f>_xlfn.XLOOKUP(D120,'Detalhamento - G200'!A:A,'Detalhamento - G200'!B:B,0)</f>
        <v>ELETRICA, HIDRÁULICA E COMBATE A INCÊNDIO - MEP</v>
      </c>
      <c r="F120" s="154">
        <v>117747.6</v>
      </c>
      <c r="G120" s="147" t="s">
        <v>765</v>
      </c>
      <c r="H120" s="154">
        <f t="shared" si="4"/>
        <v>0</v>
      </c>
    </row>
    <row r="121" spans="1:8" s="156" customFormat="1" ht="36">
      <c r="A121" s="147" t="s">
        <v>974</v>
      </c>
      <c r="B121" s="147" t="s">
        <v>822</v>
      </c>
      <c r="C121" s="147" t="s">
        <v>823</v>
      </c>
      <c r="D121" s="146">
        <v>1001005001</v>
      </c>
      <c r="E121" s="147" t="str">
        <f>_xlfn.XLOOKUP(D121,'Detalhamento - G200'!A:A,'Detalhamento - G200'!B:B,0)</f>
        <v>ELETRICA, HIDRÁULICA E COMBATE A INCÊNDIO - MEP</v>
      </c>
      <c r="F121" s="154">
        <v>184216</v>
      </c>
      <c r="G121" s="147" t="s">
        <v>765</v>
      </c>
      <c r="H121" s="154">
        <f t="shared" si="4"/>
        <v>0</v>
      </c>
    </row>
    <row r="122" spans="1:8" s="156" customFormat="1" ht="36">
      <c r="A122" s="147" t="s">
        <v>974</v>
      </c>
      <c r="B122" s="147" t="s">
        <v>824</v>
      </c>
      <c r="C122" s="147" t="s">
        <v>825</v>
      </c>
      <c r="D122" s="146">
        <v>1001005001</v>
      </c>
      <c r="E122" s="147" t="str">
        <f>_xlfn.XLOOKUP(D122,'Detalhamento - G200'!A:A,'Detalhamento - G200'!B:B,0)</f>
        <v>ELETRICA, HIDRÁULICA E COMBATE A INCÊNDIO - MEP</v>
      </c>
      <c r="F122" s="154">
        <v>30784</v>
      </c>
      <c r="G122" s="147" t="s">
        <v>765</v>
      </c>
      <c r="H122" s="154">
        <f t="shared" si="4"/>
        <v>0</v>
      </c>
    </row>
    <row r="123" spans="1:8" s="156" customFormat="1" ht="36">
      <c r="A123" s="147" t="s">
        <v>974</v>
      </c>
      <c r="B123" s="147" t="s">
        <v>826</v>
      </c>
      <c r="C123" s="147" t="s">
        <v>827</v>
      </c>
      <c r="D123" s="146">
        <v>1001005001</v>
      </c>
      <c r="E123" s="147" t="str">
        <f>_xlfn.XLOOKUP(D123,'Detalhamento - G200'!A:A,'Detalhamento - G200'!B:B,0)</f>
        <v>ELETRICA, HIDRÁULICA E COMBATE A INCÊNDIO - MEP</v>
      </c>
      <c r="F123" s="154">
        <v>106065</v>
      </c>
      <c r="G123" s="147" t="s">
        <v>765</v>
      </c>
      <c r="H123" s="154">
        <f t="shared" ref="H123:H125" si="5">IF(G123&lt;&gt;"",0,F123)</f>
        <v>0</v>
      </c>
    </row>
    <row r="124" spans="1:8" s="156" customFormat="1" ht="36">
      <c r="A124" s="147" t="s">
        <v>974</v>
      </c>
      <c r="B124" s="147" t="s">
        <v>828</v>
      </c>
      <c r="C124" s="147" t="s">
        <v>829</v>
      </c>
      <c r="D124" s="146">
        <v>1001005001</v>
      </c>
      <c r="E124" s="147" t="str">
        <f>_xlfn.XLOOKUP(D124,'Detalhamento - G200'!A:A,'Detalhamento - G200'!B:B,0)</f>
        <v>ELETRICA, HIDRÁULICA E COMBATE A INCÊNDIO - MEP</v>
      </c>
      <c r="F124" s="154">
        <v>42001.55</v>
      </c>
      <c r="G124" s="147" t="s">
        <v>765</v>
      </c>
      <c r="H124" s="154">
        <f t="shared" si="5"/>
        <v>0</v>
      </c>
    </row>
    <row r="125" spans="1:8" s="156" customFormat="1">
      <c r="A125" s="147" t="s">
        <v>974</v>
      </c>
      <c r="B125" s="147" t="s">
        <v>830</v>
      </c>
      <c r="C125" s="147" t="s">
        <v>831</v>
      </c>
      <c r="D125" s="146">
        <v>2001001006</v>
      </c>
      <c r="E125" s="147" t="str">
        <f>_xlfn.XLOOKUP(D125,'Detalhamento - G200'!A:A,'Detalhamento - G200'!B:B,0)</f>
        <v>IMPLANTAÇÃO DE CANTEIRO - CIVIL</v>
      </c>
      <c r="F125" s="154">
        <v>1799.17</v>
      </c>
      <c r="G125" s="147"/>
      <c r="H125" s="154">
        <f t="shared" si="5"/>
        <v>1799.17</v>
      </c>
    </row>
    <row r="126" spans="1:8" s="156" customFormat="1">
      <c r="A126" s="147" t="s">
        <v>974</v>
      </c>
      <c r="B126" s="147" t="s">
        <v>830</v>
      </c>
      <c r="C126" s="147" t="s">
        <v>831</v>
      </c>
      <c r="D126" s="146">
        <v>2001005002</v>
      </c>
      <c r="E126" s="147" t="str">
        <f>_xlfn.XLOOKUP(D126,'Detalhamento - G200'!A:A,'Detalhamento - G200'!B:B,0)</f>
        <v>EPC GERAL E COMUNICAÇÃO VISUAL</v>
      </c>
      <c r="F126" s="154">
        <v>11244.8</v>
      </c>
      <c r="G126" s="147"/>
      <c r="H126" s="154">
        <f t="shared" ref="H126:H127" si="6">IF(G126&lt;&gt;"",0,F126)</f>
        <v>11244.8</v>
      </c>
    </row>
    <row r="127" spans="1:8" s="156" customFormat="1">
      <c r="A127" s="147" t="s">
        <v>974</v>
      </c>
      <c r="B127" s="147" t="s">
        <v>832</v>
      </c>
      <c r="C127" s="147" t="s">
        <v>833</v>
      </c>
      <c r="D127" s="146">
        <v>1001003010</v>
      </c>
      <c r="E127" s="147" t="str">
        <f>_xlfn.XLOOKUP(D127,'Detalhamento - G200'!A:A,'Detalhamento - G200'!B:B,0)</f>
        <v>SERRALHERIA GALPÃO</v>
      </c>
      <c r="F127" s="154">
        <v>346646.95</v>
      </c>
      <c r="G127" s="147" t="s">
        <v>728</v>
      </c>
      <c r="H127" s="154">
        <f t="shared" si="6"/>
        <v>0</v>
      </c>
    </row>
    <row r="128" spans="1:8" s="156" customFormat="1">
      <c r="A128" s="147" t="s">
        <v>974</v>
      </c>
      <c r="B128" s="147" t="s">
        <v>832</v>
      </c>
      <c r="C128" s="147" t="s">
        <v>833</v>
      </c>
      <c r="D128" s="146">
        <v>1002002004</v>
      </c>
      <c r="E128" s="147" t="str">
        <f>_xlfn.XLOOKUP(D128,'Detalhamento - G200'!A:A,'Detalhamento - G200'!B:B,0)</f>
        <v>SERRALHERIA</v>
      </c>
      <c r="F128" s="154">
        <v>959264.27</v>
      </c>
      <c r="G128" s="147" t="s">
        <v>728</v>
      </c>
      <c r="H128" s="154">
        <f t="shared" ref="H128:H132" si="7">IF(G128&lt;&gt;"",0,F128)</f>
        <v>0</v>
      </c>
    </row>
    <row r="129" spans="1:8" s="156" customFormat="1">
      <c r="A129" s="147" t="s">
        <v>974</v>
      </c>
      <c r="B129" s="147" t="s">
        <v>832</v>
      </c>
      <c r="C129" s="147" t="s">
        <v>833</v>
      </c>
      <c r="D129" s="146">
        <v>1003005001</v>
      </c>
      <c r="E129" s="147" t="str">
        <f>_xlfn.XLOOKUP(D129,'Detalhamento - G200'!A:A,'Detalhamento - G200'!B:B,0)</f>
        <v>SERVIÇO CIVIL</v>
      </c>
      <c r="F129" s="154">
        <v>194089.06</v>
      </c>
      <c r="G129" s="147" t="s">
        <v>728</v>
      </c>
      <c r="H129" s="154">
        <f t="shared" si="7"/>
        <v>0</v>
      </c>
    </row>
    <row r="130" spans="1:8" s="156" customFormat="1" ht="36">
      <c r="A130" s="147" t="s">
        <v>974</v>
      </c>
      <c r="B130" s="147" t="s">
        <v>834</v>
      </c>
      <c r="C130" s="147" t="s">
        <v>835</v>
      </c>
      <c r="D130" s="146">
        <v>1001005001</v>
      </c>
      <c r="E130" s="147" t="str">
        <f>_xlfn.XLOOKUP(D130,'Detalhamento - G200'!A:A,'Detalhamento - G200'!B:B,0)</f>
        <v>ELETRICA, HIDRÁULICA E COMBATE A INCÊNDIO - MEP</v>
      </c>
      <c r="F130" s="154">
        <v>55935.67</v>
      </c>
      <c r="G130" s="147" t="s">
        <v>765</v>
      </c>
      <c r="H130" s="154">
        <f t="shared" si="7"/>
        <v>0</v>
      </c>
    </row>
    <row r="131" spans="1:8" s="156" customFormat="1" ht="36">
      <c r="A131" s="147" t="s">
        <v>974</v>
      </c>
      <c r="B131" s="147" t="s">
        <v>834</v>
      </c>
      <c r="C131" s="147" t="s">
        <v>835</v>
      </c>
      <c r="D131" s="146">
        <v>1002003001</v>
      </c>
      <c r="E131" s="147" t="str">
        <f>_xlfn.XLOOKUP(D131,'Detalhamento - G200'!A:A,'Detalhamento - G200'!B:B,0)</f>
        <v>ELETRICA, HIDRÁULICA E COMBATE A INCÊNDIO</v>
      </c>
      <c r="F131" s="154">
        <v>55935.67</v>
      </c>
      <c r="G131" s="147" t="s">
        <v>765</v>
      </c>
      <c r="H131" s="154">
        <f t="shared" ref="H131" si="8">IF(G131&lt;&gt;"",0,F131)</f>
        <v>0</v>
      </c>
    </row>
    <row r="132" spans="1:8" s="156" customFormat="1" ht="36">
      <c r="A132" s="147" t="s">
        <v>974</v>
      </c>
      <c r="B132" s="147" t="s">
        <v>836</v>
      </c>
      <c r="C132" s="147" t="s">
        <v>837</v>
      </c>
      <c r="D132" s="146">
        <v>1001005001</v>
      </c>
      <c r="E132" s="147" t="str">
        <f>_xlfn.XLOOKUP(D132,'Detalhamento - G200'!A:A,'Detalhamento - G200'!B:B,0)</f>
        <v>ELETRICA, HIDRÁULICA E COMBATE A INCÊNDIO - MEP</v>
      </c>
      <c r="F132" s="154">
        <v>72700.039999999994</v>
      </c>
      <c r="G132" s="147" t="s">
        <v>765</v>
      </c>
      <c r="H132" s="154">
        <f t="shared" si="7"/>
        <v>0</v>
      </c>
    </row>
    <row r="133" spans="1:8" s="156" customFormat="1" ht="36">
      <c r="A133" s="147" t="s">
        <v>974</v>
      </c>
      <c r="B133" s="147" t="s">
        <v>836</v>
      </c>
      <c r="C133" s="147" t="s">
        <v>837</v>
      </c>
      <c r="D133" s="146">
        <v>1002003001</v>
      </c>
      <c r="E133" s="147" t="str">
        <f>_xlfn.XLOOKUP(D133,'Detalhamento - G200'!A:A,'Detalhamento - G200'!B:B,0)</f>
        <v>ELETRICA, HIDRÁULICA E COMBATE A INCÊNDIO</v>
      </c>
      <c r="F133" s="154">
        <v>72700.039999999994</v>
      </c>
      <c r="G133" s="147" t="s">
        <v>765</v>
      </c>
      <c r="H133" s="154">
        <f t="shared" ref="H133:H163" si="9">IF(G133&lt;&gt;"",0,F133)</f>
        <v>0</v>
      </c>
    </row>
    <row r="134" spans="1:8" s="156" customFormat="1">
      <c r="A134" s="147" t="s">
        <v>974</v>
      </c>
      <c r="B134" s="147" t="s">
        <v>860</v>
      </c>
      <c r="C134" s="147" t="s">
        <v>861</v>
      </c>
      <c r="D134" s="146">
        <v>1001006003</v>
      </c>
      <c r="E134" s="147" t="str">
        <f>_xlfn.XLOOKUP(D134,'Detalhamento - G200'!A:A,'Detalhamento - G200'!B:B,0)</f>
        <v>POÇO ARTESIANO</v>
      </c>
      <c r="F134" s="154">
        <v>1035</v>
      </c>
      <c r="G134" s="147"/>
      <c r="H134" s="154">
        <f t="shared" si="9"/>
        <v>1035</v>
      </c>
    </row>
    <row r="135" spans="1:8" s="156" customFormat="1">
      <c r="A135" s="147" t="s">
        <v>974</v>
      </c>
      <c r="B135" s="147" t="s">
        <v>862</v>
      </c>
      <c r="C135" s="147" t="s">
        <v>863</v>
      </c>
      <c r="D135" s="146">
        <v>1001004001</v>
      </c>
      <c r="E135" s="147" t="str">
        <f>_xlfn.XLOOKUP(D135,'Detalhamento - G200'!A:A,'Detalhamento - G200'!B:B,0)</f>
        <v>PORTARIA / COBERTURA DA ECLUSA</v>
      </c>
      <c r="F135" s="154">
        <v>9078.84</v>
      </c>
      <c r="G135" s="147" t="s">
        <v>765</v>
      </c>
      <c r="H135" s="154">
        <f t="shared" si="9"/>
        <v>0</v>
      </c>
    </row>
    <row r="136" spans="1:8" s="156" customFormat="1">
      <c r="A136" s="147" t="s">
        <v>974</v>
      </c>
      <c r="B136" s="147" t="s">
        <v>862</v>
      </c>
      <c r="C136" s="147" t="s">
        <v>863</v>
      </c>
      <c r="D136" s="146">
        <v>1001004002</v>
      </c>
      <c r="E136" s="147" t="str">
        <f>_xlfn.XLOOKUP(D136,'Detalhamento - G200'!A:A,'Detalhamento - G200'!B:B,0)</f>
        <v>APOIO (VESTIÁRIO + REFEITÓRIO)</v>
      </c>
      <c r="F136" s="154">
        <v>17013.07</v>
      </c>
      <c r="G136" s="147" t="s">
        <v>765</v>
      </c>
      <c r="H136" s="154">
        <f t="shared" si="9"/>
        <v>0</v>
      </c>
    </row>
    <row r="137" spans="1:8" s="156" customFormat="1">
      <c r="A137" s="147" t="s">
        <v>974</v>
      </c>
      <c r="B137" s="147" t="s">
        <v>862</v>
      </c>
      <c r="C137" s="147" t="s">
        <v>863</v>
      </c>
      <c r="D137" s="146">
        <v>1001004005</v>
      </c>
      <c r="E137" s="147" t="str">
        <f>_xlfn.XLOOKUP(D137,'Detalhamento - G200'!A:A,'Detalhamento - G200'!B:B,0)</f>
        <v>UTILIDADES</v>
      </c>
      <c r="F137" s="154">
        <v>2533.3000000000002</v>
      </c>
      <c r="G137" s="147" t="s">
        <v>765</v>
      </c>
      <c r="H137" s="154">
        <f t="shared" si="9"/>
        <v>0</v>
      </c>
    </row>
    <row r="138" spans="1:8" s="156" customFormat="1">
      <c r="A138" s="147" t="s">
        <v>974</v>
      </c>
      <c r="B138" s="147" t="s">
        <v>862</v>
      </c>
      <c r="C138" s="147" t="s">
        <v>863</v>
      </c>
      <c r="D138" s="146">
        <v>1001004006</v>
      </c>
      <c r="E138" s="147" t="str">
        <f>_xlfn.XLOOKUP(D138,'Detalhamento - G200'!A:A,'Detalhamento - G200'!B:B,0)</f>
        <v>SANITÁRIOS EXTERNOS AO GALPÃO</v>
      </c>
      <c r="F138" s="154">
        <v>6841.31</v>
      </c>
      <c r="G138" s="147" t="s">
        <v>765</v>
      </c>
      <c r="H138" s="154">
        <f t="shared" si="9"/>
        <v>0</v>
      </c>
    </row>
    <row r="139" spans="1:8" s="156" customFormat="1" ht="36">
      <c r="A139" s="147" t="s">
        <v>974</v>
      </c>
      <c r="B139" s="147" t="s">
        <v>862</v>
      </c>
      <c r="C139" s="147" t="s">
        <v>863</v>
      </c>
      <c r="D139" s="146">
        <v>1001004007</v>
      </c>
      <c r="E139" s="147" t="str">
        <f>_xlfn.XLOOKUP(D139,'Detalhamento - G200'!A:A,'Detalhamento - G200'!B:B,0)</f>
        <v>PASSARELA DE PEDESTRES / COBERTURA DE ESTACIONAMENTO</v>
      </c>
      <c r="F139" s="154">
        <v>14504.85</v>
      </c>
      <c r="G139" s="147" t="s">
        <v>765</v>
      </c>
      <c r="H139" s="154">
        <f t="shared" si="9"/>
        <v>0</v>
      </c>
    </row>
    <row r="140" spans="1:8" s="156" customFormat="1">
      <c r="A140" s="147" t="s">
        <v>974</v>
      </c>
      <c r="B140" s="147" t="s">
        <v>862</v>
      </c>
      <c r="C140" s="147" t="s">
        <v>863</v>
      </c>
      <c r="D140" s="146">
        <v>1001004010</v>
      </c>
      <c r="E140" s="147" t="str">
        <f>_xlfn.XLOOKUP(D140,'Detalhamento - G200'!A:A,'Detalhamento - G200'!B:B,0)</f>
        <v>ÁREA DE LAZER</v>
      </c>
      <c r="F140" s="154">
        <v>6936.49</v>
      </c>
      <c r="G140" s="147" t="s">
        <v>765</v>
      </c>
      <c r="H140" s="154">
        <f t="shared" si="9"/>
        <v>0</v>
      </c>
    </row>
    <row r="141" spans="1:8" s="156" customFormat="1" ht="36">
      <c r="A141" s="147" t="s">
        <v>974</v>
      </c>
      <c r="B141" s="147" t="s">
        <v>862</v>
      </c>
      <c r="C141" s="147" t="s">
        <v>863</v>
      </c>
      <c r="D141" s="146">
        <v>1001005001</v>
      </c>
      <c r="E141" s="147" t="str">
        <f>_xlfn.XLOOKUP(D141,'Detalhamento - G200'!A:A,'Detalhamento - G200'!B:B,0)</f>
        <v>ELETRICA, HIDRÁULICA E COMBATE A INCÊNDIO - MEP</v>
      </c>
      <c r="F141" s="154">
        <v>519878.04</v>
      </c>
      <c r="G141" s="147" t="s">
        <v>765</v>
      </c>
      <c r="H141" s="154">
        <f t="shared" si="9"/>
        <v>0</v>
      </c>
    </row>
    <row r="142" spans="1:8" s="156" customFormat="1" ht="36">
      <c r="A142" s="147" t="s">
        <v>974</v>
      </c>
      <c r="B142" s="147" t="s">
        <v>862</v>
      </c>
      <c r="C142" s="147" t="s">
        <v>863</v>
      </c>
      <c r="D142" s="146">
        <v>1002003001</v>
      </c>
      <c r="E142" s="147" t="str">
        <f>_xlfn.XLOOKUP(D142,'Detalhamento - G200'!A:A,'Detalhamento - G200'!B:B,0)</f>
        <v>ELETRICA, HIDRÁULICA E COMBATE A INCÊNDIO</v>
      </c>
      <c r="F142" s="154">
        <v>530133.64</v>
      </c>
      <c r="G142" s="147" t="s">
        <v>765</v>
      </c>
      <c r="H142" s="154">
        <f t="shared" si="9"/>
        <v>0</v>
      </c>
    </row>
    <row r="143" spans="1:8" s="156" customFormat="1">
      <c r="A143" s="147" t="s">
        <v>974</v>
      </c>
      <c r="B143" s="147" t="s">
        <v>862</v>
      </c>
      <c r="C143" s="147" t="s">
        <v>863</v>
      </c>
      <c r="D143" s="146">
        <v>1004001003</v>
      </c>
      <c r="E143" s="147" t="str">
        <f>_xlfn.XLOOKUP(D143,'Detalhamento - G200'!A:A,'Detalhamento - G200'!B:B,0)</f>
        <v>AUMENTO DO LUX DA ÁREA EXTERNA</v>
      </c>
      <c r="F143" s="154">
        <v>4072.79</v>
      </c>
      <c r="G143" s="147" t="s">
        <v>765</v>
      </c>
      <c r="H143" s="154">
        <f t="shared" si="9"/>
        <v>0</v>
      </c>
    </row>
    <row r="144" spans="1:8" s="156" customFormat="1">
      <c r="A144" s="147" t="s">
        <v>974</v>
      </c>
      <c r="B144" s="147" t="s">
        <v>864</v>
      </c>
      <c r="C144" s="147" t="s">
        <v>865</v>
      </c>
      <c r="D144" s="146">
        <v>1001006006</v>
      </c>
      <c r="E144" s="147" t="str">
        <f>_xlfn.XLOOKUP(D144,'Detalhamento - G200'!A:A,'Detalhamento - G200'!B:B,0)</f>
        <v>ETE</v>
      </c>
      <c r="F144" s="154">
        <v>1370.51</v>
      </c>
      <c r="G144" s="147"/>
      <c r="H144" s="154">
        <f t="shared" si="9"/>
        <v>1370.51</v>
      </c>
    </row>
    <row r="145" spans="1:8" s="156" customFormat="1">
      <c r="A145" s="147" t="s">
        <v>974</v>
      </c>
      <c r="B145" s="147" t="s">
        <v>864</v>
      </c>
      <c r="C145" s="147" t="s">
        <v>865</v>
      </c>
      <c r="D145" s="146">
        <v>2001001005</v>
      </c>
      <c r="E145" s="147" t="str">
        <f>_xlfn.XLOOKUP(D145,'Detalhamento - G200'!A:A,'Detalhamento - G200'!B:B,0)</f>
        <v>IMPLANTAÇÃO DE CANTEIRO -  HIDRÁULICA</v>
      </c>
      <c r="F145" s="154">
        <v>8471.52</v>
      </c>
      <c r="G145" s="147"/>
      <c r="H145" s="154">
        <f t="shared" si="9"/>
        <v>8471.52</v>
      </c>
    </row>
    <row r="146" spans="1:8" s="156" customFormat="1">
      <c r="A146" s="147" t="s">
        <v>974</v>
      </c>
      <c r="B146" s="147" t="s">
        <v>866</v>
      </c>
      <c r="C146" s="147" t="s">
        <v>282</v>
      </c>
      <c r="D146" s="146">
        <v>1001002003</v>
      </c>
      <c r="E146" s="147" t="str">
        <f>_xlfn.XLOOKUP(D146,'Detalhamento - G200'!A:A,'Detalhamento - G200'!B:B,0)</f>
        <v>MOVIMENTAÇÃO DE TERRA</v>
      </c>
      <c r="F146" s="154">
        <v>10412</v>
      </c>
      <c r="G146" s="147"/>
      <c r="H146" s="154">
        <f t="shared" si="9"/>
        <v>10412</v>
      </c>
    </row>
    <row r="147" spans="1:8" s="156" customFormat="1">
      <c r="A147" s="147" t="s">
        <v>974</v>
      </c>
      <c r="B147" s="147" t="s">
        <v>867</v>
      </c>
      <c r="C147" s="147" t="s">
        <v>763</v>
      </c>
      <c r="D147" s="146">
        <v>1002002001</v>
      </c>
      <c r="E147" s="147" t="str">
        <f>_xlfn.XLOOKUP(D147,'Detalhamento - G200'!A:A,'Detalhamento - G200'!B:B,0)</f>
        <v>FUNDAÇÃO</v>
      </c>
      <c r="F147" s="154">
        <v>13134</v>
      </c>
      <c r="G147" s="147"/>
      <c r="H147" s="154">
        <f t="shared" si="9"/>
        <v>13134</v>
      </c>
    </row>
    <row r="148" spans="1:8" s="156" customFormat="1">
      <c r="A148" s="147" t="s">
        <v>975</v>
      </c>
      <c r="B148" s="147" t="s">
        <v>868</v>
      </c>
      <c r="C148" s="147" t="s">
        <v>869</v>
      </c>
      <c r="D148" s="146">
        <v>1001003003</v>
      </c>
      <c r="E148" s="147" t="str">
        <f>_xlfn.XLOOKUP(D148,'Detalhamento - G200'!A:A,'Detalhamento - G200'!B:B,0)</f>
        <v>COBERTURA E FECHAMENTO METALICO</v>
      </c>
      <c r="F148" s="154">
        <v>1378331.0227000001</v>
      </c>
      <c r="G148" s="147" t="s">
        <v>766</v>
      </c>
      <c r="H148" s="154">
        <f t="shared" si="9"/>
        <v>0</v>
      </c>
    </row>
    <row r="149" spans="1:8" s="156" customFormat="1">
      <c r="A149" s="147" t="s">
        <v>975</v>
      </c>
      <c r="B149" s="147" t="s">
        <v>868</v>
      </c>
      <c r="C149" s="147" t="s">
        <v>869</v>
      </c>
      <c r="D149" s="146">
        <v>1001003010</v>
      </c>
      <c r="E149" s="147" t="str">
        <f>_xlfn.XLOOKUP(D149,'Detalhamento - G200'!A:A,'Detalhamento - G200'!B:B,0)</f>
        <v>SERRALHERIA GALPÃO</v>
      </c>
      <c r="F149" s="154">
        <v>1111.1463000000001</v>
      </c>
      <c r="G149" s="147" t="s">
        <v>766</v>
      </c>
      <c r="H149" s="154">
        <f t="shared" si="9"/>
        <v>0</v>
      </c>
    </row>
    <row r="150" spans="1:8" s="156" customFormat="1" ht="36">
      <c r="A150" s="147" t="s">
        <v>975</v>
      </c>
      <c r="B150" s="147" t="s">
        <v>868</v>
      </c>
      <c r="C150" s="147" t="s">
        <v>869</v>
      </c>
      <c r="D150" s="146">
        <v>1001004007</v>
      </c>
      <c r="E150" s="147" t="str">
        <f>_xlfn.XLOOKUP(D150,'Detalhamento - G200'!A:A,'Detalhamento - G200'!B:B,0)</f>
        <v>PASSARELA DE PEDESTRES / COBERTURA DE ESTACIONAMENTO</v>
      </c>
      <c r="F150" s="154">
        <v>51817.131500000003</v>
      </c>
      <c r="G150" s="147" t="s">
        <v>766</v>
      </c>
      <c r="H150" s="154">
        <f t="shared" si="9"/>
        <v>0</v>
      </c>
    </row>
    <row r="151" spans="1:8" s="156" customFormat="1">
      <c r="A151" s="147" t="s">
        <v>975</v>
      </c>
      <c r="B151" s="147" t="s">
        <v>868</v>
      </c>
      <c r="C151" s="147" t="s">
        <v>869</v>
      </c>
      <c r="D151" s="146">
        <v>1001004010</v>
      </c>
      <c r="E151" s="147" t="str">
        <f>_xlfn.XLOOKUP(D151,'Detalhamento - G200'!A:A,'Detalhamento - G200'!B:B,0)</f>
        <v>ÁREA DE LAZER</v>
      </c>
      <c r="F151" s="154">
        <v>18968.966199999999</v>
      </c>
      <c r="G151" s="147" t="s">
        <v>766</v>
      </c>
      <c r="H151" s="154">
        <f t="shared" si="9"/>
        <v>0</v>
      </c>
    </row>
    <row r="152" spans="1:8" s="156" customFormat="1">
      <c r="A152" s="147" t="s">
        <v>975</v>
      </c>
      <c r="B152" s="147" t="s">
        <v>868</v>
      </c>
      <c r="C152" s="147" t="s">
        <v>869</v>
      </c>
      <c r="D152" s="146">
        <v>1001004002</v>
      </c>
      <c r="E152" s="147" t="str">
        <f>_xlfn.XLOOKUP(D152,'Detalhamento - G200'!A:A,'Detalhamento - G200'!B:B,0)</f>
        <v>APOIO (VESTIÁRIO + REFEITÓRIO)</v>
      </c>
      <c r="F152" s="154">
        <v>37012.236799999999</v>
      </c>
      <c r="G152" s="147" t="s">
        <v>766</v>
      </c>
      <c r="H152" s="154">
        <f t="shared" si="9"/>
        <v>0</v>
      </c>
    </row>
    <row r="153" spans="1:8" s="156" customFormat="1">
      <c r="A153" s="147" t="s">
        <v>975</v>
      </c>
      <c r="B153" s="147" t="s">
        <v>868</v>
      </c>
      <c r="C153" s="147" t="s">
        <v>869</v>
      </c>
      <c r="D153" s="146">
        <v>1001004001</v>
      </c>
      <c r="E153" s="147" t="str">
        <f>_xlfn.XLOOKUP(D153,'Detalhamento - G200'!A:A,'Detalhamento - G200'!B:B,0)</f>
        <v>PORTARIA / COBERTURA DA ECLUSA</v>
      </c>
      <c r="F153" s="154">
        <v>30396.786499999998</v>
      </c>
      <c r="G153" s="147" t="s">
        <v>766</v>
      </c>
      <c r="H153" s="154">
        <f t="shared" si="9"/>
        <v>0</v>
      </c>
    </row>
    <row r="154" spans="1:8" s="156" customFormat="1" ht="36">
      <c r="A154" s="147" t="s">
        <v>975</v>
      </c>
      <c r="B154" s="147" t="s">
        <v>868</v>
      </c>
      <c r="C154" s="147" t="s">
        <v>869</v>
      </c>
      <c r="D154" s="146">
        <v>1004002006</v>
      </c>
      <c r="E154" s="147" t="str">
        <f>_xlfn.XLOOKUP(D154,'Detalhamento - G200'!A:A,'Detalhamento - G200'!B:B,0)</f>
        <v>PASSARELAS DE PEDESTRE/ÔNIBUS - TESTEIRA RAL 5022</v>
      </c>
      <c r="F154" s="154">
        <v>2805.1379000000002</v>
      </c>
      <c r="G154" s="147" t="s">
        <v>766</v>
      </c>
      <c r="H154" s="154">
        <f t="shared" si="9"/>
        <v>0</v>
      </c>
    </row>
    <row r="155" spans="1:8" s="156" customFormat="1">
      <c r="A155" s="147" t="s">
        <v>975</v>
      </c>
      <c r="B155" s="147" t="s">
        <v>868</v>
      </c>
      <c r="C155" s="147" t="s">
        <v>869</v>
      </c>
      <c r="D155" s="146">
        <v>1003005001</v>
      </c>
      <c r="E155" s="147" t="str">
        <f>_xlfn.XLOOKUP(D155,'Detalhamento - G200'!A:A,'Detalhamento - G200'!B:B,0)</f>
        <v>SERVIÇO CIVIL</v>
      </c>
      <c r="F155" s="154">
        <v>35162.404199999997</v>
      </c>
      <c r="G155" s="147" t="s">
        <v>766</v>
      </c>
      <c r="H155" s="154">
        <f t="shared" si="9"/>
        <v>0</v>
      </c>
    </row>
    <row r="156" spans="1:8" s="156" customFormat="1">
      <c r="A156" s="147" t="s">
        <v>975</v>
      </c>
      <c r="B156" s="147" t="s">
        <v>868</v>
      </c>
      <c r="C156" s="147" t="s">
        <v>869</v>
      </c>
      <c r="D156" s="146">
        <v>1004002007</v>
      </c>
      <c r="E156" s="147" t="str">
        <f>_xlfn.XLOOKUP(D156,'Detalhamento - G200'!A:A,'Detalhamento - G200'!B:B,0)</f>
        <v>PASSARELAS DE PEDESTRE/ÔNIBUS - CALHA</v>
      </c>
      <c r="F156" s="154">
        <v>2805.1379000000002</v>
      </c>
      <c r="G156" s="147" t="s">
        <v>766</v>
      </c>
      <c r="H156" s="154">
        <f t="shared" si="9"/>
        <v>0</v>
      </c>
    </row>
    <row r="157" spans="1:8" s="156" customFormat="1">
      <c r="A157" s="147" t="s">
        <v>975</v>
      </c>
      <c r="B157" s="147" t="s">
        <v>870</v>
      </c>
      <c r="C157" s="147" t="s">
        <v>589</v>
      </c>
      <c r="D157" s="146">
        <v>2001001002</v>
      </c>
      <c r="E157" s="147" t="str">
        <f>_xlfn.XLOOKUP(D157,'Detalhamento - G200'!A:A,'Detalhamento - G200'!B:B,0)</f>
        <v>IMPLANTAÇÃO DE CANTEIRO - ELETRICA</v>
      </c>
      <c r="F157" s="154">
        <v>758.5</v>
      </c>
      <c r="G157" s="147"/>
      <c r="H157" s="154">
        <f t="shared" si="9"/>
        <v>758.5</v>
      </c>
    </row>
    <row r="158" spans="1:8" s="156" customFormat="1" ht="36">
      <c r="A158" s="147" t="s">
        <v>975</v>
      </c>
      <c r="B158" s="147" t="s">
        <v>871</v>
      </c>
      <c r="C158" s="147" t="s">
        <v>289</v>
      </c>
      <c r="D158" s="146">
        <v>2001001002</v>
      </c>
      <c r="E158" s="147" t="str">
        <f>_xlfn.XLOOKUP(D158,'Detalhamento - G200'!A:A,'Detalhamento - G200'!B:B,0)</f>
        <v>IMPLANTAÇÃO DE CANTEIRO - ELETRICA</v>
      </c>
      <c r="F158" s="154">
        <v>1773.32</v>
      </c>
      <c r="G158" s="147"/>
      <c r="H158" s="154">
        <f t="shared" si="9"/>
        <v>1773.32</v>
      </c>
    </row>
    <row r="159" spans="1:8" s="156" customFormat="1" ht="36">
      <c r="A159" s="147" t="s">
        <v>975</v>
      </c>
      <c r="B159" s="147" t="s">
        <v>872</v>
      </c>
      <c r="C159" s="147" t="s">
        <v>874</v>
      </c>
      <c r="D159" s="146">
        <v>1001005001</v>
      </c>
      <c r="E159" s="147" t="str">
        <f>_xlfn.XLOOKUP(D159,'Detalhamento - G200'!A:A,'Detalhamento - G200'!B:B,0)</f>
        <v>ELETRICA, HIDRÁULICA E COMBATE A INCÊNDIO - MEP</v>
      </c>
      <c r="F159" s="154">
        <v>424.5</v>
      </c>
      <c r="G159" s="147"/>
      <c r="H159" s="154">
        <f t="shared" si="9"/>
        <v>424.5</v>
      </c>
    </row>
    <row r="160" spans="1:8" s="156" customFormat="1">
      <c r="A160" s="147" t="s">
        <v>975</v>
      </c>
      <c r="B160" s="147" t="s">
        <v>872</v>
      </c>
      <c r="C160" s="147" t="s">
        <v>874</v>
      </c>
      <c r="D160" s="146">
        <v>2001001002</v>
      </c>
      <c r="E160" s="147" t="str">
        <f>_xlfn.XLOOKUP(D160,'Detalhamento - G200'!A:A,'Detalhamento - G200'!B:B,0)</f>
        <v>IMPLANTAÇÃO DE CANTEIRO - ELETRICA</v>
      </c>
      <c r="F160" s="154">
        <v>1661.3</v>
      </c>
      <c r="G160" s="147"/>
      <c r="H160" s="154">
        <f t="shared" si="9"/>
        <v>1661.3</v>
      </c>
    </row>
    <row r="161" spans="1:8" s="156" customFormat="1" ht="36">
      <c r="A161" s="147" t="s">
        <v>975</v>
      </c>
      <c r="B161" s="147" t="s">
        <v>873</v>
      </c>
      <c r="C161" s="147" t="s">
        <v>284</v>
      </c>
      <c r="D161" s="146">
        <v>1001005001</v>
      </c>
      <c r="E161" s="147" t="str">
        <f>_xlfn.XLOOKUP(D161,'Detalhamento - G200'!A:A,'Detalhamento - G200'!B:B,0)</f>
        <v>ELETRICA, HIDRÁULICA E COMBATE A INCÊNDIO - MEP</v>
      </c>
      <c r="F161" s="154">
        <v>72.569999999999993</v>
      </c>
      <c r="G161" s="147"/>
      <c r="H161" s="154">
        <f t="shared" si="9"/>
        <v>72.569999999999993</v>
      </c>
    </row>
    <row r="162" spans="1:8" s="156" customFormat="1">
      <c r="A162" s="147" t="s">
        <v>975</v>
      </c>
      <c r="B162" s="147" t="s">
        <v>873</v>
      </c>
      <c r="C162" s="147" t="s">
        <v>284</v>
      </c>
      <c r="D162" s="146">
        <v>2001001002</v>
      </c>
      <c r="E162" s="147" t="str">
        <f>_xlfn.XLOOKUP(D162,'Detalhamento - G200'!A:A,'Detalhamento - G200'!B:B,0)</f>
        <v>IMPLANTAÇÃO DE CANTEIRO - ELETRICA</v>
      </c>
      <c r="F162" s="154">
        <v>236.29</v>
      </c>
      <c r="G162" s="147"/>
      <c r="H162" s="154">
        <f t="shared" si="9"/>
        <v>236.29</v>
      </c>
    </row>
    <row r="163" spans="1:8" s="156" customFormat="1">
      <c r="A163" s="147" t="s">
        <v>975</v>
      </c>
      <c r="B163" s="147" t="s">
        <v>892</v>
      </c>
      <c r="C163" s="147" t="s">
        <v>893</v>
      </c>
      <c r="D163" s="146">
        <v>2001024004</v>
      </c>
      <c r="E163" s="147" t="str">
        <f>_xlfn.XLOOKUP(D163,'Detalhamento - G200'!A:A,'Detalhamento - G200'!B:B,0)</f>
        <v>EPI E FARDAMENTO</v>
      </c>
      <c r="F163" s="154">
        <v>799.6</v>
      </c>
      <c r="G163" s="147"/>
      <c r="H163" s="154">
        <f t="shared" si="9"/>
        <v>799.6</v>
      </c>
    </row>
    <row r="164" spans="1:8" s="156" customFormat="1">
      <c r="A164" s="147" t="s">
        <v>975</v>
      </c>
      <c r="B164" s="147" t="s">
        <v>892</v>
      </c>
      <c r="C164" s="147" t="s">
        <v>893</v>
      </c>
      <c r="D164" s="146">
        <v>2001005002</v>
      </c>
      <c r="E164" s="147" t="str">
        <f>_xlfn.XLOOKUP(D164,'Detalhamento - G200'!A:A,'Detalhamento - G200'!B:B,0)</f>
        <v>EPC GERAL E COMUNICAÇÃO VISUAL</v>
      </c>
      <c r="F164" s="154">
        <v>816</v>
      </c>
      <c r="G164" s="147"/>
      <c r="H164" s="154">
        <f t="shared" ref="H164:H171" si="10">IF(G164&lt;&gt;"",0,F164)</f>
        <v>816</v>
      </c>
    </row>
    <row r="165" spans="1:8" s="156" customFormat="1" ht="36">
      <c r="A165" s="147" t="s">
        <v>975</v>
      </c>
      <c r="B165" s="147" t="s">
        <v>895</v>
      </c>
      <c r="C165" s="147" t="s">
        <v>589</v>
      </c>
      <c r="D165" s="146">
        <v>1001005001</v>
      </c>
      <c r="E165" s="147" t="str">
        <f>_xlfn.XLOOKUP(D165,'Detalhamento - G200'!A:A,'Detalhamento - G200'!B:B,0)</f>
        <v>ELETRICA, HIDRÁULICA E COMBATE A INCÊNDIO - MEP</v>
      </c>
      <c r="F165" s="154">
        <v>540</v>
      </c>
      <c r="G165" s="147"/>
      <c r="H165" s="154">
        <f t="shared" si="10"/>
        <v>540</v>
      </c>
    </row>
    <row r="166" spans="1:8" s="156" customFormat="1">
      <c r="A166" s="147" t="s">
        <v>975</v>
      </c>
      <c r="B166" s="147" t="s">
        <v>895</v>
      </c>
      <c r="C166" s="147" t="s">
        <v>589</v>
      </c>
      <c r="D166" s="146">
        <v>2001001002</v>
      </c>
      <c r="E166" s="147" t="str">
        <f>_xlfn.XLOOKUP(D166,'Detalhamento - G200'!A:A,'Detalhamento - G200'!B:B,0)</f>
        <v>IMPLANTAÇÃO DE CANTEIRO - ELETRICA</v>
      </c>
      <c r="F166" s="154">
        <v>219.6</v>
      </c>
      <c r="G166" s="147"/>
      <c r="H166" s="154">
        <f t="shared" si="10"/>
        <v>219.6</v>
      </c>
    </row>
    <row r="167" spans="1:8" s="156" customFormat="1" ht="36">
      <c r="A167" s="147" t="s">
        <v>975</v>
      </c>
      <c r="B167" s="147" t="s">
        <v>896</v>
      </c>
      <c r="C167" s="147" t="s">
        <v>289</v>
      </c>
      <c r="D167" s="146">
        <v>1002002001</v>
      </c>
      <c r="E167" s="147" t="str">
        <f>_xlfn.XLOOKUP(D167,'Detalhamento - G200'!A:A,'Detalhamento - G200'!B:B,0)</f>
        <v>FUNDAÇÃO</v>
      </c>
      <c r="F167" s="154">
        <v>585.4</v>
      </c>
      <c r="G167" s="147"/>
      <c r="H167" s="154">
        <f t="shared" si="10"/>
        <v>585.4</v>
      </c>
    </row>
    <row r="168" spans="1:8" s="156" customFormat="1">
      <c r="A168" s="147" t="s">
        <v>975</v>
      </c>
      <c r="B168" s="147" t="s">
        <v>897</v>
      </c>
      <c r="C168" s="147" t="s">
        <v>898</v>
      </c>
      <c r="D168" s="146">
        <v>1001006006</v>
      </c>
      <c r="E168" s="147" t="str">
        <f>_xlfn.XLOOKUP(D168,'Detalhamento - G200'!A:A,'Detalhamento - G200'!B:B,0)</f>
        <v>ETE</v>
      </c>
      <c r="F168" s="154">
        <v>850</v>
      </c>
      <c r="G168" s="147"/>
      <c r="H168" s="154">
        <f t="shared" si="10"/>
        <v>850</v>
      </c>
    </row>
    <row r="169" spans="1:8" s="156" customFormat="1">
      <c r="A169" s="147" t="s">
        <v>975</v>
      </c>
      <c r="B169" s="147" t="s">
        <v>899</v>
      </c>
      <c r="C169" s="147" t="s">
        <v>900</v>
      </c>
      <c r="D169" s="146">
        <v>1001002003</v>
      </c>
      <c r="E169" s="147" t="str">
        <f>_xlfn.XLOOKUP(D169,'Detalhamento - G200'!A:A,'Detalhamento - G200'!B:B,0)</f>
        <v>MOVIMENTAÇÃO DE TERRA</v>
      </c>
      <c r="F169" s="154">
        <v>59400</v>
      </c>
      <c r="G169" s="147"/>
      <c r="H169" s="154">
        <f t="shared" si="10"/>
        <v>59400</v>
      </c>
    </row>
    <row r="170" spans="1:8" s="156" customFormat="1">
      <c r="A170" s="147" t="s">
        <v>975</v>
      </c>
      <c r="B170" s="147" t="s">
        <v>901</v>
      </c>
      <c r="C170" s="147" t="s">
        <v>704</v>
      </c>
      <c r="D170" s="146">
        <v>1002002001</v>
      </c>
      <c r="E170" s="147" t="str">
        <f>_xlfn.XLOOKUP(D170,'Detalhamento - G200'!A:A,'Detalhamento - G200'!B:B,0)</f>
        <v>FUNDAÇÃO</v>
      </c>
      <c r="F170" s="154">
        <v>8034</v>
      </c>
      <c r="G170" s="147"/>
      <c r="H170" s="154">
        <f t="shared" si="10"/>
        <v>8034</v>
      </c>
    </row>
    <row r="171" spans="1:8" s="156" customFormat="1">
      <c r="A171" s="147" t="s">
        <v>975</v>
      </c>
      <c r="B171" s="147" t="s">
        <v>904</v>
      </c>
      <c r="C171" s="147" t="s">
        <v>298</v>
      </c>
      <c r="D171" s="146">
        <v>1001001002</v>
      </c>
      <c r="E171" s="147" t="str">
        <f>_xlfn.XLOOKUP(D171,'Detalhamento - G200'!A:A,'Detalhamento - G200'!B:B,0)</f>
        <v>ENSAIOS E CONSULTORIAS</v>
      </c>
      <c r="F171" s="154">
        <v>640.5</v>
      </c>
      <c r="G171" s="147" t="s">
        <v>353</v>
      </c>
      <c r="H171" s="154">
        <f t="shared" si="10"/>
        <v>0</v>
      </c>
    </row>
    <row r="172" spans="1:8" s="156" customFormat="1">
      <c r="A172" s="147" t="s">
        <v>975</v>
      </c>
      <c r="B172" s="147" t="s">
        <v>904</v>
      </c>
      <c r="C172" s="147" t="s">
        <v>298</v>
      </c>
      <c r="D172" s="146">
        <v>1001001002</v>
      </c>
      <c r="E172" s="147" t="str">
        <f>_xlfn.XLOOKUP(D172,'Detalhamento - G200'!A:A,'Detalhamento - G200'!B:B,0)</f>
        <v>ENSAIOS E CONSULTORIAS</v>
      </c>
      <c r="F172" s="154">
        <v>512.4</v>
      </c>
      <c r="G172" s="147" t="s">
        <v>358</v>
      </c>
      <c r="H172" s="154">
        <f t="shared" ref="H172" si="11">IF(G172&lt;&gt;"",0,F172)</f>
        <v>0</v>
      </c>
    </row>
    <row r="173" spans="1:8" s="156" customFormat="1">
      <c r="A173" s="255" t="s">
        <v>975</v>
      </c>
      <c r="B173" s="255" t="s">
        <v>904</v>
      </c>
      <c r="C173" s="255" t="s">
        <v>298</v>
      </c>
      <c r="D173" s="256">
        <v>2001004002</v>
      </c>
      <c r="E173" s="255" t="str">
        <f>_xlfn.XLOOKUP(D173,'Detalhamento - G200'!A:A,'Detalhamento - G200'!B:B,0)</f>
        <v>LOCAÇÃO DE BOBCAT</v>
      </c>
      <c r="F173" s="257">
        <v>213.5</v>
      </c>
      <c r="G173" s="255"/>
      <c r="H173" s="257">
        <f t="shared" ref="H173:H174" si="12">IF(G173&lt;&gt;"",0,F173)</f>
        <v>213.5</v>
      </c>
    </row>
    <row r="174" spans="1:8" s="156" customFormat="1">
      <c r="A174" s="147" t="s">
        <v>975</v>
      </c>
      <c r="B174" s="147" t="s">
        <v>905</v>
      </c>
      <c r="C174" s="147" t="s">
        <v>906</v>
      </c>
      <c r="D174" s="146">
        <v>2001008001</v>
      </c>
      <c r="E174" s="147" t="str">
        <f>_xlfn.XLOOKUP(D174,'Detalhamento - G200'!A:A,'Detalhamento - G200'!B:B,0)</f>
        <v>MATERIAIS DE COPA E LIMPEZA</v>
      </c>
      <c r="F174" s="154">
        <v>2163.6</v>
      </c>
      <c r="G174" s="147"/>
      <c r="H174" s="154">
        <f t="shared" si="12"/>
        <v>2163.6</v>
      </c>
    </row>
    <row r="175" spans="1:8" s="156" customFormat="1" ht="36">
      <c r="A175" s="147" t="s">
        <v>975</v>
      </c>
      <c r="B175" s="147" t="s">
        <v>905</v>
      </c>
      <c r="C175" s="147" t="s">
        <v>906</v>
      </c>
      <c r="D175" s="146">
        <v>2001017002</v>
      </c>
      <c r="E175" s="147" t="str">
        <f>_xlfn.XLOOKUP(D175,'Detalhamento - G200'!A:A,'Detalhamento - G200'!B:B,0)</f>
        <v>AQUISIÇÃO DE MATERIAIS PARA AMBULATÓRIO</v>
      </c>
      <c r="F175" s="154">
        <v>17.670000000000002</v>
      </c>
      <c r="G175" s="147"/>
      <c r="H175" s="154">
        <f t="shared" ref="H175:H178" si="13">IF(G175&lt;&gt;"",0,F175)</f>
        <v>17.670000000000002</v>
      </c>
    </row>
    <row r="176" spans="1:8" s="156" customFormat="1">
      <c r="A176" s="147" t="s">
        <v>975</v>
      </c>
      <c r="B176" s="147" t="s">
        <v>907</v>
      </c>
      <c r="C176" s="147" t="s">
        <v>287</v>
      </c>
      <c r="D176" s="146">
        <v>2001008001</v>
      </c>
      <c r="E176" s="147" t="str">
        <f>_xlfn.XLOOKUP(D176,'Detalhamento - G200'!A:A,'Detalhamento - G200'!B:B,0)</f>
        <v>MATERIAIS DE COPA E LIMPEZA</v>
      </c>
      <c r="F176" s="154">
        <v>1082.07</v>
      </c>
      <c r="G176" s="147"/>
      <c r="H176" s="154">
        <f t="shared" si="13"/>
        <v>1082.07</v>
      </c>
    </row>
    <row r="177" spans="1:8" s="156" customFormat="1">
      <c r="A177" s="147" t="s">
        <v>975</v>
      </c>
      <c r="B177" s="147" t="s">
        <v>908</v>
      </c>
      <c r="C177" s="147" t="s">
        <v>288</v>
      </c>
      <c r="D177" s="146">
        <v>2001008001</v>
      </c>
      <c r="E177" s="147" t="str">
        <f>_xlfn.XLOOKUP(D177,'Detalhamento - G200'!A:A,'Detalhamento - G200'!B:B,0)</f>
        <v>MATERIAIS DE COPA E LIMPEZA</v>
      </c>
      <c r="F177" s="154">
        <v>199</v>
      </c>
      <c r="G177" s="147"/>
      <c r="H177" s="154">
        <f t="shared" si="13"/>
        <v>199</v>
      </c>
    </row>
    <row r="178" spans="1:8" s="156" customFormat="1">
      <c r="A178" s="147" t="s">
        <v>975</v>
      </c>
      <c r="B178" s="147" t="s">
        <v>931</v>
      </c>
      <c r="C178" s="147" t="s">
        <v>747</v>
      </c>
      <c r="D178" s="146">
        <v>2001001006</v>
      </c>
      <c r="E178" s="147" t="str">
        <f>_xlfn.XLOOKUP(D178,'Detalhamento - G200'!A:A,'Detalhamento - G200'!B:B,0)</f>
        <v>IMPLANTAÇÃO DE CANTEIRO - CIVIL</v>
      </c>
      <c r="F178" s="154">
        <v>767.87</v>
      </c>
      <c r="G178" s="147"/>
      <c r="H178" s="154">
        <f t="shared" si="13"/>
        <v>767.87</v>
      </c>
    </row>
    <row r="179" spans="1:8" s="156" customFormat="1">
      <c r="A179" s="147" t="s">
        <v>975</v>
      </c>
      <c r="B179" s="147" t="s">
        <v>931</v>
      </c>
      <c r="C179" s="147" t="s">
        <v>747</v>
      </c>
      <c r="D179" s="146">
        <v>2001001010</v>
      </c>
      <c r="E179" s="147" t="str">
        <f>_xlfn.XLOOKUP(D179,'Detalhamento - G200'!A:A,'Detalhamento - G200'!B:B,0)</f>
        <v>MANUTENÇÃO DE CANTEIRO</v>
      </c>
      <c r="F179" s="154">
        <v>770</v>
      </c>
      <c r="G179" s="147"/>
      <c r="H179" s="154">
        <f t="shared" ref="H179:H187" si="14">IF(G179&lt;&gt;"",0,F179)</f>
        <v>770</v>
      </c>
    </row>
    <row r="180" spans="1:8" s="156" customFormat="1" ht="17.45" customHeight="1">
      <c r="A180" s="147" t="s">
        <v>975</v>
      </c>
      <c r="B180" s="147" t="s">
        <v>937</v>
      </c>
      <c r="C180" s="147" t="s">
        <v>938</v>
      </c>
      <c r="D180" s="146">
        <v>1001006006</v>
      </c>
      <c r="E180" s="147" t="str">
        <f>_xlfn.XLOOKUP(D180,'Detalhamento - G200'!A:A,'Detalhamento - G200'!B:B,0)</f>
        <v>ETE</v>
      </c>
      <c r="F180" s="154">
        <v>83216.7</v>
      </c>
      <c r="G180" s="147" t="s">
        <v>383</v>
      </c>
      <c r="H180" s="154">
        <f t="shared" si="14"/>
        <v>0</v>
      </c>
    </row>
    <row r="181" spans="1:8" s="156" customFormat="1">
      <c r="A181" s="147" t="s">
        <v>975</v>
      </c>
      <c r="B181" s="147" t="s">
        <v>949</v>
      </c>
      <c r="C181" s="147" t="s">
        <v>274</v>
      </c>
      <c r="D181" s="146">
        <v>2001001007</v>
      </c>
      <c r="E181" s="147" t="str">
        <f>_xlfn.XLOOKUP(D181,'Detalhamento - G200'!A:A,'Detalhamento - G200'!B:B,0)</f>
        <v>LOCAÇÃO DE TOLDO</v>
      </c>
      <c r="F181" s="154">
        <v>6400</v>
      </c>
      <c r="G181" s="147"/>
      <c r="H181" s="154">
        <f t="shared" ref="H181" si="15">IF(G181&lt;&gt;"",0,F181)</f>
        <v>6400</v>
      </c>
    </row>
    <row r="182" spans="1:8" s="156" customFormat="1">
      <c r="A182" s="147" t="s">
        <v>975</v>
      </c>
      <c r="B182" s="147" t="s">
        <v>943</v>
      </c>
      <c r="C182" s="147" t="s">
        <v>944</v>
      </c>
      <c r="D182" s="146">
        <v>1001002006</v>
      </c>
      <c r="E182" s="147" t="str">
        <f>_xlfn.XLOOKUP(D182,'Detalhamento - G200'!A:A,'Detalhamento - G200'!B:B,0)</f>
        <v>CONTENÇÕES</v>
      </c>
      <c r="F182" s="154">
        <v>84570</v>
      </c>
      <c r="G182" s="147" t="s">
        <v>731</v>
      </c>
      <c r="H182" s="154">
        <f t="shared" si="14"/>
        <v>0</v>
      </c>
    </row>
    <row r="183" spans="1:8" s="156" customFormat="1">
      <c r="A183" s="147" t="s">
        <v>975</v>
      </c>
      <c r="B183" s="147" t="s">
        <v>945</v>
      </c>
      <c r="C183" s="147" t="s">
        <v>307</v>
      </c>
      <c r="D183" s="146">
        <v>2001006002</v>
      </c>
      <c r="E183" s="147" t="str">
        <f>_xlfn.XLOOKUP(D183,'Detalhamento - G200'!A:A,'Detalhamento - G200'!B:B,0)</f>
        <v>LIMPA FOSSA</v>
      </c>
      <c r="F183" s="154">
        <v>52560</v>
      </c>
      <c r="G183" s="147"/>
      <c r="H183" s="154">
        <f t="shared" si="14"/>
        <v>52560</v>
      </c>
    </row>
    <row r="184" spans="1:8" s="156" customFormat="1">
      <c r="A184" s="147" t="s">
        <v>975</v>
      </c>
      <c r="B184" s="147" t="s">
        <v>946</v>
      </c>
      <c r="C184" s="147" t="s">
        <v>288</v>
      </c>
      <c r="D184" s="146">
        <v>2001001002</v>
      </c>
      <c r="E184" s="147" t="str">
        <f>_xlfn.XLOOKUP(D184,'Detalhamento - G200'!A:A,'Detalhamento - G200'!B:B,0)</f>
        <v>IMPLANTAÇÃO DE CANTEIRO - ELETRICA</v>
      </c>
      <c r="F184" s="154">
        <v>1950</v>
      </c>
      <c r="G184" s="147"/>
      <c r="H184" s="154">
        <f t="shared" si="14"/>
        <v>1950</v>
      </c>
    </row>
    <row r="185" spans="1:8" s="156" customFormat="1">
      <c r="A185" s="147" t="s">
        <v>975</v>
      </c>
      <c r="B185" s="147" t="s">
        <v>947</v>
      </c>
      <c r="C185" s="147" t="s">
        <v>948</v>
      </c>
      <c r="D185" s="146">
        <v>1001006006</v>
      </c>
      <c r="E185" s="147" t="str">
        <f>_xlfn.XLOOKUP(D185,'Detalhamento - G200'!A:A,'Detalhamento - G200'!B:B,0)</f>
        <v>ETE</v>
      </c>
      <c r="F185" s="154">
        <v>28287.4</v>
      </c>
      <c r="G185" s="147" t="s">
        <v>383</v>
      </c>
      <c r="H185" s="154">
        <f t="shared" si="14"/>
        <v>0</v>
      </c>
    </row>
    <row r="186" spans="1:8" s="156" customFormat="1">
      <c r="A186" s="147" t="s">
        <v>975</v>
      </c>
      <c r="B186" s="147" t="s">
        <v>950</v>
      </c>
      <c r="C186" s="147" t="s">
        <v>301</v>
      </c>
      <c r="D186" s="146">
        <v>1001003014</v>
      </c>
      <c r="E186" s="147" t="str">
        <f>_xlfn.XLOOKUP(D186,'Detalhamento - G200'!A:A,'Detalhamento - G200'!B:B,0)</f>
        <v>COMUNICAÇÃO VISUAL GALPÃO</v>
      </c>
      <c r="F186" s="154">
        <v>885</v>
      </c>
      <c r="G186" s="147"/>
      <c r="H186" s="154">
        <f t="shared" si="14"/>
        <v>885</v>
      </c>
    </row>
    <row r="187" spans="1:8" s="156" customFormat="1">
      <c r="A187" s="147" t="s">
        <v>975</v>
      </c>
      <c r="B187" s="147" t="s">
        <v>951</v>
      </c>
      <c r="C187" s="147" t="s">
        <v>952</v>
      </c>
      <c r="D187" s="146">
        <v>1001004010</v>
      </c>
      <c r="E187" s="147" t="str">
        <f>_xlfn.XLOOKUP(D187,'Detalhamento - G200'!A:A,'Detalhamento - G200'!B:B,0)</f>
        <v>ÁREA DE LAZER</v>
      </c>
      <c r="F187" s="154">
        <v>197.7</v>
      </c>
      <c r="G187" s="147"/>
      <c r="H187" s="154">
        <f t="shared" si="14"/>
        <v>197.7</v>
      </c>
    </row>
    <row r="188" spans="1:8" s="156" customFormat="1">
      <c r="A188" s="147" t="s">
        <v>975</v>
      </c>
      <c r="B188" s="147" t="s">
        <v>951</v>
      </c>
      <c r="C188" s="147" t="s">
        <v>952</v>
      </c>
      <c r="D188" s="146">
        <v>2001001002</v>
      </c>
      <c r="E188" s="147" t="str">
        <f>_xlfn.XLOOKUP(D188,'Detalhamento - G200'!A:A,'Detalhamento - G200'!B:B,0)</f>
        <v>IMPLANTAÇÃO DE CANTEIRO - ELETRICA</v>
      </c>
      <c r="F188" s="154">
        <v>136</v>
      </c>
      <c r="G188" s="147"/>
      <c r="H188" s="154">
        <f t="shared" ref="H188:H195" si="16">IF(G188&lt;&gt;"",0,F188)</f>
        <v>136</v>
      </c>
    </row>
    <row r="189" spans="1:8" s="156" customFormat="1">
      <c r="A189" s="147" t="s">
        <v>975</v>
      </c>
      <c r="B189" s="147" t="s">
        <v>964</v>
      </c>
      <c r="C189" s="147" t="s">
        <v>298</v>
      </c>
      <c r="D189" s="146">
        <v>1001002003</v>
      </c>
      <c r="E189" s="147" t="str">
        <f>_xlfn.XLOOKUP(D189,'Detalhamento - G200'!A:A,'Detalhamento - G200'!B:B,0)</f>
        <v>MOVIMENTAÇÃO DE TERRA</v>
      </c>
      <c r="F189" s="154">
        <v>65417.45</v>
      </c>
      <c r="G189" s="147"/>
      <c r="H189" s="154">
        <f t="shared" si="16"/>
        <v>65417.45</v>
      </c>
    </row>
    <row r="190" spans="1:8" s="156" customFormat="1">
      <c r="A190" s="147" t="s">
        <v>975</v>
      </c>
      <c r="B190" s="147" t="s">
        <v>964</v>
      </c>
      <c r="C190" s="147" t="s">
        <v>298</v>
      </c>
      <c r="D190" s="146">
        <v>1001002006</v>
      </c>
      <c r="E190" s="147" t="str">
        <f>_xlfn.XLOOKUP(D190,'Detalhamento - G200'!A:A,'Detalhamento - G200'!B:B,0)</f>
        <v>CONTENÇÕES</v>
      </c>
      <c r="F190" s="154">
        <v>34582.550000000003</v>
      </c>
      <c r="G190" s="147"/>
      <c r="H190" s="154">
        <f t="shared" si="16"/>
        <v>34582.550000000003</v>
      </c>
    </row>
    <row r="191" spans="1:8" s="156" customFormat="1">
      <c r="A191" s="147" t="s">
        <v>975</v>
      </c>
      <c r="B191" s="147" t="s">
        <v>965</v>
      </c>
      <c r="C191" s="147" t="s">
        <v>373</v>
      </c>
      <c r="D191" s="146">
        <v>2001002001</v>
      </c>
      <c r="E191" s="147" t="str">
        <f>_xlfn.XLOOKUP(D191,'Detalhamento - G200'!A:A,'Detalhamento - G200'!B:B,0)</f>
        <v>SEGURANÇA PATRIMONIAL - VIGILÂNCIA</v>
      </c>
      <c r="F191" s="154">
        <v>50000</v>
      </c>
      <c r="G191" s="147"/>
      <c r="H191" s="154">
        <f t="shared" si="16"/>
        <v>50000</v>
      </c>
    </row>
    <row r="192" spans="1:8" s="156" customFormat="1">
      <c r="A192" s="147" t="s">
        <v>975</v>
      </c>
      <c r="B192" s="147" t="s">
        <v>966</v>
      </c>
      <c r="C192" s="147" t="s">
        <v>359</v>
      </c>
      <c r="D192" s="146">
        <v>1002001002</v>
      </c>
      <c r="E192" s="147" t="str">
        <f>_xlfn.XLOOKUP(D192,'Detalhamento - G200'!A:A,'Detalhamento - G200'!B:B,0)</f>
        <v>ENSAIO E CONSULTORIA</v>
      </c>
      <c r="F192" s="154">
        <v>100000</v>
      </c>
      <c r="G192" s="147"/>
      <c r="H192" s="154">
        <f t="shared" si="16"/>
        <v>100000</v>
      </c>
    </row>
    <row r="193" spans="1:8">
      <c r="A193" s="147" t="s">
        <v>975</v>
      </c>
      <c r="B193" s="147" t="s">
        <v>967</v>
      </c>
      <c r="C193" s="147" t="s">
        <v>291</v>
      </c>
      <c r="D193" s="146">
        <v>2001004001</v>
      </c>
      <c r="E193" s="147" t="str">
        <f>_xlfn.XLOOKUP(D193,'Detalhamento - G200'!A:A,'Detalhamento - G200'!B:B,0)</f>
        <v>LOCAÇÃO DE MUNCK</v>
      </c>
      <c r="F193" s="154">
        <v>45665.96</v>
      </c>
      <c r="H193" s="154">
        <f t="shared" si="16"/>
        <v>45665.96</v>
      </c>
    </row>
    <row r="194" spans="1:8">
      <c r="A194" s="147" t="s">
        <v>975</v>
      </c>
      <c r="B194" s="147" t="s">
        <v>968</v>
      </c>
      <c r="C194" s="147" t="s">
        <v>969</v>
      </c>
      <c r="D194" s="146">
        <v>1001006006</v>
      </c>
      <c r="E194" s="147" t="str">
        <f>_xlfn.XLOOKUP(D194,'Detalhamento - G200'!A:A,'Detalhamento - G200'!B:B,0)</f>
        <v>ETE</v>
      </c>
      <c r="F194" s="154">
        <v>545250</v>
      </c>
      <c r="G194" s="147" t="s">
        <v>383</v>
      </c>
      <c r="H194" s="154">
        <f t="shared" si="16"/>
        <v>0</v>
      </c>
    </row>
    <row r="195" spans="1:8">
      <c r="A195" s="147" t="s">
        <v>975</v>
      </c>
      <c r="B195" s="147" t="s">
        <v>979</v>
      </c>
      <c r="C195" s="147" t="s">
        <v>980</v>
      </c>
      <c r="D195" s="146">
        <v>1001002003</v>
      </c>
      <c r="E195" s="147" t="str">
        <f>_xlfn.XLOOKUP(D195,'Detalhamento - G200'!A:A,'Detalhamento - G200'!B:B,0)</f>
        <v>MOVIMENTAÇÃO DE TERRA</v>
      </c>
      <c r="F195" s="154">
        <v>730000</v>
      </c>
      <c r="H195" s="154">
        <f t="shared" si="16"/>
        <v>730000</v>
      </c>
    </row>
    <row r="196" spans="1:8" ht="36">
      <c r="A196" s="147" t="s">
        <v>975</v>
      </c>
      <c r="B196" s="147" t="s">
        <v>990</v>
      </c>
      <c r="C196" s="147" t="s">
        <v>993</v>
      </c>
      <c r="D196" s="146">
        <v>1002003001</v>
      </c>
      <c r="E196" s="147" t="str">
        <f>_xlfn.XLOOKUP(D196,'Detalhamento - G200'!A:A,'Detalhamento - G200'!B:B,0)</f>
        <v>ELETRICA, HIDRÁULICA E COMBATE A INCÊNDIO</v>
      </c>
      <c r="F196" s="154">
        <v>513756.51</v>
      </c>
      <c r="G196" s="147" t="s">
        <v>765</v>
      </c>
      <c r="H196" s="154">
        <f>IF(G196&lt;&gt;"",0,F196)</f>
        <v>0</v>
      </c>
    </row>
    <row r="197" spans="1:8">
      <c r="A197" s="147" t="s">
        <v>975</v>
      </c>
      <c r="B197" s="147" t="s">
        <v>991</v>
      </c>
      <c r="C197" s="147" t="s">
        <v>992</v>
      </c>
      <c r="D197" s="146">
        <v>1001006006</v>
      </c>
      <c r="E197" s="147" t="str">
        <f>_xlfn.XLOOKUP(D197,'Detalhamento - G200'!A:A,'Detalhamento - G200'!B:B,0)</f>
        <v>ETE</v>
      </c>
      <c r="F197" s="154">
        <v>150325</v>
      </c>
      <c r="G197" s="147" t="s">
        <v>383</v>
      </c>
      <c r="H197" s="154">
        <f>IF(G197&lt;&gt;"",0,F197)</f>
        <v>0</v>
      </c>
    </row>
    <row r="198" spans="1:8">
      <c r="A198" s="147" t="s">
        <v>975</v>
      </c>
      <c r="B198" s="147" t="s">
        <v>999</v>
      </c>
      <c r="C198" s="147" t="s">
        <v>747</v>
      </c>
      <c r="D198" s="146">
        <v>1001002008</v>
      </c>
      <c r="E198" s="147" t="str">
        <f>_xlfn.XLOOKUP(D198,'Detalhamento - G200'!A:A,'Detalhamento - G200'!B:B,0)</f>
        <v>DRENAGEM</v>
      </c>
      <c r="F198" s="154">
        <v>47.77</v>
      </c>
      <c r="H198" s="154">
        <f>IF(G198&lt;&gt;"",0,F198)</f>
        <v>47.77</v>
      </c>
    </row>
    <row r="199" spans="1:8">
      <c r="A199" s="147" t="s">
        <v>975</v>
      </c>
      <c r="B199" s="147" t="s">
        <v>999</v>
      </c>
      <c r="C199" s="147" t="s">
        <v>747</v>
      </c>
      <c r="D199" s="146">
        <v>1001004002</v>
      </c>
      <c r="E199" s="147" t="str">
        <f>_xlfn.XLOOKUP(D199,'Detalhamento - G200'!A:A,'Detalhamento - G200'!B:B,0)</f>
        <v>APOIO (VESTIÁRIO + REFEITÓRIO)</v>
      </c>
      <c r="F199" s="154">
        <v>9.5500000000000007</v>
      </c>
      <c r="H199" s="154">
        <f t="shared" ref="H199:H207" si="17">IF(G199&lt;&gt;"",0,F199)</f>
        <v>9.5500000000000007</v>
      </c>
    </row>
    <row r="200" spans="1:8" ht="36">
      <c r="A200" s="147" t="s">
        <v>975</v>
      </c>
      <c r="B200" s="147" t="s">
        <v>999</v>
      </c>
      <c r="C200" s="147" t="s">
        <v>747</v>
      </c>
      <c r="D200" s="146">
        <v>1001005001</v>
      </c>
      <c r="E200" s="147" t="str">
        <f>_xlfn.XLOOKUP(D200,'Detalhamento - G200'!A:A,'Detalhamento - G200'!B:B,0)</f>
        <v>ELETRICA, HIDRÁULICA E COMBATE A INCÊNDIO - MEP</v>
      </c>
      <c r="F200" s="154">
        <v>47.77</v>
      </c>
      <c r="H200" s="154">
        <f t="shared" si="17"/>
        <v>47.77</v>
      </c>
    </row>
    <row r="201" spans="1:8">
      <c r="A201" s="147" t="s">
        <v>975</v>
      </c>
      <c r="B201" s="147" t="s">
        <v>999</v>
      </c>
      <c r="C201" s="147" t="s">
        <v>747</v>
      </c>
      <c r="D201" s="146">
        <v>1001006001</v>
      </c>
      <c r="E201" s="147" t="str">
        <f>_xlfn.XLOOKUP(D201,'Detalhamento - G200'!A:A,'Detalhamento - G200'!B:B,0)</f>
        <v>PAVIMENTAÇÃO EXTERNA</v>
      </c>
      <c r="F201" s="154">
        <v>23.88</v>
      </c>
      <c r="H201" s="154">
        <f t="shared" si="17"/>
        <v>23.88</v>
      </c>
    </row>
    <row r="202" spans="1:8">
      <c r="A202" s="147" t="s">
        <v>975</v>
      </c>
      <c r="B202" s="147" t="s">
        <v>999</v>
      </c>
      <c r="C202" s="147" t="s">
        <v>747</v>
      </c>
      <c r="D202" s="146">
        <v>1001006002</v>
      </c>
      <c r="E202" s="147" t="str">
        <f>_xlfn.XLOOKUP(D202,'Detalhamento - G200'!A:A,'Detalhamento - G200'!B:B,0)</f>
        <v>FECHAMENTO PERIMETRAL E PAISAGISMO</v>
      </c>
      <c r="F202" s="154">
        <v>23.88</v>
      </c>
      <c r="H202" s="154">
        <f t="shared" si="17"/>
        <v>23.88</v>
      </c>
    </row>
    <row r="203" spans="1:8">
      <c r="A203" s="147" t="s">
        <v>975</v>
      </c>
      <c r="B203" s="147" t="s">
        <v>999</v>
      </c>
      <c r="C203" s="147" t="s">
        <v>747</v>
      </c>
      <c r="D203" s="146">
        <v>1002002001</v>
      </c>
      <c r="E203" s="147" t="str">
        <f>_xlfn.XLOOKUP(D203,'Detalhamento - G200'!A:A,'Detalhamento - G200'!B:B,0)</f>
        <v>FUNDAÇÃO</v>
      </c>
      <c r="F203" s="154">
        <v>71.650000000000006</v>
      </c>
      <c r="H203" s="154">
        <f t="shared" si="17"/>
        <v>71.650000000000006</v>
      </c>
    </row>
    <row r="204" spans="1:8">
      <c r="A204" s="147" t="s">
        <v>975</v>
      </c>
      <c r="B204" s="147" t="s">
        <v>999</v>
      </c>
      <c r="C204" s="147" t="s">
        <v>747</v>
      </c>
      <c r="D204" s="146">
        <v>2001001010</v>
      </c>
      <c r="E204" s="147" t="str">
        <f>_xlfn.XLOOKUP(D204,'Detalhamento - G200'!A:A,'Detalhamento - G200'!B:B,0)</f>
        <v>MANUTENÇÃO DE CANTEIRO</v>
      </c>
      <c r="F204" s="154">
        <v>498.8</v>
      </c>
      <c r="H204" s="154">
        <f t="shared" si="17"/>
        <v>498.8</v>
      </c>
    </row>
    <row r="205" spans="1:8" ht="36">
      <c r="A205" s="147" t="s">
        <v>975</v>
      </c>
      <c r="B205" s="147" t="s">
        <v>1000</v>
      </c>
      <c r="C205" s="147" t="s">
        <v>705</v>
      </c>
      <c r="D205" s="146">
        <v>1002003001</v>
      </c>
      <c r="E205" s="147" t="str">
        <f>_xlfn.XLOOKUP(D205,'Detalhamento - G200'!A:A,'Detalhamento - G200'!B:B,0)</f>
        <v>ELETRICA, HIDRÁULICA E COMBATE A INCÊNDIO</v>
      </c>
      <c r="F205" s="154">
        <v>987102.2</v>
      </c>
      <c r="G205" s="147" t="s">
        <v>765</v>
      </c>
      <c r="H205" s="154">
        <f t="shared" si="17"/>
        <v>0</v>
      </c>
    </row>
    <row r="206" spans="1:8" ht="36">
      <c r="A206" s="147" t="s">
        <v>975</v>
      </c>
      <c r="B206" s="147" t="s">
        <v>1001</v>
      </c>
      <c r="C206" s="147" t="s">
        <v>894</v>
      </c>
      <c r="D206" s="146">
        <v>1001005001</v>
      </c>
      <c r="E206" s="147" t="str">
        <f>_xlfn.XLOOKUP(D206,'Detalhamento - G200'!A:A,'Detalhamento - G200'!B:B,0)</f>
        <v>ELETRICA, HIDRÁULICA E COMBATE A INCÊNDIO - MEP</v>
      </c>
      <c r="F206" s="154">
        <v>2210.65</v>
      </c>
      <c r="H206" s="154">
        <f t="shared" si="17"/>
        <v>2210.65</v>
      </c>
    </row>
    <row r="207" spans="1:8">
      <c r="A207" s="147" t="s">
        <v>975</v>
      </c>
      <c r="B207" s="147" t="s">
        <v>1002</v>
      </c>
      <c r="C207" s="147" t="s">
        <v>708</v>
      </c>
      <c r="D207" s="146">
        <v>1001003013</v>
      </c>
      <c r="E207" s="147" t="str">
        <f>_xlfn.XLOOKUP(D207,'Detalhamento - G200'!A:A,'Detalhamento - G200'!B:B,0)</f>
        <v>LIMPEZA GALPÃO</v>
      </c>
      <c r="F207" s="154">
        <v>13442.5</v>
      </c>
      <c r="G207" s="170" t="s">
        <v>1003</v>
      </c>
      <c r="H207" s="154">
        <f t="shared" si="17"/>
        <v>0</v>
      </c>
    </row>
    <row r="208" spans="1:8">
      <c r="A208" s="147" t="s">
        <v>975</v>
      </c>
      <c r="B208" s="147" t="s">
        <v>1002</v>
      </c>
      <c r="C208" s="147" t="s">
        <v>708</v>
      </c>
      <c r="D208" s="146">
        <v>2001004002</v>
      </c>
      <c r="E208" s="147" t="str">
        <f>_xlfn.XLOOKUP(D208,'Detalhamento - G200'!A:A,'Detalhamento - G200'!B:B,0)</f>
        <v>LOCAÇÃO DE BOBCAT</v>
      </c>
      <c r="F208" s="154">
        <v>13442.5</v>
      </c>
      <c r="G208" s="170" t="s">
        <v>1003</v>
      </c>
      <c r="H208" s="154">
        <f t="shared" ref="H208:H219" si="18">IF(G208&lt;&gt;"",0,F208)</f>
        <v>0</v>
      </c>
    </row>
    <row r="209" spans="1:8">
      <c r="A209" s="147" t="s">
        <v>975</v>
      </c>
      <c r="B209" s="147" t="s">
        <v>1004</v>
      </c>
      <c r="C209" s="147" t="s">
        <v>315</v>
      </c>
      <c r="D209" s="146">
        <v>2003001001</v>
      </c>
      <c r="E209" s="147" t="str">
        <f>_xlfn.XLOOKUP(D209,'Detalhamento - G200'!A:A,'Detalhamento - G200'!B:B,0)</f>
        <v>FEE</v>
      </c>
      <c r="F209" s="154">
        <v>551725.18999999994</v>
      </c>
      <c r="H209" s="154">
        <f t="shared" si="18"/>
        <v>551725.18999999994</v>
      </c>
    </row>
    <row r="210" spans="1:8">
      <c r="A210" s="147" t="s">
        <v>975</v>
      </c>
      <c r="B210" s="147" t="s">
        <v>1005</v>
      </c>
      <c r="C210" s="147" t="s">
        <v>297</v>
      </c>
      <c r="D210" s="146">
        <v>1001002003</v>
      </c>
      <c r="E210" s="147" t="str">
        <f>_xlfn.XLOOKUP(D210,'Detalhamento - G200'!A:A,'Detalhamento - G200'!B:B,0)</f>
        <v>MOVIMENTAÇÃO DE TERRA</v>
      </c>
      <c r="F210" s="154">
        <v>28560</v>
      </c>
      <c r="H210" s="154">
        <f t="shared" si="18"/>
        <v>28560</v>
      </c>
    </row>
    <row r="211" spans="1:8">
      <c r="A211" s="147" t="s">
        <v>975</v>
      </c>
      <c r="B211" s="147" t="s">
        <v>1006</v>
      </c>
      <c r="C211" s="147" t="s">
        <v>293</v>
      </c>
      <c r="D211" s="146">
        <v>2001001010</v>
      </c>
      <c r="E211" s="147" t="str">
        <f>_xlfn.XLOOKUP(D211,'Detalhamento - G200'!A:A,'Detalhamento - G200'!B:B,0)</f>
        <v>MANUTENÇÃO DE CANTEIRO</v>
      </c>
      <c r="F211" s="154">
        <v>352.94</v>
      </c>
      <c r="H211" s="154">
        <f t="shared" si="18"/>
        <v>352.94</v>
      </c>
    </row>
    <row r="212" spans="1:8">
      <c r="A212" s="147" t="s">
        <v>975</v>
      </c>
      <c r="B212" s="147" t="s">
        <v>1007</v>
      </c>
      <c r="C212" s="147" t="s">
        <v>1008</v>
      </c>
      <c r="D212" s="146">
        <v>2001001010</v>
      </c>
      <c r="E212" s="147" t="str">
        <f>_xlfn.XLOOKUP(D212,'Detalhamento - G200'!A:A,'Detalhamento - G200'!B:B,0)</f>
        <v>MANUTENÇÃO DE CANTEIRO</v>
      </c>
      <c r="F212" s="154">
        <v>255.82</v>
      </c>
      <c r="H212" s="154">
        <f t="shared" si="18"/>
        <v>255.82</v>
      </c>
    </row>
    <row r="213" spans="1:8">
      <c r="A213" s="147" t="s">
        <v>975</v>
      </c>
      <c r="B213" s="147" t="s">
        <v>1009</v>
      </c>
      <c r="C213" s="147" t="s">
        <v>1010</v>
      </c>
      <c r="D213" s="146">
        <v>1002002001</v>
      </c>
      <c r="E213" s="147" t="str">
        <f>_xlfn.XLOOKUP(D213,'Detalhamento - G200'!A:A,'Detalhamento - G200'!B:B,0)</f>
        <v>FUNDAÇÃO</v>
      </c>
      <c r="F213" s="154">
        <v>8140</v>
      </c>
      <c r="H213" s="154">
        <f t="shared" si="18"/>
        <v>8140</v>
      </c>
    </row>
    <row r="214" spans="1:8">
      <c r="A214" s="147" t="s">
        <v>975</v>
      </c>
      <c r="B214" s="147" t="s">
        <v>1012</v>
      </c>
      <c r="C214" s="147" t="s">
        <v>1011</v>
      </c>
      <c r="D214" s="146">
        <v>2001005002</v>
      </c>
      <c r="E214" s="147" t="str">
        <f>_xlfn.XLOOKUP(D214,'Detalhamento - G200'!A:A,'Detalhamento - G200'!B:B,0)</f>
        <v>EPC GERAL E COMUNICAÇÃO VISUAL</v>
      </c>
      <c r="F214" s="154">
        <v>730.6</v>
      </c>
      <c r="H214" s="154">
        <f t="shared" si="18"/>
        <v>730.6</v>
      </c>
    </row>
    <row r="215" spans="1:8">
      <c r="A215" s="147" t="s">
        <v>975</v>
      </c>
      <c r="B215" s="147" t="s">
        <v>1023</v>
      </c>
      <c r="C215" s="147" t="s">
        <v>1011</v>
      </c>
      <c r="D215" s="146">
        <v>2001005002</v>
      </c>
      <c r="E215" s="147" t="str">
        <f>_xlfn.XLOOKUP(D215,'Detalhamento - G200'!A:A,'Detalhamento - G200'!B:B,0)</f>
        <v>EPC GERAL E COMUNICAÇÃO VISUAL</v>
      </c>
      <c r="F215" s="154">
        <v>3488.3962000000001</v>
      </c>
      <c r="H215" s="154">
        <f t="shared" si="18"/>
        <v>3488.3962000000001</v>
      </c>
    </row>
    <row r="216" spans="1:8">
      <c r="A216" s="147" t="s">
        <v>975</v>
      </c>
      <c r="B216" s="147" t="s">
        <v>1024</v>
      </c>
      <c r="C216" s="147" t="s">
        <v>1025</v>
      </c>
      <c r="D216" s="146">
        <v>1001006006</v>
      </c>
      <c r="E216" s="147" t="str">
        <f>_xlfn.XLOOKUP(D216,'Detalhamento - G200'!A:A,'Detalhamento - G200'!B:B,0)</f>
        <v>ETE</v>
      </c>
      <c r="F216" s="154">
        <v>3099.8</v>
      </c>
      <c r="H216" s="154">
        <f t="shared" si="18"/>
        <v>3099.8</v>
      </c>
    </row>
    <row r="217" spans="1:8">
      <c r="A217" s="147" t="s">
        <v>975</v>
      </c>
      <c r="B217" s="147" t="s">
        <v>1026</v>
      </c>
      <c r="C217" s="147" t="s">
        <v>274</v>
      </c>
      <c r="D217" s="146">
        <v>2001001007</v>
      </c>
      <c r="E217" s="147" t="str">
        <f>_xlfn.XLOOKUP(D217,'Detalhamento - G200'!A:A,'Detalhamento - G200'!B:B,0)</f>
        <v>LOCAÇÃO DE TOLDO</v>
      </c>
      <c r="F217" s="154">
        <v>500</v>
      </c>
      <c r="H217" s="154">
        <f t="shared" si="18"/>
        <v>500</v>
      </c>
    </row>
    <row r="218" spans="1:8">
      <c r="A218" s="147" t="s">
        <v>975</v>
      </c>
      <c r="B218" s="147" t="s">
        <v>1027</v>
      </c>
      <c r="C218" s="147" t="s">
        <v>1028</v>
      </c>
      <c r="D218" s="146">
        <v>1001006006</v>
      </c>
      <c r="E218" s="147" t="str">
        <f>_xlfn.XLOOKUP(D218,'Detalhamento - G200'!A:A,'Detalhamento - G200'!B:B,0)</f>
        <v>ETE</v>
      </c>
      <c r="F218" s="154">
        <v>650</v>
      </c>
      <c r="H218" s="154">
        <f t="shared" si="18"/>
        <v>650</v>
      </c>
    </row>
    <row r="219" spans="1:8">
      <c r="A219" s="147" t="s">
        <v>975</v>
      </c>
      <c r="B219" s="147" t="s">
        <v>1065</v>
      </c>
      <c r="C219" s="147" t="s">
        <v>296</v>
      </c>
      <c r="D219" s="146">
        <v>2001004004</v>
      </c>
      <c r="E219" s="147" t="str">
        <f>_xlfn.XLOOKUP(D219,'Detalhamento - G200'!A:A,'Detalhamento - G200'!B:B,0)</f>
        <v>DIESEL</v>
      </c>
      <c r="F219" s="154">
        <v>5375.57</v>
      </c>
      <c r="H219" s="154">
        <f t="shared" si="18"/>
        <v>5375.57</v>
      </c>
    </row>
  </sheetData>
  <autoFilter ref="A13:H219" xr:uid="{4CF1C1BC-33B1-4388-81CD-9BC7DD9FF64E}"/>
  <phoneticPr fontId="41" type="noConversion"/>
  <conditionalFormatting sqref="B1:B4 A13 B10:B118 B120:B1048576">
    <cfRule type="duplicateValues" dxfId="159" priority="3"/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6C8BE-AEE9-421C-8E9C-23D03D7D326F}">
  <sheetPr>
    <tabColor theme="1"/>
  </sheetPr>
  <dimension ref="A1:I67"/>
  <sheetViews>
    <sheetView showGridLines="0" topLeftCell="A9" zoomScale="70" zoomScaleNormal="70" workbookViewId="0">
      <selection activeCell="C70" sqref="C70"/>
    </sheetView>
  </sheetViews>
  <sheetFormatPr defaultColWidth="8.85546875" defaultRowHeight="12.75" outlineLevelRow="1"/>
  <cols>
    <col min="1" max="1" width="2.140625" style="106" customWidth="1"/>
    <col min="2" max="2" width="18.28515625" style="106" customWidth="1"/>
    <col min="3" max="3" width="86.42578125" style="108" customWidth="1"/>
    <col min="4" max="4" width="33.85546875" style="117" customWidth="1"/>
    <col min="5" max="5" width="29" style="118" customWidth="1"/>
    <col min="6" max="6" width="31.5703125" style="118" bestFit="1" customWidth="1"/>
    <col min="7" max="7" width="28.28515625" style="118" bestFit="1" customWidth="1"/>
    <col min="8" max="8" width="13.5703125" style="2" bestFit="1" customWidth="1"/>
    <col min="9" max="9" width="23.7109375" style="114" bestFit="1" customWidth="1"/>
    <col min="10" max="16384" width="8.85546875" style="2"/>
  </cols>
  <sheetData>
    <row r="1" spans="2:9">
      <c r="C1" s="106"/>
      <c r="F1" s="2"/>
    </row>
    <row r="2" spans="2:9" hidden="1" outlineLevel="1">
      <c r="B2" s="111" t="s">
        <v>264</v>
      </c>
      <c r="C2" s="112" t="s">
        <v>265</v>
      </c>
      <c r="F2" s="2"/>
    </row>
    <row r="3" spans="2:9" hidden="1" outlineLevel="1">
      <c r="B3" s="111"/>
      <c r="C3" s="112" t="s">
        <v>266</v>
      </c>
      <c r="F3" s="2"/>
    </row>
    <row r="4" spans="2:9" hidden="1" outlineLevel="1">
      <c r="B4" s="111" t="s">
        <v>267</v>
      </c>
      <c r="C4" s="112" t="s">
        <v>268</v>
      </c>
      <c r="F4" s="2"/>
    </row>
    <row r="5" spans="2:9" collapsed="1">
      <c r="C5" s="2"/>
      <c r="F5" s="2"/>
    </row>
    <row r="6" spans="2:9">
      <c r="C6" s="2"/>
      <c r="F6" s="2"/>
    </row>
    <row r="7" spans="2:9">
      <c r="C7" s="2"/>
      <c r="F7" s="2"/>
    </row>
    <row r="8" spans="2:9">
      <c r="C8" s="2"/>
      <c r="F8" s="2"/>
    </row>
    <row r="9" spans="2:9">
      <c r="C9" s="2"/>
      <c r="F9" s="2"/>
    </row>
    <row r="10" spans="2:9">
      <c r="E10" s="117"/>
      <c r="F10" s="2"/>
    </row>
    <row r="11" spans="2:9">
      <c r="E11" s="117"/>
      <c r="F11" s="2"/>
    </row>
    <row r="12" spans="2:9">
      <c r="C12" s="106"/>
      <c r="F12" s="2"/>
    </row>
    <row r="13" spans="2:9" ht="15">
      <c r="B13" s="115" t="s">
        <v>263</v>
      </c>
      <c r="C13" s="115" t="s">
        <v>271</v>
      </c>
      <c r="D13" s="119" t="s">
        <v>875</v>
      </c>
      <c r="E13" s="119" t="s">
        <v>876</v>
      </c>
      <c r="F13" s="115" t="s">
        <v>877</v>
      </c>
      <c r="G13" s="119" t="s">
        <v>878</v>
      </c>
      <c r="H13" s="115" t="s">
        <v>879</v>
      </c>
      <c r="I13" s="116" t="s">
        <v>932</v>
      </c>
    </row>
    <row r="14" spans="2:9">
      <c r="B14" s="106" t="str" cm="1">
        <f t="array" ref="B14:B67">_xlfn.UNIQUE('Contratos - G200'!C14:C4990)</f>
        <v>CLSF/200-3-000</v>
      </c>
      <c r="C14" s="108" t="str" cm="1">
        <f t="array" ref="C14">_xlfn.XLOOKUP(B14,'Contratos - G200'!C:C,'Contratos - G200'!D:D,X)</f>
        <v>QPC ENGENHARIA LTDA</v>
      </c>
      <c r="D14" s="117">
        <v>0</v>
      </c>
      <c r="E14" s="118">
        <v>58566362.180000007</v>
      </c>
      <c r="F14" s="118">
        <f>SUMIF('Contratos - G200'!C:C,'Gestão de Contratos'!B14,'Contratos - G200'!J:J)</f>
        <v>58566362.180000007</v>
      </c>
      <c r="G14" s="118">
        <v>58566362.18</v>
      </c>
      <c r="H14" s="2" t="b">
        <f t="shared" ref="H14:H28" si="0">SUM(D14:E14)=F14</f>
        <v>1</v>
      </c>
      <c r="I14" s="114">
        <f>SUMIF('Notas fiscais - G200'!W9:W4894,'Gestão de Contratos'!B14,'Notas fiscais - G200'!T9:T4894)</f>
        <v>19685993.420000002</v>
      </c>
    </row>
    <row r="15" spans="2:9">
      <c r="B15" s="106" t="str">
        <v>CLSF/200-3-001</v>
      </c>
      <c r="C15" s="108" t="str" cm="1">
        <f t="array" ref="C15">_xlfn.XLOOKUP(B15,'Contratos - G200'!C:C,'Contratos - G200'!D:D,X)</f>
        <v>DPE ARQUITETURA E ENGENHARIA S/S</v>
      </c>
      <c r="D15" s="117">
        <v>0</v>
      </c>
      <c r="E15" s="118">
        <v>450000</v>
      </c>
      <c r="F15" s="118">
        <f>SUMIF('Contratos - G200'!C:C,'Gestão de Contratos'!B15,'Contratos - G200'!J:J)</f>
        <v>450000</v>
      </c>
      <c r="G15" s="118">
        <v>450000</v>
      </c>
      <c r="H15" s="2" t="b">
        <f t="shared" si="0"/>
        <v>1</v>
      </c>
      <c r="I15" s="114">
        <f>SUMIF('Notas fiscais - G200'!W10:W4895,'Gestão de Contratos'!B15,'Notas fiscais - G200'!T10:T4895)</f>
        <v>125400</v>
      </c>
    </row>
    <row r="16" spans="2:9">
      <c r="B16" s="106" t="str">
        <v>CLSF/200-3-002</v>
      </c>
      <c r="C16" s="108" t="str" cm="1">
        <f t="array" ref="C16">_xlfn.XLOOKUP(B16,'Contratos - G200'!C:C,'Contratos - G200'!D:D,X)</f>
        <v>ARQUITETURA JAPI PROJETOS E CONSULTORIA EIRELI</v>
      </c>
      <c r="D16" s="121">
        <v>0</v>
      </c>
      <c r="E16" s="121">
        <v>472594.69</v>
      </c>
      <c r="F16" s="118">
        <f>SUMIF('Contratos - G200'!C:C,'Gestão de Contratos'!B16,'Contratos - G200'!J:J)</f>
        <v>472594.69</v>
      </c>
      <c r="G16" s="118">
        <v>472594.69</v>
      </c>
      <c r="H16" s="2" t="b">
        <f t="shared" si="0"/>
        <v>1</v>
      </c>
      <c r="I16" s="114">
        <f>SUMIF('Notas fiscais - G200'!W11:W4896,'Gestão de Contratos'!B16,'Notas fiscais - G200'!T11:T4896)</f>
        <v>126368.28</v>
      </c>
    </row>
    <row r="17" spans="1:9">
      <c r="B17" s="106" t="str">
        <v>CLSF/200-3-003</v>
      </c>
      <c r="C17" s="108" t="str" cm="1">
        <f t="array" ref="C17">_xlfn.XLOOKUP(B17,'Contratos - G200'!C:C,'Contratos - G200'!D:D,X)</f>
        <v>DO VAL ENGENHARIA CONSULTIVA SOCIEDADE SIMPLES</v>
      </c>
      <c r="D17" s="117">
        <v>0</v>
      </c>
      <c r="E17" s="118">
        <v>100000</v>
      </c>
      <c r="F17" s="118">
        <f>SUMIF('Contratos - G200'!C:C,'Gestão de Contratos'!B17,'Contratos - G200'!J:J)</f>
        <v>100000</v>
      </c>
      <c r="G17" s="118">
        <v>100000</v>
      </c>
      <c r="H17" s="2" t="b">
        <f t="shared" si="0"/>
        <v>1</v>
      </c>
      <c r="I17" s="114">
        <f>SUMIF('Notas fiscais - G200'!W12:W4897,'Gestão de Contratos'!B17,'Notas fiscais - G200'!T12:T4897)</f>
        <v>0</v>
      </c>
    </row>
    <row r="18" spans="1:9">
      <c r="B18" s="106" t="str">
        <v>CLSF/200-3-004</v>
      </c>
      <c r="C18" s="108" t="str" cm="1">
        <f t="array" ref="C18">_xlfn.XLOOKUP(B18,'Contratos - G200'!C:C,'Contratos - G200'!D:D,X)</f>
        <v>LPE ENGENHARIA E CONSULTORIA LTDA</v>
      </c>
      <c r="D18" s="117">
        <v>0</v>
      </c>
      <c r="E18" s="121">
        <v>244000</v>
      </c>
      <c r="F18" s="118">
        <f>SUMIF('Contratos - G200'!C:C,'Gestão de Contratos'!B18,'Contratos - G200'!J:J)</f>
        <v>244000</v>
      </c>
      <c r="G18" s="118">
        <v>244000</v>
      </c>
      <c r="H18" s="2" t="b">
        <f t="shared" si="0"/>
        <v>1</v>
      </c>
      <c r="I18" s="114">
        <f>SUMIF('Notas fiscais - G200'!W13:W4898,'Gestão de Contratos'!B18,'Notas fiscais - G200'!T13:T4898)</f>
        <v>122000</v>
      </c>
    </row>
    <row r="19" spans="1:9">
      <c r="B19" s="106" t="str">
        <v>CLSF/200-3-005</v>
      </c>
      <c r="C19" s="108" t="str" cm="1">
        <f t="array" ref="C19">_xlfn.XLOOKUP(B19,'Contratos - G200'!C:C,'Contratos - G200'!D:D,X)</f>
        <v>T.T.C. ENGENHARIA DE TRAFEGO E DE TRANSPORTES LTDA</v>
      </c>
      <c r="D19" s="117">
        <v>0</v>
      </c>
      <c r="E19" s="121">
        <v>9200</v>
      </c>
      <c r="F19" s="118">
        <f>SUMIF('Contratos - G200'!C:C,'Gestão de Contratos'!B19,'Contratos - G200'!J:J)</f>
        <v>9200</v>
      </c>
      <c r="G19" s="118">
        <v>9200</v>
      </c>
      <c r="H19" s="2" t="b">
        <f t="shared" si="0"/>
        <v>1</v>
      </c>
      <c r="I19" s="114">
        <f>SUMIF('Notas fiscais - G200'!W14:W4899,'Gestão de Contratos'!B19,'Notas fiscais - G200'!T14:T4899)</f>
        <v>0</v>
      </c>
    </row>
    <row r="20" spans="1:9">
      <c r="B20" s="106" t="str">
        <v>CLSF/200-3-006</v>
      </c>
      <c r="C20" s="108" t="str" cm="1">
        <f t="array" ref="C20">_xlfn.XLOOKUP(B20,'Contratos - G200'!C:C,'Contratos - G200'!D:D,X)</f>
        <v>REV1 PROJETOS INTEGRADOS LTDA</v>
      </c>
      <c r="D20" s="117">
        <v>0</v>
      </c>
      <c r="E20" s="121">
        <v>16917</v>
      </c>
      <c r="F20" s="118">
        <f>SUMIF('Contratos - G200'!C:C,'Gestão de Contratos'!B20,'Contratos - G200'!J:J)</f>
        <v>16917</v>
      </c>
      <c r="G20" s="118">
        <v>16917</v>
      </c>
      <c r="H20" s="2" t="b">
        <f t="shared" si="0"/>
        <v>1</v>
      </c>
      <c r="I20" s="114">
        <f>SUMIF('Notas fiscais - G200'!W15:W4900,'Gestão de Contratos'!B20,'Notas fiscais - G200'!T15:T4900)</f>
        <v>10457.630000000001</v>
      </c>
    </row>
    <row r="21" spans="1:9">
      <c r="B21" s="106" t="str">
        <v>CLSF/200-3-007</v>
      </c>
      <c r="C21" s="108" t="str" cm="1">
        <f t="array" ref="C21">_xlfn.XLOOKUP(B21,'Contratos - G200'!C:C,'Contratos - G200'!D:D,X)</f>
        <v>NUCLEORA PLANEJAMENTO, ASSESSORIA E DESENVOLVIMENTO COMERCIAL LTDA</v>
      </c>
      <c r="D21" s="117">
        <v>0</v>
      </c>
      <c r="E21" s="118">
        <v>45000</v>
      </c>
      <c r="F21" s="118">
        <f>SUMIF('Contratos - G200'!C:C,'Gestão de Contratos'!B21,'Contratos - G200'!J:J)</f>
        <v>45000</v>
      </c>
      <c r="G21" s="118">
        <v>45000</v>
      </c>
      <c r="H21" s="2" t="b">
        <f t="shared" si="0"/>
        <v>1</v>
      </c>
      <c r="I21" s="114">
        <f>SUMIF('Notas fiscais - G200'!W16:W4901,'Gestão de Contratos'!B21,'Notas fiscais - G200'!T16:T4901)</f>
        <v>13500</v>
      </c>
    </row>
    <row r="22" spans="1:9">
      <c r="B22" s="106" t="str">
        <v>CLSF/200-3-008</v>
      </c>
      <c r="C22" s="108" t="str" cm="1">
        <f t="array" ref="C22">_xlfn.XLOOKUP(B22,'Contratos - G200'!C:C,'Contratos - G200'!D:D,X)</f>
        <v>KAIZ ENGENHARIA LTDA</v>
      </c>
      <c r="D22" s="117">
        <v>0</v>
      </c>
      <c r="E22" s="118">
        <v>64300</v>
      </c>
      <c r="F22" s="118">
        <f>SUMIF('Contratos - G200'!C:C,'Gestão de Contratos'!B22,'Contratos - G200'!J:J)</f>
        <v>64300</v>
      </c>
      <c r="G22" s="118">
        <v>64300</v>
      </c>
      <c r="H22" s="2" t="b">
        <f t="shared" si="0"/>
        <v>1</v>
      </c>
      <c r="I22" s="114">
        <f>SUMIF('Notas fiscais - G200'!W17:W4902,'Gestão de Contratos'!B22,'Notas fiscais - G200'!T17:T4902)</f>
        <v>0</v>
      </c>
    </row>
    <row r="23" spans="1:9">
      <c r="B23" s="106" t="str">
        <v>CLSF/200-3-009</v>
      </c>
      <c r="C23" s="108" t="str" cm="1">
        <f t="array" ref="C23">_xlfn.XLOOKUP(B23,'Contratos - G200'!C:C,'Contratos - G200'!D:D,X)</f>
        <v>KAIZ ENGENHARIA LTDA</v>
      </c>
      <c r="D23" s="117">
        <v>0</v>
      </c>
      <c r="E23" s="118">
        <v>68300</v>
      </c>
      <c r="F23" s="118">
        <f>SUMIF('Contratos - G200'!C:C,'Gestão de Contratos'!B23,'Contratos - G200'!J:J)</f>
        <v>68300</v>
      </c>
      <c r="G23" s="118">
        <v>68300</v>
      </c>
      <c r="H23" s="2" t="b">
        <f t="shared" si="0"/>
        <v>1</v>
      </c>
      <c r="I23" s="114">
        <f>SUMIF('Notas fiscais - G200'!W18:W4903,'Gestão de Contratos'!B23,'Notas fiscais - G200'!T18:T4903)</f>
        <v>22220.27</v>
      </c>
    </row>
    <row r="24" spans="1:9">
      <c r="B24" s="106" t="str">
        <v>CLSF/200-3-010</v>
      </c>
      <c r="C24" s="108" t="str" cm="1">
        <f t="array" ref="C24">_xlfn.XLOOKUP(B24,'Contratos - G200'!C:C,'Contratos - G200'!D:D,X)</f>
        <v>VENDRAMINI ENGENHARIA LTDA</v>
      </c>
      <c r="D24" s="117">
        <v>0</v>
      </c>
      <c r="E24" s="118">
        <v>0</v>
      </c>
      <c r="F24" s="118">
        <f>SUMIF('Contratos - G200'!C:C,'Gestão de Contratos'!B24,'Contratos - G200'!J:J)</f>
        <v>0</v>
      </c>
      <c r="G24" s="118">
        <v>1316000</v>
      </c>
      <c r="H24" s="2" t="b">
        <f t="shared" si="0"/>
        <v>1</v>
      </c>
      <c r="I24" s="114">
        <f>SUMIF('Notas fiscais - G200'!W19:W4904,'Gestão de Contratos'!B24,'Notas fiscais - G200'!T19:T4904)</f>
        <v>275000</v>
      </c>
    </row>
    <row r="25" spans="1:9">
      <c r="B25" s="106" t="str">
        <v>CLSF/200-3-011</v>
      </c>
      <c r="C25" s="108" t="str" cm="1">
        <f t="array" ref="C25">_xlfn.XLOOKUP(B25,'Contratos - G200'!C:C,'Contratos - G200'!D:D,X)</f>
        <v>DO VAL ENGENHARIA CONSULTIVA SOCIEDADE SIMPLES</v>
      </c>
      <c r="D25" s="117">
        <v>0</v>
      </c>
      <c r="E25" s="118">
        <v>87000</v>
      </c>
      <c r="F25" s="118">
        <f>SUMIF('Contratos - G200'!C:C,'Gestão de Contratos'!B25,'Contratos - G200'!J:J)</f>
        <v>87000</v>
      </c>
      <c r="G25" s="118">
        <v>87000</v>
      </c>
      <c r="H25" s="2" t="b">
        <f t="shared" si="0"/>
        <v>1</v>
      </c>
      <c r="I25" s="114">
        <f>SUMIF('Notas fiscais - G200'!W20:W4905,'Gestão de Contratos'!B25,'Notas fiscais - G200'!T20:T4905)</f>
        <v>34800</v>
      </c>
    </row>
    <row r="26" spans="1:9">
      <c r="B26" s="106" t="str">
        <v>CLSF/200-3-012</v>
      </c>
      <c r="C26" s="108" t="str" cm="1">
        <f t="array" ref="C26">_xlfn.XLOOKUP(B26,'Contratos - G200'!C:C,'Contratos - G200'!D:D,X)</f>
        <v>GEOTECHNIQUE CONSULTORIA E ENGENHARIA LTDA</v>
      </c>
      <c r="D26" s="117">
        <v>0</v>
      </c>
      <c r="E26" s="118">
        <v>250380</v>
      </c>
      <c r="F26" s="118">
        <f>SUMIF('Contratos - G200'!C:C,'Gestão de Contratos'!B26,'Contratos - G200'!J:J)</f>
        <v>250380</v>
      </c>
      <c r="G26" s="118">
        <v>250380</v>
      </c>
      <c r="H26" s="2" t="b">
        <f t="shared" si="0"/>
        <v>1</v>
      </c>
      <c r="I26" s="114">
        <f>SUMIF('Notas fiscais - G200'!W21:W4906,'Gestão de Contratos'!B26,'Notas fiscais - G200'!T21:T4906)</f>
        <v>0</v>
      </c>
    </row>
    <row r="27" spans="1:9">
      <c r="B27" s="106" t="str">
        <v>CLSF/200-3-013</v>
      </c>
      <c r="C27" s="108" t="str" cm="1">
        <f t="array" ref="C27">_xlfn.XLOOKUP(B27,'Contratos - G200'!C:C,'Contratos - G200'!D:D,X)</f>
        <v>VENDRAMINI ENGENHARIA LTDA</v>
      </c>
      <c r="D27" s="117">
        <v>0</v>
      </c>
      <c r="E27" s="118">
        <v>153000</v>
      </c>
      <c r="F27" s="118">
        <f>SUMIF('Contratos - G200'!C:C,'Gestão de Contratos'!B27,'Contratos - G200'!J:J)</f>
        <v>153000</v>
      </c>
      <c r="G27" s="118">
        <v>153000</v>
      </c>
      <c r="H27" s="2" t="b">
        <f t="shared" si="0"/>
        <v>1</v>
      </c>
      <c r="I27" s="114">
        <f>SUMIF('Notas fiscais - G200'!W22:W4907,'Gestão de Contratos'!B27,'Notas fiscais - G200'!T22:T4907)</f>
        <v>61200</v>
      </c>
    </row>
    <row r="28" spans="1:9" s="124" customFormat="1">
      <c r="A28" s="120"/>
      <c r="B28" s="120" t="str">
        <v>CLSF/200-3-014</v>
      </c>
      <c r="C28" s="108" t="str" cm="1">
        <f t="array" ref="C28">_xlfn.XLOOKUP(B28,'Contratos - G200'!C:C,'Contratos - G200'!D:D,X)</f>
        <v>LCL GEOTECNIA E SONDAGEM LTDA</v>
      </c>
      <c r="D28" s="122">
        <v>0</v>
      </c>
      <c r="E28" s="123">
        <v>919769.9</v>
      </c>
      <c r="F28" s="118">
        <f>SUMIF('Contratos - G200'!C:C,'Gestão de Contratos'!B28,'Contratos - G200'!J:J)</f>
        <v>919769.9</v>
      </c>
      <c r="G28" s="123">
        <v>919769.9</v>
      </c>
      <c r="H28" s="124" t="b">
        <f t="shared" si="0"/>
        <v>1</v>
      </c>
      <c r="I28" s="114">
        <f>SUMIF('Notas fiscais - G200'!W23:W4908,'Gestão de Contratos'!B28,'Notas fiscais - G200'!T23:T4908)</f>
        <v>67098.87</v>
      </c>
    </row>
    <row r="29" spans="1:9" s="124" customFormat="1">
      <c r="A29" s="120"/>
      <c r="B29" s="120" t="str">
        <v>CLSF/200-3-015</v>
      </c>
      <c r="C29" s="108" t="str" cm="1">
        <f t="array" ref="C29">_xlfn.XLOOKUP(B29,'Contratos - G200'!C:C,'Contratos - G200'!D:D,X)</f>
        <v>MAGALHAES JUNIOR LOCACAO E SERVICOS LTDA</v>
      </c>
      <c r="D29" s="121">
        <v>2867278.2</v>
      </c>
      <c r="E29" s="123">
        <v>16247909.800000001</v>
      </c>
      <c r="F29" s="118">
        <f>SUMIF('Contratos - G200'!C:C,'Gestão de Contratos'!B29,'Contratos - G200'!J:J)</f>
        <v>19115188</v>
      </c>
      <c r="G29" s="123">
        <v>19115188</v>
      </c>
      <c r="H29" s="124" t="b">
        <f>SUM(D29:E29)=F29</f>
        <v>1</v>
      </c>
      <c r="I29" s="114">
        <f>SUMIF('Notas fiscais - G200'!W24:W4909,'Gestão de Contratos'!B29,'Notas fiscais - G200'!T24:T4909)</f>
        <v>2295653.92</v>
      </c>
    </row>
    <row r="30" spans="1:9" s="124" customFormat="1">
      <c r="A30" s="120"/>
      <c r="B30" s="120" t="str">
        <v>CLSF/200-3-016</v>
      </c>
      <c r="C30" s="108" t="str" cm="1">
        <f t="array" ref="C30">_xlfn.XLOOKUP(B30,'Contratos - G200'!C:C,'Contratos - G200'!D:D,X)</f>
        <v>GEO2 ENGENHARIA LTDA</v>
      </c>
      <c r="D30" s="122">
        <v>0</v>
      </c>
      <c r="E30" s="123">
        <v>732890.04</v>
      </c>
      <c r="F30" s="118">
        <f>SUMIF('Contratos - G200'!C:C,'Gestão de Contratos'!B30,'Contratos - G200'!J:J)</f>
        <v>732314.04</v>
      </c>
      <c r="G30" s="123">
        <v>732890.04</v>
      </c>
      <c r="H30" s="124" t="b">
        <f t="shared" ref="H30:H55" si="1">SUM(D30:E30)=F30</f>
        <v>0</v>
      </c>
      <c r="I30" s="114">
        <f>SUMIF('Notas fiscais - G200'!W25:W4910,'Gestão de Contratos'!B30,'Notas fiscais - G200'!T25:T4910)</f>
        <v>33385.26</v>
      </c>
    </row>
    <row r="31" spans="1:9" s="124" customFormat="1">
      <c r="A31" s="120"/>
      <c r="B31" s="120" t="str">
        <v>CLSF/200-3-017</v>
      </c>
      <c r="C31" s="108" t="str" cm="1">
        <f t="array" ref="C31">_xlfn.XLOOKUP(B31,'Contratos - G200'!C:C,'Contratos - G200'!D:D,X)</f>
        <v>QUALYSAN LOCACAO DE BENS MOVEIS EIRELI</v>
      </c>
      <c r="D31" s="122">
        <v>0</v>
      </c>
      <c r="E31" s="121">
        <v>89600</v>
      </c>
      <c r="F31" s="118">
        <f>SUMIF('Contratos - G200'!C:C,'Gestão de Contratos'!B31,'Contratos - G200'!J:J)</f>
        <v>89600</v>
      </c>
      <c r="G31" s="123">
        <v>89600</v>
      </c>
      <c r="H31" s="124" t="b">
        <f t="shared" si="1"/>
        <v>1</v>
      </c>
      <c r="I31" s="114">
        <f>SUMIF('Notas fiscais - G200'!W26:W4911,'Gestão de Contratos'!B31,'Notas fiscais - G200'!T26:T4911)</f>
        <v>9380</v>
      </c>
    </row>
    <row r="32" spans="1:9" s="124" customFormat="1">
      <c r="A32" s="120"/>
      <c r="B32" s="120" t="str">
        <v>CLSF/200-3-018</v>
      </c>
      <c r="C32" s="108" t="str" cm="1">
        <f t="array" ref="C32">_xlfn.XLOOKUP(B32,'Contratos - G200'!C:C,'Contratos - G200'!D:D,X)</f>
        <v>FF INFRA E ENGENHARIA LTDA</v>
      </c>
      <c r="D32" s="122">
        <v>221200</v>
      </c>
      <c r="E32" s="123">
        <v>94800</v>
      </c>
      <c r="F32" s="118">
        <f>SUMIF('Contratos - G200'!C:C,'Gestão de Contratos'!B32,'Contratos - G200'!J:J)</f>
        <v>316000</v>
      </c>
      <c r="G32" s="123">
        <v>316000</v>
      </c>
      <c r="H32" s="124" t="b">
        <f t="shared" si="1"/>
        <v>1</v>
      </c>
      <c r="I32" s="114">
        <f>SUMIF('Notas fiscais - G200'!W27:W4912,'Gestão de Contratos'!B32,'Notas fiscais - G200'!T27:T4912)</f>
        <v>46728.100000000006</v>
      </c>
    </row>
    <row r="33" spans="1:9" s="124" customFormat="1">
      <c r="A33" s="120"/>
      <c r="B33" s="120" t="str">
        <v>CLSF/200-3-019</v>
      </c>
      <c r="C33" s="108" t="str" cm="1">
        <f t="array" ref="C33">_xlfn.XLOOKUP(B33,'Contratos - G200'!C:C,'Contratos - G200'!D:D,X)</f>
        <v>AQUAGEO PROJETOS E PERFURACOES LTDA</v>
      </c>
      <c r="D33" s="122">
        <v>0</v>
      </c>
      <c r="E33" s="123">
        <f>286456.27-66003.27</f>
        <v>220453</v>
      </c>
      <c r="F33" s="118">
        <f>SUMIF('Contratos - G200'!C:C,'Gestão de Contratos'!B33,'Contratos - G200'!J:J)</f>
        <v>286456.27</v>
      </c>
      <c r="G33" s="123">
        <v>286456.27</v>
      </c>
      <c r="H33" s="124" t="b">
        <f t="shared" si="1"/>
        <v>0</v>
      </c>
      <c r="I33" s="114">
        <f>SUMIF('Notas fiscais - G200'!W28:W4913,'Gestão de Contratos'!B33,'Notas fiscais - G200'!T28:T4913)</f>
        <v>136066.73000000001</v>
      </c>
    </row>
    <row r="34" spans="1:9" s="124" customFormat="1">
      <c r="A34" s="120"/>
      <c r="B34" s="120" t="str">
        <v>CLSF/200-3-020</v>
      </c>
      <c r="C34" s="108" t="str" cm="1">
        <f t="array" ref="C34">_xlfn.XLOOKUP(B34,'Contratos - G200'!C:C,'Contratos - G200'!D:D,X)</f>
        <v>SPM ENGENHARIA SOCIEDADE SIMPLES LTDA.</v>
      </c>
      <c r="D34" s="122">
        <v>0</v>
      </c>
      <c r="E34" s="123">
        <v>0</v>
      </c>
      <c r="F34" s="118">
        <f>SUMIF('Contratos - G200'!C:C,'Gestão de Contratos'!B34,'Contratos - G200'!J:J)</f>
        <v>0</v>
      </c>
      <c r="G34" s="123">
        <v>568700</v>
      </c>
      <c r="H34" s="124" t="b">
        <f t="shared" si="1"/>
        <v>1</v>
      </c>
      <c r="I34" s="114">
        <f>SUMIF('Notas fiscais - G200'!W29:W4914,'Gestão de Contratos'!B34,'Notas fiscais - G200'!T29:T4914)</f>
        <v>142175</v>
      </c>
    </row>
    <row r="35" spans="1:9" s="124" customFormat="1">
      <c r="A35" s="120"/>
      <c r="B35" s="120" t="str">
        <v>CLSF/200-3-021</v>
      </c>
      <c r="C35" s="108" t="str" cm="1">
        <f t="array" ref="C35">_xlfn.XLOOKUP(B35,'Contratos - G200'!C:C,'Contratos - G200'!D:D,X)</f>
        <v>LAEROMEC - SOLUCOES EM ENGENHARIA LTDA</v>
      </c>
      <c r="D35" s="122">
        <v>0</v>
      </c>
      <c r="E35" s="123">
        <v>0</v>
      </c>
      <c r="F35" s="118">
        <f>SUMIF('Contratos - G200'!C:C,'Gestão de Contratos'!B35,'Contratos - G200'!J:J)</f>
        <v>0</v>
      </c>
      <c r="G35" s="123">
        <v>31300</v>
      </c>
      <c r="H35" s="124" t="b">
        <f t="shared" si="1"/>
        <v>1</v>
      </c>
      <c r="I35" s="114">
        <f>SUMIF('Notas fiscais - G200'!W30:W4915,'Gestão de Contratos'!B35,'Notas fiscais - G200'!T30:T4915)</f>
        <v>15650</v>
      </c>
    </row>
    <row r="36" spans="1:9" s="124" customFormat="1">
      <c r="A36" s="120"/>
      <c r="B36" s="120" t="str">
        <v>CLSF/200-3-022</v>
      </c>
      <c r="C36" s="108" t="str" cm="1">
        <f t="array" ref="C36">_xlfn.XLOOKUP(B36,'Contratos - G200'!C:C,'Contratos - G200'!D:D,X)</f>
        <v>SOLOBAHIA ENGENHARIA E TECNOLOGIA LTDA</v>
      </c>
      <c r="D36" s="122">
        <v>0</v>
      </c>
      <c r="E36" s="123">
        <v>141411.45000000001</v>
      </c>
      <c r="F36" s="118">
        <f>SUMIF('Contratos - G200'!C:C,'Gestão de Contratos'!B36,'Contratos - G200'!J:J)</f>
        <v>141411.45000000001</v>
      </c>
      <c r="G36" s="123">
        <v>141411.45000000001</v>
      </c>
      <c r="H36" s="124" t="b">
        <f t="shared" si="1"/>
        <v>1</v>
      </c>
      <c r="I36" s="114">
        <f>SUMIF('Notas fiscais - G200'!W31:W4916,'Gestão de Contratos'!B36,'Notas fiscais - G200'!T31:T4916)</f>
        <v>37451.69</v>
      </c>
    </row>
    <row r="37" spans="1:9" s="124" customFormat="1">
      <c r="A37" s="120"/>
      <c r="B37" s="120" t="str">
        <v>CLSF/200-3-023</v>
      </c>
      <c r="C37" s="108" t="str" cm="1">
        <f t="array" ref="C37">_xlfn.XLOOKUP(B37,'Contratos - G200'!C:C,'Contratos - G200'!D:D,X)</f>
        <v>LESSA EVENTOS LTDA</v>
      </c>
      <c r="D37" s="122">
        <v>0</v>
      </c>
      <c r="E37" s="123">
        <v>1808700.4</v>
      </c>
      <c r="F37" s="118">
        <f>SUMIF('Contratos - G200'!C:C,'Gestão de Contratos'!B37,'Contratos - G200'!J:J)</f>
        <v>1808700.4</v>
      </c>
      <c r="G37" s="123">
        <v>1808700.4</v>
      </c>
      <c r="H37" s="124" t="b">
        <f t="shared" si="1"/>
        <v>1</v>
      </c>
      <c r="I37" s="114">
        <f>SUMIF('Notas fiscais - G200'!W32:W4917,'Gestão de Contratos'!B37,'Notas fiscais - G200'!T32:T4917)</f>
        <v>75495.049999999988</v>
      </c>
    </row>
    <row r="38" spans="1:9" s="124" customFormat="1">
      <c r="A38" s="120"/>
      <c r="B38" s="120" t="str">
        <v>CLSF/200-3-024</v>
      </c>
      <c r="C38" s="108" t="str" cm="1">
        <f t="array" ref="C38">_xlfn.XLOOKUP(B38,'Contratos - G200'!C:C,'Contratos - G200'!D:D,X)</f>
        <v>BOME EMPREENDIMENTOS E SERVICOS LTDA</v>
      </c>
      <c r="D38" s="122">
        <v>0</v>
      </c>
      <c r="E38" s="123">
        <v>1304518.18</v>
      </c>
      <c r="F38" s="118">
        <f>SUMIF('Contratos - G200'!C:C,'Gestão de Contratos'!B38,'Contratos - G200'!J:J)</f>
        <v>1304518.18</v>
      </c>
      <c r="G38" s="123">
        <v>1304518.18</v>
      </c>
      <c r="H38" s="124" t="b">
        <f t="shared" si="1"/>
        <v>1</v>
      </c>
      <c r="I38" s="114">
        <f>SUMIF('Notas fiscais - G200'!W33:W4918,'Gestão de Contratos'!B38,'Notas fiscais - G200'!T33:T4918)</f>
        <v>58979.880000000005</v>
      </c>
    </row>
    <row r="39" spans="1:9" s="124" customFormat="1">
      <c r="A39" s="120"/>
      <c r="B39" s="120" t="str">
        <v>CLSF/200-3-025</v>
      </c>
      <c r="C39" s="108" t="str" cm="1">
        <f t="array" ref="C39">_xlfn.XLOOKUP(B39,'Contratos - G200'!C:C,'Contratos - G200'!D:D,X)</f>
        <v>LEONARDO SANTOS GONCALVES PRODUCAO E SOLUCOES EM VIDEOS</v>
      </c>
      <c r="D39" s="122">
        <v>0</v>
      </c>
      <c r="E39" s="123">
        <v>32200</v>
      </c>
      <c r="F39" s="118">
        <f>SUMIF('Contratos - G200'!C:C,'Gestão de Contratos'!B39,'Contratos - G200'!J:J)</f>
        <v>32200</v>
      </c>
      <c r="G39" s="123">
        <v>32200</v>
      </c>
      <c r="H39" s="124" t="b">
        <f t="shared" si="1"/>
        <v>1</v>
      </c>
      <c r="I39" s="114">
        <f>SUMIF('Notas fiscais - G200'!W34:W4919,'Gestão de Contratos'!B39,'Notas fiscais - G200'!T34:T4919)</f>
        <v>4600</v>
      </c>
    </row>
    <row r="40" spans="1:9" s="124" customFormat="1">
      <c r="A40" s="120"/>
      <c r="B40" s="120" t="str">
        <v>CLSF/200-3-026</v>
      </c>
      <c r="C40" s="108" t="str" cm="1">
        <f t="array" ref="C40">_xlfn.XLOOKUP(B40,'Contratos - G200'!C:C,'Contratos - G200'!D:D,X)</f>
        <v>SOFTCOMP COMERCIO SERVICOS TELECOMUNICACOES E INFORMATICA EIRELI</v>
      </c>
      <c r="D40" s="122">
        <v>0</v>
      </c>
      <c r="E40" s="123">
        <v>43750</v>
      </c>
      <c r="F40" s="118">
        <f>SUMIF('Contratos - G200'!C:C,'Gestão de Contratos'!B40,'Contratos - G200'!J:J)</f>
        <v>43750</v>
      </c>
      <c r="G40" s="123">
        <v>43750</v>
      </c>
      <c r="H40" s="124" t="b">
        <f t="shared" si="1"/>
        <v>1</v>
      </c>
      <c r="I40" s="114">
        <f>SUMIF('Notas fiscais - G200'!W35:W4920,'Gestão de Contratos'!B40,'Notas fiscais - G200'!T35:T4920)</f>
        <v>4200</v>
      </c>
    </row>
    <row r="41" spans="1:9" s="124" customFormat="1">
      <c r="A41" s="120"/>
      <c r="B41" s="120" t="str">
        <v>CLSF/200-3-027</v>
      </c>
      <c r="C41" s="108" t="str" cm="1">
        <f t="array" ref="C41">_xlfn.XLOOKUP(B41,'Contratos - G200'!C:C,'Contratos - G200'!D:D,X)</f>
        <v>AMARAL GERENCIAMENTO DE RESIDUOS LTDA</v>
      </c>
      <c r="D41" s="122">
        <v>0</v>
      </c>
      <c r="E41" s="123">
        <v>163230</v>
      </c>
      <c r="F41" s="118">
        <f>SUMIF('Contratos - G200'!C:C,'Gestão de Contratos'!B41,'Contratos - G200'!J:J)</f>
        <v>163230</v>
      </c>
      <c r="G41" s="123">
        <v>163230</v>
      </c>
      <c r="H41" s="124" t="b">
        <f t="shared" si="1"/>
        <v>1</v>
      </c>
      <c r="I41" s="114">
        <f>SUMIF('Notas fiscais - G200'!W36:W4921,'Gestão de Contratos'!B41,'Notas fiscais - G200'!T36:T4921)</f>
        <v>6280</v>
      </c>
    </row>
    <row r="42" spans="1:9" s="124" customFormat="1">
      <c r="A42" s="120"/>
      <c r="B42" s="120" t="str">
        <v>CLSF/200-3-028</v>
      </c>
      <c r="C42" s="108" t="str" cm="1">
        <f t="array" ref="C42">_xlfn.XLOOKUP(B42,'Contratos - G200'!C:C,'Contratos - G200'!D:D,X)</f>
        <v>BIOFUTURO ENGENHARIA E SOLUCOES AMBIENTAIS EIRELI</v>
      </c>
      <c r="D42" s="122">
        <v>864100</v>
      </c>
      <c r="E42" s="123">
        <f>350000+63900</f>
        <v>413900</v>
      </c>
      <c r="F42" s="118">
        <f>SUMIF('Contratos - G200'!C:C,'Gestão de Contratos'!B42,'Contratos - G200'!J:J)</f>
        <v>1278000</v>
      </c>
      <c r="G42" s="123">
        <v>1278000</v>
      </c>
      <c r="H42" s="124" t="b">
        <f t="shared" si="1"/>
        <v>1</v>
      </c>
      <c r="I42" s="114">
        <f>SUMIF('Notas fiscais - G200'!W37:W4922,'Gestão de Contratos'!B42,'Notas fiscais - G200'!T37:T4922)</f>
        <v>350000</v>
      </c>
    </row>
    <row r="43" spans="1:9" s="124" customFormat="1">
      <c r="A43" s="120"/>
      <c r="B43" s="120" t="str">
        <v>CLSF/200-3-029</v>
      </c>
      <c r="C43" s="108" t="str" cm="1">
        <f t="array" ref="C43">_xlfn.XLOOKUP(B43,'Contratos - G200'!C:C,'Contratos - G200'!D:D,X)</f>
        <v>TRANSDADOS INTERNET LTDA</v>
      </c>
      <c r="D43" s="122">
        <v>0</v>
      </c>
      <c r="E43" s="123">
        <v>11200</v>
      </c>
      <c r="F43" s="118">
        <f>SUMIF('Contratos - G200'!C:C,'Gestão de Contratos'!B43,'Contratos - G200'!J:J)</f>
        <v>11200</v>
      </c>
      <c r="G43" s="123">
        <v>11200</v>
      </c>
      <c r="H43" s="124" t="b">
        <f t="shared" si="1"/>
        <v>1</v>
      </c>
      <c r="I43" s="114">
        <f>SUMIF('Notas fiscais - G200'!W38:W4923,'Gestão de Contratos'!B43,'Notas fiscais - G200'!T38:T4923)</f>
        <v>800</v>
      </c>
    </row>
    <row r="44" spans="1:9" s="124" customFormat="1">
      <c r="A44" s="120"/>
      <c r="B44" s="120" t="str">
        <v>CLSF/200-3-030</v>
      </c>
      <c r="C44" s="108" t="str" cm="1">
        <f t="array" ref="C44">_xlfn.XLOOKUP(B44,'Contratos - G200'!C:C,'Contratos - G200'!D:D,X)</f>
        <v>LC ADIA - LOCACAO DE VEICULOS LTDA</v>
      </c>
      <c r="D44" s="122">
        <v>0</v>
      </c>
      <c r="E44" s="123">
        <v>1895760</v>
      </c>
      <c r="F44" s="118">
        <f>SUMIF('Contratos - G200'!C:C,'Gestão de Contratos'!B44,'Contratos - G200'!J:J)</f>
        <v>1895760</v>
      </c>
      <c r="G44" s="123">
        <v>1895760</v>
      </c>
      <c r="H44" s="124" t="b">
        <f t="shared" si="1"/>
        <v>1</v>
      </c>
      <c r="I44" s="114">
        <f>SUMIF('Notas fiscais - G200'!W39:W4924,'Gestão de Contratos'!B44,'Notas fiscais - G200'!T39:T4924)</f>
        <v>46165.38</v>
      </c>
    </row>
    <row r="45" spans="1:9" s="124" customFormat="1">
      <c r="A45" s="120"/>
      <c r="B45" s="120" t="str">
        <v>CLSF/200-3-031</v>
      </c>
      <c r="C45" s="108" t="str" cm="1">
        <f t="array" ref="C45">_xlfn.XLOOKUP(B45,'Contratos - G200'!C:C,'Contratos - G200'!D:D,X)</f>
        <v>KOPRON DO BRASIL COMERCIO E INDUSTRIA DE EQUIPAMENTOS DE LOGISTICA LTDA</v>
      </c>
      <c r="D45" s="122">
        <v>337100</v>
      </c>
      <c r="E45" s="123">
        <v>3262900</v>
      </c>
      <c r="F45" s="118">
        <f>SUMIF('Contratos - G200'!C:C,'Gestão de Contratos'!B45,'Contratos - G200'!J:J)</f>
        <v>3600000</v>
      </c>
      <c r="G45" s="123">
        <v>3600000</v>
      </c>
      <c r="H45" s="124" t="b">
        <f t="shared" si="1"/>
        <v>1</v>
      </c>
      <c r="I45" s="114">
        <f>SUMIF('Notas fiscais - G200'!W40:W4925,'Gestão de Contratos'!B45,'Notas fiscais - G200'!T40:T4925)</f>
        <v>2760469.12</v>
      </c>
    </row>
    <row r="46" spans="1:9" s="124" customFormat="1">
      <c r="A46" s="120"/>
      <c r="B46" s="120" t="str">
        <v>CLSF/200-3-032</v>
      </c>
      <c r="C46" s="108" t="str" cm="1">
        <f t="array" ref="C46">_xlfn.XLOOKUP(B46,'Contratos - G200'!C:C,'Contratos - G200'!D:D,X)</f>
        <v>ROTULA METALURGICA LTDA</v>
      </c>
      <c r="D46" s="122">
        <f>10410893.24+5363187.43</f>
        <v>15774080.67</v>
      </c>
      <c r="E46" s="123">
        <f>26365249.11+2929472.13</f>
        <v>29294721.239999998</v>
      </c>
      <c r="F46" s="118">
        <f>SUMIF('Contratos - G200'!C:C,'Gestão de Contratos'!B46,'Contratos - G200'!J:J)</f>
        <v>45068801.909999996</v>
      </c>
      <c r="G46" s="123">
        <v>45068801.899999999</v>
      </c>
      <c r="H46" s="124" t="b">
        <f t="shared" si="1"/>
        <v>1</v>
      </c>
      <c r="I46" s="114">
        <f>SUMIF('Notas fiscais - G200'!W41:W4926,'Gestão de Contratos'!B46,'Notas fiscais - G200'!T41:T4926)</f>
        <v>18027520.760000002</v>
      </c>
    </row>
    <row r="47" spans="1:9" s="124" customFormat="1">
      <c r="A47" s="120"/>
      <c r="B47" s="120" t="str">
        <v>CLSF/200-3-033</v>
      </c>
      <c r="C47" s="108" t="str" cm="1">
        <f t="array" ref="C47">_xlfn.XLOOKUP(B47,'Contratos - G200'!C:C,'Contratos - G200'!D:D,X)</f>
        <v>T &amp; A CONSTRUCAO PRE-FABRICADA S/A</v>
      </c>
      <c r="D47" s="122">
        <f>55318464.52+13107641.16</f>
        <v>68426105.680000007</v>
      </c>
      <c r="E47" s="123">
        <f>3175000+7790000+1312000</f>
        <v>12277000</v>
      </c>
      <c r="F47" s="118">
        <f>SUMIF('Contratos - G200'!C:C,'Gestão de Contratos'!B47,'Contratos - G200'!J:J)</f>
        <v>80703105.650000006</v>
      </c>
      <c r="G47" s="123">
        <v>80703105.680000007</v>
      </c>
      <c r="H47" s="124" t="b">
        <f t="shared" si="1"/>
        <v>0</v>
      </c>
      <c r="I47" s="114">
        <f>SUMIF('Notas fiscais - G200'!W42:W4927,'Gestão de Contratos'!B47,'Notas fiscais - G200'!T42:T4927)</f>
        <v>21742125.629999999</v>
      </c>
    </row>
    <row r="48" spans="1:9" s="124" customFormat="1">
      <c r="A48" s="120"/>
      <c r="B48" s="120" t="str">
        <v>CLSF/200-3-034</v>
      </c>
      <c r="C48" s="108" t="str" cm="1">
        <f t="array" ref="C48">_xlfn.XLOOKUP(B48,'Contratos - G200'!C:C,'Contratos - G200'!D:D,X)</f>
        <v>ARTEMP ENGENHARIA DE INSTALAÇÕES LTDA</v>
      </c>
      <c r="D48" s="122">
        <v>23500000</v>
      </c>
      <c r="E48" s="123">
        <v>25916466.690000001</v>
      </c>
      <c r="F48" s="118">
        <f>SUMIF('Contratos - G200'!C:C,'Gestão de Contratos'!B48,'Contratos - G200'!J:J)</f>
        <v>49416466.690000005</v>
      </c>
      <c r="G48" s="123">
        <v>49416466.689999998</v>
      </c>
      <c r="H48" s="124" t="b">
        <f t="shared" si="1"/>
        <v>1</v>
      </c>
      <c r="I48" s="114">
        <f>SUMIF('Notas fiscais - G200'!W43:W4928,'Gestão de Contratos'!B48,'Notas fiscais - G200'!T43:T4928)</f>
        <v>15093475.179999998</v>
      </c>
    </row>
    <row r="49" spans="1:9" s="124" customFormat="1">
      <c r="A49" s="120"/>
      <c r="B49" s="120" t="str">
        <v>CLSF/200-3-035</v>
      </c>
      <c r="C49" s="108" t="str" cm="1">
        <f t="array" ref="C49">_xlfn.XLOOKUP(B49,'Contratos - G200'!C:C,'Contratos - G200'!D:D,X)</f>
        <v>ENTEL COMERCIO E SERVICOS LTDA</v>
      </c>
      <c r="D49" s="122">
        <v>0</v>
      </c>
      <c r="E49" s="123">
        <v>28020</v>
      </c>
      <c r="F49" s="118">
        <f>SUMIF('Contratos - G200'!C:C,'Gestão de Contratos'!B49,'Contratos - G200'!J:J)</f>
        <v>28020</v>
      </c>
      <c r="G49" s="121">
        <v>28020</v>
      </c>
      <c r="H49" s="124" t="b">
        <f t="shared" si="1"/>
        <v>1</v>
      </c>
      <c r="I49" s="114">
        <f>SUMIF('Notas fiscais - G200'!W44:W4929,'Gestão de Contratos'!B49,'Notas fiscais - G200'!T44:T4929)</f>
        <v>3622.6000000000004</v>
      </c>
    </row>
    <row r="50" spans="1:9" s="124" customFormat="1">
      <c r="A50" s="120"/>
      <c r="B50" s="120" t="str">
        <v>CLSF/200-3-036</v>
      </c>
      <c r="C50" s="108" t="str" cm="1">
        <f t="array" ref="C50">_xlfn.XLOOKUP(B50,'Contratos - G200'!C:C,'Contratos - G200'!D:D,X)</f>
        <v>THYSSENKRUPP ELEVADORES AS</v>
      </c>
      <c r="D50" s="122">
        <v>0</v>
      </c>
      <c r="E50" s="123">
        <v>171000</v>
      </c>
      <c r="F50" s="118">
        <f>SUMIF('Contratos - G200'!C:C,'Gestão de Contratos'!B50,'Contratos - G200'!J:J)</f>
        <v>171000</v>
      </c>
      <c r="G50" s="123">
        <v>171000</v>
      </c>
      <c r="H50" s="124" t="b">
        <f t="shared" si="1"/>
        <v>1</v>
      </c>
      <c r="I50" s="114">
        <f>SUMIF('Notas fiscais - G200'!W45:W4930,'Gestão de Contratos'!B50,'Notas fiscais - G200'!T45:T4930)</f>
        <v>43605</v>
      </c>
    </row>
    <row r="51" spans="1:9" s="124" customFormat="1">
      <c r="A51" s="120"/>
      <c r="B51" s="120" t="str">
        <v>CLSF/200-3-037</v>
      </c>
      <c r="C51" s="108" t="str" cm="1">
        <f t="array" ref="C51">_xlfn.XLOOKUP(B51,'Contratos - G200'!C:C,'Contratos - G200'!D:D,X)</f>
        <v>KAIZ ENGENHARIA LTDA</v>
      </c>
      <c r="D51" s="122">
        <v>0</v>
      </c>
      <c r="E51" s="123">
        <v>38000</v>
      </c>
      <c r="F51" s="118">
        <f>SUMIF('Contratos - G200'!C:C,'Gestão de Contratos'!B51,'Contratos - G200'!J:J)</f>
        <v>38000</v>
      </c>
      <c r="G51" s="123">
        <v>38000</v>
      </c>
      <c r="H51" s="124" t="b">
        <f t="shared" si="1"/>
        <v>1</v>
      </c>
      <c r="I51" s="114">
        <f>SUMIF('Notas fiscais - G200'!W46:W4931,'Gestão de Contratos'!B51,'Notas fiscais - G200'!T46:T4931)</f>
        <v>0</v>
      </c>
    </row>
    <row r="52" spans="1:9" s="124" customFormat="1">
      <c r="A52" s="120"/>
      <c r="B52" s="120" t="str">
        <v>CLSF/200-3-038</v>
      </c>
      <c r="C52" s="108" t="str" cm="1">
        <f t="array" ref="C52">_xlfn.XLOOKUP(B52,'Contratos - G200'!C:C,'Contratos - G200'!D:D,X)</f>
        <v>SOTEC FABRICACAO DE ESTRUTURAS METALICAS E SERVICOS LTDA</v>
      </c>
      <c r="D52" s="122">
        <v>2000000.37</v>
      </c>
      <c r="E52" s="123">
        <v>500000.09</v>
      </c>
      <c r="F52" s="118">
        <f>SUMIF('Contratos - G200'!C:C,'Gestão de Contratos'!B52,'Contratos - G200'!J:J)</f>
        <v>2500000.46</v>
      </c>
      <c r="G52" s="123">
        <v>2500000.46</v>
      </c>
      <c r="H52" s="124" t="b">
        <f t="shared" si="1"/>
        <v>1</v>
      </c>
      <c r="I52" s="114">
        <f>SUMIF('Notas fiscais - G200'!W47:W4932,'Gestão de Contratos'!B52,'Notas fiscais - G200'!T47:T4932)</f>
        <v>500000.09</v>
      </c>
    </row>
    <row r="53" spans="1:9" s="124" customFormat="1">
      <c r="A53" s="120"/>
      <c r="B53" s="120" t="str">
        <v>CLSF/200-3-039</v>
      </c>
      <c r="C53" s="108" t="str" cm="1">
        <f t="array" ref="C53">_xlfn.XLOOKUP(B53,'Contratos - G200'!C:C,'Contratos - G200'!D:D,X)</f>
        <v>VOC ENGENHARIA E CONSTRUCAO LTDA</v>
      </c>
      <c r="D53" s="122">
        <v>3464956.56</v>
      </c>
      <c r="E53" s="123">
        <v>1968054.61</v>
      </c>
      <c r="F53" s="118">
        <f>SUMIF('Contratos - G200'!C:C,'Gestão de Contratos'!B53,'Contratos - G200'!J:J)</f>
        <v>5433011.1600000001</v>
      </c>
      <c r="G53" s="123">
        <v>5433011.1600000001</v>
      </c>
      <c r="H53" s="124" t="b">
        <f t="shared" si="1"/>
        <v>0</v>
      </c>
      <c r="I53" s="114">
        <f>SUMIF('Notas fiscais - G200'!W48:W4933,'Gestão de Contratos'!B53,'Notas fiscais - G200'!T48:T4933)</f>
        <v>1245656.5099999998</v>
      </c>
    </row>
    <row r="54" spans="1:9" s="124" customFormat="1">
      <c r="A54" s="120"/>
      <c r="B54" s="120" t="str">
        <v>CLSF/200-3-040</v>
      </c>
      <c r="C54" s="108" t="str" cm="1">
        <f t="array" ref="C54">_xlfn.XLOOKUP(B54,'Contratos - G200'!C:C,'Contratos - G200'!D:D,X)</f>
        <v>GEOTECHNIQUE CONSULTORIA E ENGENHARIA LTDA</v>
      </c>
      <c r="D54" s="122">
        <v>0</v>
      </c>
      <c r="E54" s="123">
        <v>175000</v>
      </c>
      <c r="F54" s="118">
        <f>SUMIF('Contratos - G200'!C:C,'Gestão de Contratos'!B54,'Contratos - G200'!J:J)</f>
        <v>175000</v>
      </c>
      <c r="G54" s="123">
        <v>175000</v>
      </c>
      <c r="H54" s="124" t="b">
        <f t="shared" si="1"/>
        <v>1</v>
      </c>
      <c r="I54" s="114">
        <f>SUMIF('Notas fiscais - G200'!W49:W4934,'Gestão de Contratos'!B54,'Notas fiscais - G200'!T49:T4934)</f>
        <v>0</v>
      </c>
    </row>
    <row r="55" spans="1:9" s="124" customFormat="1">
      <c r="A55" s="120"/>
      <c r="B55" s="120" t="str">
        <v>CLSF/200-3-041</v>
      </c>
      <c r="C55" s="108" t="str" cm="1">
        <f t="array" ref="C55">_xlfn.XLOOKUP(B55,'Contratos - G200'!C:C,'Contratos - G200'!D:D,X)</f>
        <v>DIPAWA NORDESTE INDÚSTRIA COMÉRCIO E CONSTRUTORA LTDA</v>
      </c>
      <c r="D55" s="122">
        <v>0</v>
      </c>
      <c r="E55" s="123">
        <v>799000</v>
      </c>
      <c r="F55" s="118">
        <f>SUMIF('Contratos - G200'!C:C,'Gestão de Contratos'!B55,'Contratos - G200'!J:J)</f>
        <v>799000</v>
      </c>
      <c r="G55" s="123">
        <v>799000</v>
      </c>
      <c r="H55" s="124" t="b">
        <f t="shared" si="1"/>
        <v>1</v>
      </c>
      <c r="I55" s="114">
        <f>SUMIF('Notas fiscais - G200'!W50:W4935,'Gestão de Contratos'!B55,'Notas fiscais - G200'!T50:T4935)</f>
        <v>639200</v>
      </c>
    </row>
    <row r="56" spans="1:9" s="124" customFormat="1">
      <c r="A56" s="120"/>
      <c r="B56" s="120" t="str">
        <v>CLSF/200-3-042</v>
      </c>
      <c r="C56" s="108" t="str" cm="1">
        <f t="array" ref="C56">_xlfn.XLOOKUP(B56,'Contratos - G200'!C:C,'Contratos - G200'!D:D,X)</f>
        <v>ARTEMP ENGENHARIA TERMICA LTDA</v>
      </c>
      <c r="D56" s="122">
        <v>17500000</v>
      </c>
      <c r="E56" s="123">
        <v>25636407</v>
      </c>
      <c r="F56" s="118">
        <f>SUMIF('Contratos - G200'!C:C,'Gestão de Contratos'!B56,'Contratos - G200'!J:J)</f>
        <v>43136407</v>
      </c>
      <c r="G56" s="123">
        <v>43136407</v>
      </c>
      <c r="H56" s="124" t="b">
        <f>SUM(D56:E56)=F56</f>
        <v>1</v>
      </c>
      <c r="I56" s="114">
        <f>SUMIF('Notas fiscais - G200'!W51:W4936,'Gestão de Contratos'!B56,'Notas fiscais - G200'!T51:T4936)</f>
        <v>8972742.3499999996</v>
      </c>
    </row>
    <row r="57" spans="1:9">
      <c r="B57" s="120" t="str">
        <v>CLSF/200-3-043</v>
      </c>
      <c r="C57" s="108" t="str" cm="1">
        <f t="array" ref="C57">_xlfn.XLOOKUP(B57,'Contratos - G200'!C:C,'Contratos - G200'!D:D,X)</f>
        <v>NEOSONDA ENGENHARIA LTDA</v>
      </c>
      <c r="D57" s="117">
        <v>0</v>
      </c>
      <c r="E57" s="118">
        <v>1528000.44</v>
      </c>
      <c r="F57" s="118">
        <f>SUMIF('Contratos - G200'!C:C,'Gestão de Contratos'!B57,'Contratos - G200'!J:J)</f>
        <v>240500</v>
      </c>
      <c r="G57" s="118">
        <v>1528000.44</v>
      </c>
      <c r="H57" s="124" t="b">
        <f>SUM(D57:E57)=F57</f>
        <v>0</v>
      </c>
      <c r="I57" s="114">
        <f>SUMIF('Notas fiscais - G200'!W52:W4937,'Gestão de Contratos'!B57,'Notas fiscais - G200'!T52:T4937)</f>
        <v>0</v>
      </c>
    </row>
    <row r="58" spans="1:9">
      <c r="B58" s="120" t="str">
        <v>CLSF/200-3-044</v>
      </c>
      <c r="C58" s="108" t="str" cm="1">
        <f t="array" ref="C58">_xlfn.XLOOKUP(B58,'Contratos - G200'!C:C,'Contratos - G200'!D:D,X)</f>
        <v>PRESOTTO SERVICOS DE ENGENHARIA LTDA</v>
      </c>
      <c r="D58" s="107">
        <v>345221.23</v>
      </c>
      <c r="E58" s="114">
        <v>230147.48</v>
      </c>
      <c r="F58" s="118">
        <f>SUMIF('Contratos - G200'!C:C,'Gestão de Contratos'!B58,'Contratos - G200'!J:J)</f>
        <v>0</v>
      </c>
      <c r="G58" s="125">
        <v>575368.71</v>
      </c>
      <c r="H58" s="124" t="b">
        <f>SUM(D58:E58)=F58</f>
        <v>0</v>
      </c>
      <c r="I58" s="114">
        <f>SUMIF('Notas fiscais - G200'!W53:W4938,'Gestão de Contratos'!B58,'Notas fiscais - G200'!T53:T4938)</f>
        <v>0</v>
      </c>
    </row>
    <row r="59" spans="1:9">
      <c r="B59" s="120" t="str">
        <v>CLSF/200-3-045</v>
      </c>
      <c r="C59" s="108" t="str" cm="1">
        <f t="array" ref="C59">_xlfn.XLOOKUP(B59,'Contratos - G200'!C:C,'Contratos - G200'!D:D,X)</f>
        <v>TGEO SERVICOS DE ENGENHARIA E GEOLOGIA LTDA</v>
      </c>
      <c r="D59" s="117">
        <v>0</v>
      </c>
      <c r="E59" s="118">
        <v>240500</v>
      </c>
      <c r="F59" s="118">
        <f>SUMIF('Contratos - G200'!C:C,'Gestão de Contratos'!B59,'Contratos - G200'!J:J)</f>
        <v>120150</v>
      </c>
      <c r="G59" s="118">
        <v>240500</v>
      </c>
      <c r="H59" s="124" t="b">
        <f>SUM(D59:E59)=F59</f>
        <v>0</v>
      </c>
      <c r="I59" s="114">
        <f>SUMIF('Notas fiscais - G200'!W54:W4939,'Gestão de Contratos'!B59,'Notas fiscais - G200'!T54:T4939)</f>
        <v>0</v>
      </c>
    </row>
    <row r="60" spans="1:9">
      <c r="B60" s="120" t="str">
        <v>CLSF/200-3-046</v>
      </c>
      <c r="C60" s="108" t="str" cm="1">
        <f t="array" ref="C60">_xlfn.XLOOKUP(B60,'Contratos - G200'!C:C,'Contratos - G200'!D:D,X)</f>
        <v>LCL GEOTECNIA E SONDAGEM LTDA</v>
      </c>
      <c r="D60" s="117">
        <v>0</v>
      </c>
      <c r="E60" s="118">
        <v>120150</v>
      </c>
      <c r="F60" s="118">
        <f>SUMIF('Contratos - G200'!C:C,'Gestão de Contratos'!B60,'Contratos - G200'!J:J)</f>
        <v>34188.050000000003</v>
      </c>
      <c r="G60" s="118">
        <v>120150</v>
      </c>
      <c r="H60" s="124" t="b">
        <f t="shared" ref="H60:H61" si="2">SUM(D60:E60)=F60</f>
        <v>0</v>
      </c>
      <c r="I60" s="114">
        <f>SUMIF('Notas fiscais - G200'!W55:W4940,'Gestão de Contratos'!B60,'Notas fiscais - G200'!T55:T4940)</f>
        <v>0</v>
      </c>
    </row>
    <row r="61" spans="1:9">
      <c r="B61" s="120" t="str">
        <v>CLSF/200-3-048</v>
      </c>
      <c r="C61" s="108" t="str" cm="1">
        <f t="array" ref="C61">_xlfn.XLOOKUP(B61,'Contratos - G200'!C:C,'Contratos - G200'!D:D,X)</f>
        <v>TM HIDRO SERVICOS DE PREPARACAO DE TERRENOS E 
TERRAPLANAGEM LTDA.</v>
      </c>
      <c r="D61" s="117">
        <v>0</v>
      </c>
      <c r="E61" s="118">
        <v>34188.050000000003</v>
      </c>
      <c r="F61" s="118">
        <f>SUMIF('Contratos - G200'!C:C,'Gestão de Contratos'!B61,'Contratos - G200'!J:J)</f>
        <v>575368.71</v>
      </c>
      <c r="G61" s="118">
        <v>34188.050000000003</v>
      </c>
      <c r="H61" s="124" t="b">
        <f t="shared" si="2"/>
        <v>0</v>
      </c>
      <c r="I61" s="114">
        <f>SUMIF('Notas fiscais - G200'!W56:W4941,'Gestão de Contratos'!B61,'Notas fiscais - G200'!T56:T4941)</f>
        <v>0</v>
      </c>
    </row>
    <row r="62" spans="1:9">
      <c r="B62" s="120" t="str">
        <v>CLSF/200-3-052</v>
      </c>
    </row>
    <row r="63" spans="1:9">
      <c r="B63" s="120" t="str">
        <v>CLSF/200-3-053</v>
      </c>
    </row>
    <row r="64" spans="1:9">
      <c r="B64" s="120" t="str">
        <v>CLSF/200-3-054</v>
      </c>
    </row>
    <row r="65" spans="2:2">
      <c r="B65" s="106" t="str">
        <v>CLSF/200-3-055</v>
      </c>
    </row>
    <row r="66" spans="2:2">
      <c r="B66" s="106" t="str">
        <v>CT-LSFG200-047</v>
      </c>
    </row>
    <row r="67" spans="2:2">
      <c r="B67" s="106">
        <v>0</v>
      </c>
    </row>
  </sheetData>
  <autoFilter ref="A13:I60" xr:uid="{FAE6C8BE-AEE9-421C-8E9C-23D03D7D326F}"/>
  <conditionalFormatting sqref="B1:B1048576">
    <cfRule type="duplicateValues" dxfId="158" priority="2"/>
  </conditionalFormatting>
  <conditionalFormatting sqref="B13:I13">
    <cfRule type="cellIs" dxfId="157" priority="3" operator="lessThan">
      <formula>0</formula>
    </cfRule>
    <cfRule type="duplicateValues" dxfId="156" priority="13"/>
    <cfRule type="duplicateValues" dxfId="155" priority="14"/>
    <cfRule type="duplicateValues" dxfId="154" priority="15"/>
    <cfRule type="duplicateValues" dxfId="153" priority="16"/>
  </conditionalFormatting>
  <conditionalFormatting sqref="D11">
    <cfRule type="duplicateValues" dxfId="152" priority="9"/>
    <cfRule type="duplicateValues" dxfId="151" priority="10"/>
    <cfRule type="duplicateValues" dxfId="150" priority="11"/>
    <cfRule type="duplicateValues" dxfId="149" priority="12"/>
  </conditionalFormatting>
  <conditionalFormatting sqref="D1:E15 D17:E17 D18:D20 D21:E28 E29 D30:E30 D31 D32:E56 D57 D58:E1048576">
    <cfRule type="cellIs" dxfId="148" priority="8" operator="lessThan">
      <formula>0</formula>
    </cfRule>
  </conditionalFormatting>
  <conditionalFormatting sqref="E11">
    <cfRule type="duplicateValues" dxfId="147" priority="4"/>
    <cfRule type="duplicateValues" dxfId="146" priority="5"/>
    <cfRule type="duplicateValues" dxfId="145" priority="6"/>
    <cfRule type="duplicateValues" dxfId="144" priority="7"/>
  </conditionalFormatting>
  <conditionalFormatting sqref="G60:G61">
    <cfRule type="cellIs" dxfId="143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993B1-709F-4072-89B3-FB4FFDA82105}">
  <sheetPr>
    <tabColor theme="1"/>
  </sheetPr>
  <dimension ref="A1:J613"/>
  <sheetViews>
    <sheetView showGridLines="0" tabSelected="1" topLeftCell="G1" zoomScaleNormal="100" workbookViewId="0">
      <selection activeCell="D20" sqref="D20"/>
    </sheetView>
  </sheetViews>
  <sheetFormatPr defaultColWidth="8.85546875" defaultRowHeight="15" customHeight="1" outlineLevelRow="1" outlineLevelCol="1"/>
  <cols>
    <col min="1" max="1" width="2.140625" style="160" customWidth="1"/>
    <col min="2" max="2" width="33.85546875" style="160" customWidth="1"/>
    <col min="3" max="3" width="22.85546875" style="147" bestFit="1" customWidth="1"/>
    <col min="4" max="4" width="86.42578125" style="147" customWidth="1"/>
    <col min="5" max="5" width="28.5703125" style="146" customWidth="1"/>
    <col min="6" max="6" width="28.5703125" style="160" customWidth="1" outlineLevel="1"/>
    <col min="7" max="7" width="33.85546875" style="163" customWidth="1"/>
    <col min="8" max="8" width="67.5703125" style="160" bestFit="1" customWidth="1"/>
    <col min="9" max="9" width="26.5703125" style="161" customWidth="1"/>
    <col min="10" max="10" width="24.140625" style="164" bestFit="1" customWidth="1"/>
    <col min="11" max="12" width="8.85546875" style="162"/>
    <col min="13" max="13" width="13.5703125" style="162" bestFit="1" customWidth="1"/>
    <col min="14" max="16384" width="8.85546875" style="162"/>
  </cols>
  <sheetData>
    <row r="1" spans="2:10" ht="14.25">
      <c r="C1" s="161"/>
      <c r="D1" s="160"/>
      <c r="E1" s="162"/>
      <c r="I1" s="160"/>
    </row>
    <row r="2" spans="2:10" hidden="1" outlineLevel="1">
      <c r="C2" s="161" t="s">
        <v>264</v>
      </c>
      <c r="D2" s="160" t="s">
        <v>265</v>
      </c>
      <c r="E2" s="162"/>
      <c r="I2" s="165" t="s">
        <v>265</v>
      </c>
    </row>
    <row r="3" spans="2:10" hidden="1" outlineLevel="1">
      <c r="C3" s="161"/>
      <c r="D3" s="160" t="s">
        <v>266</v>
      </c>
      <c r="E3" s="162"/>
      <c r="I3" s="165" t="s">
        <v>266</v>
      </c>
    </row>
    <row r="4" spans="2:10" hidden="1" outlineLevel="1">
      <c r="C4" s="161" t="s">
        <v>267</v>
      </c>
      <c r="D4" s="160" t="s">
        <v>268</v>
      </c>
      <c r="E4" s="162"/>
      <c r="I4" s="165" t="s">
        <v>268</v>
      </c>
    </row>
    <row r="5" spans="2:10" ht="14.25" collapsed="1">
      <c r="C5" s="161"/>
      <c r="D5" s="160"/>
      <c r="E5" s="162"/>
      <c r="I5" s="162"/>
    </row>
    <row r="6" spans="2:10" ht="14.25">
      <c r="C6" s="161"/>
      <c r="D6" s="160"/>
      <c r="E6" s="162"/>
      <c r="I6" s="162"/>
    </row>
    <row r="7" spans="2:10" ht="14.25">
      <c r="C7" s="161"/>
      <c r="D7" s="160"/>
      <c r="E7" s="162"/>
      <c r="I7" s="162"/>
    </row>
    <row r="8" spans="2:10" ht="14.25">
      <c r="C8" s="161"/>
      <c r="D8" s="160"/>
      <c r="E8" s="162"/>
      <c r="I8" s="162"/>
    </row>
    <row r="9" spans="2:10" ht="14.25">
      <c r="C9" s="161"/>
      <c r="D9" s="160"/>
      <c r="E9" s="162"/>
      <c r="I9" s="162"/>
    </row>
    <row r="10" spans="2:10" ht="14.25">
      <c r="C10" s="161"/>
      <c r="D10" s="160"/>
      <c r="E10" s="162"/>
    </row>
    <row r="11" spans="2:10" ht="18">
      <c r="C11" s="161"/>
      <c r="D11" s="160"/>
      <c r="E11" s="127" t="s">
        <v>269</v>
      </c>
      <c r="F11" s="126"/>
      <c r="G11" s="130">
        <f>SUBTOTAL(9,G14:G1048576)</f>
        <v>326327899.44000024</v>
      </c>
      <c r="H11" s="130"/>
      <c r="I11" s="130">
        <f>G11-J11</f>
        <v>2140999.9999999404</v>
      </c>
      <c r="J11" s="130">
        <f>SUBTOTAL(9,J14:J1048576)</f>
        <v>324186899.4400003</v>
      </c>
    </row>
    <row r="12" spans="2:10" ht="14.25">
      <c r="C12" s="161"/>
      <c r="D12" s="160"/>
      <c r="E12" s="162"/>
      <c r="I12" s="160"/>
    </row>
    <row r="13" spans="2:10" ht="54">
      <c r="C13" s="127" t="s">
        <v>263</v>
      </c>
      <c r="D13" s="127" t="s">
        <v>271</v>
      </c>
      <c r="E13" s="127" t="s">
        <v>256</v>
      </c>
      <c r="F13" s="128" t="s">
        <v>656</v>
      </c>
      <c r="G13" s="130" t="s">
        <v>272</v>
      </c>
      <c r="H13" s="126" t="s">
        <v>313</v>
      </c>
      <c r="I13" s="129" t="s">
        <v>273</v>
      </c>
      <c r="J13" s="130" t="s">
        <v>611</v>
      </c>
    </row>
    <row r="14" spans="2:10" ht="15" customHeight="1">
      <c r="B14" s="160" t="s">
        <v>1071</v>
      </c>
      <c r="C14" s="147" t="s">
        <v>314</v>
      </c>
      <c r="D14" s="147" t="s">
        <v>315</v>
      </c>
      <c r="E14" s="146">
        <v>2001025001</v>
      </c>
      <c r="F14" s="147" t="str">
        <f>_xlfn.XLOOKUP(E14,'Detalhamento - G200'!A:A,'Detalhamento - G200'!B:B,0)</f>
        <v>DESPESAS INDIRETAS DE OBRA, CANTEIRO, INSTALAÇÕES PROVISÓRIAS - FATURAMENTO QPC</v>
      </c>
      <c r="G14" s="154">
        <v>2000000</v>
      </c>
      <c r="H14" s="147" t="s">
        <v>316</v>
      </c>
      <c r="I14" s="147"/>
      <c r="J14" s="154">
        <f t="shared" ref="J14:J45" si="0">IF(I14&lt;&gt;"",0,G14)</f>
        <v>2000000</v>
      </c>
    </row>
    <row r="15" spans="2:10" ht="15" customHeight="1">
      <c r="B15" s="160" t="s">
        <v>1071</v>
      </c>
      <c r="C15" s="147" t="s">
        <v>314</v>
      </c>
      <c r="D15" s="147" t="s">
        <v>315</v>
      </c>
      <c r="E15" s="146">
        <v>2001025002</v>
      </c>
      <c r="F15" s="147" t="str">
        <f>_xlfn.XLOOKUP(E15,'Detalhamento - G200'!A:A,'Detalhamento - G200'!B:B,0)</f>
        <v xml:space="preserve">	DESPESAS INDIRETAS DE OBRA - DESEMBOLSO CANTEIRO DE OBRAS</v>
      </c>
      <c r="G15" s="154">
        <v>300000</v>
      </c>
      <c r="H15" s="147" t="s">
        <v>316</v>
      </c>
      <c r="I15" s="147"/>
      <c r="J15" s="154">
        <f t="shared" si="0"/>
        <v>300000</v>
      </c>
    </row>
    <row r="16" spans="2:10" ht="15" customHeight="1">
      <c r="B16" s="160" t="s">
        <v>1071</v>
      </c>
      <c r="C16" s="147" t="s">
        <v>314</v>
      </c>
      <c r="D16" s="147" t="s">
        <v>315</v>
      </c>
      <c r="E16" s="146">
        <v>2002001001</v>
      </c>
      <c r="F16" s="147" t="str">
        <f>_xlfn.XLOOKUP(E16,'Detalhamento - G200'!A:A,'Detalhamento - G200'!B:B,0)</f>
        <v>SALÁRIOS, DISSÍDIO/REAJUSTE E AJUDA DE CUSTO</v>
      </c>
      <c r="G16" s="154">
        <v>19609893.640000001</v>
      </c>
      <c r="H16" s="147" t="s">
        <v>316</v>
      </c>
      <c r="I16" s="147"/>
      <c r="J16" s="154">
        <f t="shared" si="0"/>
        <v>19609893.640000001</v>
      </c>
    </row>
    <row r="17" spans="2:10" ht="15" customHeight="1">
      <c r="B17" s="160" t="s">
        <v>1071</v>
      </c>
      <c r="C17" s="147" t="s">
        <v>314</v>
      </c>
      <c r="D17" s="147" t="s">
        <v>315</v>
      </c>
      <c r="E17" s="146">
        <v>2003001001</v>
      </c>
      <c r="F17" s="147" t="str">
        <f>_xlfn.XLOOKUP(E17,'Detalhamento - G200'!A:A,'Detalhamento - G200'!B:B,0)</f>
        <v>FEE</v>
      </c>
      <c r="G17" s="154">
        <v>36656468.540000007</v>
      </c>
      <c r="H17" s="147" t="s">
        <v>316</v>
      </c>
      <c r="I17" s="147"/>
      <c r="J17" s="154">
        <f t="shared" si="0"/>
        <v>36656468.540000007</v>
      </c>
    </row>
    <row r="18" spans="2:10" ht="15" customHeight="1">
      <c r="B18" s="160" t="s">
        <v>1072</v>
      </c>
      <c r="C18" s="147" t="s">
        <v>317</v>
      </c>
      <c r="D18" s="147" t="s">
        <v>318</v>
      </c>
      <c r="E18" s="146">
        <v>1001001001</v>
      </c>
      <c r="F18" s="147" t="str">
        <f>_xlfn.XLOOKUP(E18,'Detalhamento - G200'!A:A,'Detalhamento - G200'!B:B,0)</f>
        <v>PROJETOS</v>
      </c>
      <c r="G18" s="154">
        <v>450000</v>
      </c>
      <c r="H18" s="147" t="s">
        <v>319</v>
      </c>
      <c r="I18" s="147"/>
      <c r="J18" s="154">
        <f t="shared" si="0"/>
        <v>450000</v>
      </c>
    </row>
    <row r="19" spans="2:10" ht="15" customHeight="1">
      <c r="B19" s="160" t="s">
        <v>1073</v>
      </c>
      <c r="C19" s="147" t="s">
        <v>320</v>
      </c>
      <c r="D19" s="147" t="s">
        <v>321</v>
      </c>
      <c r="E19" s="146">
        <v>1001001001</v>
      </c>
      <c r="F19" s="147" t="str">
        <f>_xlfn.XLOOKUP(E19,'Detalhamento - G200'!A:A,'Detalhamento - G200'!B:B,0)</f>
        <v>PROJETOS</v>
      </c>
      <c r="G19" s="154">
        <v>472594.69</v>
      </c>
      <c r="H19" s="147" t="s">
        <v>322</v>
      </c>
      <c r="I19" s="147"/>
      <c r="J19" s="154">
        <f t="shared" si="0"/>
        <v>472594.69</v>
      </c>
    </row>
    <row r="20" spans="2:10" ht="15" customHeight="1">
      <c r="B20" s="160" t="s">
        <v>1074</v>
      </c>
      <c r="C20" s="147" t="s">
        <v>323</v>
      </c>
      <c r="D20" s="147" t="s">
        <v>324</v>
      </c>
      <c r="E20" s="146">
        <v>1001001001</v>
      </c>
      <c r="F20" s="147" t="str">
        <f>_xlfn.XLOOKUP(E20,'Detalhamento - G200'!A:A,'Detalhamento - G200'!B:B,0)</f>
        <v>PROJETOS</v>
      </c>
      <c r="G20" s="154">
        <v>100000</v>
      </c>
      <c r="H20" s="147" t="s">
        <v>325</v>
      </c>
      <c r="I20" s="147"/>
      <c r="J20" s="154">
        <f t="shared" si="0"/>
        <v>100000</v>
      </c>
    </row>
    <row r="21" spans="2:10" ht="15" customHeight="1">
      <c r="B21" s="160" t="s">
        <v>1075</v>
      </c>
      <c r="C21" s="147" t="s">
        <v>326</v>
      </c>
      <c r="D21" s="147" t="s">
        <v>327</v>
      </c>
      <c r="E21" s="146">
        <v>1001001001</v>
      </c>
      <c r="F21" s="147" t="str">
        <f>_xlfn.XLOOKUP(E21,'Detalhamento - G200'!A:A,'Detalhamento - G200'!B:B,0)</f>
        <v>PROJETOS</v>
      </c>
      <c r="G21" s="154">
        <v>244000</v>
      </c>
      <c r="H21" s="147" t="s">
        <v>328</v>
      </c>
      <c r="I21" s="147"/>
      <c r="J21" s="154">
        <f t="shared" si="0"/>
        <v>244000</v>
      </c>
    </row>
    <row r="22" spans="2:10" ht="15" customHeight="1">
      <c r="B22" s="160" t="s">
        <v>1076</v>
      </c>
      <c r="C22" s="147" t="s">
        <v>329</v>
      </c>
      <c r="D22" s="147" t="s">
        <v>330</v>
      </c>
      <c r="E22" s="146">
        <v>1001001001</v>
      </c>
      <c r="F22" s="147" t="str">
        <f>_xlfn.XLOOKUP(E22,'Detalhamento - G200'!A:A,'Detalhamento - G200'!B:B,0)</f>
        <v>PROJETOS</v>
      </c>
      <c r="G22" s="154">
        <v>9200</v>
      </c>
      <c r="H22" s="147" t="s">
        <v>331</v>
      </c>
      <c r="I22" s="147"/>
      <c r="J22" s="154">
        <f t="shared" si="0"/>
        <v>9200</v>
      </c>
    </row>
    <row r="23" spans="2:10" ht="15" customHeight="1">
      <c r="B23" s="160" t="s">
        <v>1077</v>
      </c>
      <c r="C23" s="147" t="s">
        <v>332</v>
      </c>
      <c r="D23" s="147" t="s">
        <v>333</v>
      </c>
      <c r="E23" s="146">
        <v>1001001001</v>
      </c>
      <c r="F23" s="147" t="str">
        <f>_xlfn.XLOOKUP(E23,'Detalhamento - G200'!A:A,'Detalhamento - G200'!B:B,0)</f>
        <v>PROJETOS</v>
      </c>
      <c r="G23" s="154">
        <v>16917</v>
      </c>
      <c r="H23" s="147" t="s">
        <v>334</v>
      </c>
      <c r="I23" s="147"/>
      <c r="J23" s="154">
        <f t="shared" si="0"/>
        <v>16917</v>
      </c>
    </row>
    <row r="24" spans="2:10" ht="15" customHeight="1">
      <c r="B24" s="160" t="s">
        <v>1078</v>
      </c>
      <c r="C24" s="147" t="s">
        <v>335</v>
      </c>
      <c r="D24" s="147" t="s">
        <v>336</v>
      </c>
      <c r="E24" s="146">
        <v>1001001001</v>
      </c>
      <c r="F24" s="147" t="str">
        <f>_xlfn.XLOOKUP(E24,'Detalhamento - G200'!A:A,'Detalhamento - G200'!B:B,0)</f>
        <v>PROJETOS</v>
      </c>
      <c r="G24" s="154">
        <v>45000</v>
      </c>
      <c r="H24" s="147" t="s">
        <v>337</v>
      </c>
      <c r="I24" s="147"/>
      <c r="J24" s="154">
        <f t="shared" si="0"/>
        <v>45000</v>
      </c>
    </row>
    <row r="25" spans="2:10" ht="15" customHeight="1">
      <c r="B25" s="160" t="s">
        <v>1079</v>
      </c>
      <c r="C25" s="147" t="s">
        <v>338</v>
      </c>
      <c r="D25" s="147" t="s">
        <v>339</v>
      </c>
      <c r="E25" s="146">
        <v>1001001001</v>
      </c>
      <c r="F25" s="147" t="str">
        <f>_xlfn.XLOOKUP(E25,'Detalhamento - G200'!A:A,'Detalhamento - G200'!B:B,0)</f>
        <v>PROJETOS</v>
      </c>
      <c r="G25" s="154">
        <v>64300</v>
      </c>
      <c r="H25" s="147" t="s">
        <v>340</v>
      </c>
      <c r="I25" s="147"/>
      <c r="J25" s="154">
        <f t="shared" si="0"/>
        <v>64300</v>
      </c>
    </row>
    <row r="26" spans="2:10" ht="15" customHeight="1">
      <c r="B26" s="160" t="s">
        <v>1080</v>
      </c>
      <c r="C26" s="147" t="s">
        <v>341</v>
      </c>
      <c r="D26" s="147" t="s">
        <v>339</v>
      </c>
      <c r="E26" s="146">
        <v>1001001001</v>
      </c>
      <c r="F26" s="147" t="str">
        <f>_xlfn.XLOOKUP(E26,'Detalhamento - G200'!A:A,'Detalhamento - G200'!B:B,0)</f>
        <v>PROJETOS</v>
      </c>
      <c r="G26" s="154">
        <v>68300</v>
      </c>
      <c r="H26" s="147" t="s">
        <v>342</v>
      </c>
      <c r="I26" s="147"/>
      <c r="J26" s="154">
        <f t="shared" si="0"/>
        <v>68300</v>
      </c>
    </row>
    <row r="27" spans="2:10" ht="15" customHeight="1">
      <c r="B27" s="160" t="s">
        <v>1081</v>
      </c>
      <c r="C27" s="147" t="s">
        <v>343</v>
      </c>
      <c r="D27" s="147" t="s">
        <v>344</v>
      </c>
      <c r="E27" s="146">
        <v>1001003001</v>
      </c>
      <c r="F27" s="147" t="str">
        <f>_xlfn.XLOOKUP(E27,'Detalhamento - G200'!A:A,'Detalhamento - G200'!B:B,0)</f>
        <v>FUNDAÇÃO GALPÃO</v>
      </c>
      <c r="G27" s="154">
        <v>1117668.8</v>
      </c>
      <c r="H27" s="147" t="s">
        <v>345</v>
      </c>
      <c r="I27" s="147" t="s">
        <v>764</v>
      </c>
      <c r="J27" s="154">
        <f t="shared" si="0"/>
        <v>0</v>
      </c>
    </row>
    <row r="28" spans="2:10" ht="15" customHeight="1">
      <c r="B28" s="160" t="s">
        <v>1081</v>
      </c>
      <c r="C28" s="147" t="s">
        <v>343</v>
      </c>
      <c r="D28" s="147" t="s">
        <v>344</v>
      </c>
      <c r="E28" s="146">
        <v>1001003002</v>
      </c>
      <c r="F28" s="147" t="str">
        <f>_xlfn.XLOOKUP(E28,'Detalhamento - G200'!A:A,'Detalhamento - G200'!B:B,0)</f>
        <v>SUPERESTRUTURA GALPÃO</v>
      </c>
      <c r="G28" s="154">
        <v>41644.800000000003</v>
      </c>
      <c r="H28" s="147" t="s">
        <v>345</v>
      </c>
      <c r="I28" s="147" t="s">
        <v>764</v>
      </c>
      <c r="J28" s="154">
        <f t="shared" si="0"/>
        <v>0</v>
      </c>
    </row>
    <row r="29" spans="2:10" ht="15" customHeight="1">
      <c r="B29" s="160" t="s">
        <v>1081</v>
      </c>
      <c r="C29" s="147" t="s">
        <v>343</v>
      </c>
      <c r="D29" s="147" t="s">
        <v>344</v>
      </c>
      <c r="E29" s="146">
        <v>1002002002</v>
      </c>
      <c r="F29" s="147" t="str">
        <f>_xlfn.XLOOKUP(E29,'Detalhamento - G200'!A:A,'Detalhamento - G200'!B:B,0)</f>
        <v>SUPERESTRUTURA</v>
      </c>
      <c r="G29" s="154">
        <v>156686.39999999999</v>
      </c>
      <c r="H29" s="147" t="s">
        <v>345</v>
      </c>
      <c r="I29" s="147" t="s">
        <v>764</v>
      </c>
      <c r="J29" s="154">
        <f t="shared" si="0"/>
        <v>0</v>
      </c>
    </row>
    <row r="30" spans="2:10" ht="15" customHeight="1">
      <c r="B30" s="160" t="s">
        <v>1082</v>
      </c>
      <c r="C30" s="147" t="s">
        <v>346</v>
      </c>
      <c r="D30" s="147" t="s">
        <v>324</v>
      </c>
      <c r="E30" s="146">
        <v>1001001001</v>
      </c>
      <c r="F30" s="147" t="str">
        <f>_xlfn.XLOOKUP(E30,'Detalhamento - G200'!A:A,'Detalhamento - G200'!B:B,0)</f>
        <v>PROJETOS</v>
      </c>
      <c r="G30" s="154">
        <v>87000</v>
      </c>
      <c r="H30" s="147" t="s">
        <v>347</v>
      </c>
      <c r="I30" s="147"/>
      <c r="J30" s="154">
        <f t="shared" si="0"/>
        <v>87000</v>
      </c>
    </row>
    <row r="31" spans="2:10" ht="15" customHeight="1">
      <c r="B31" s="160" t="s">
        <v>1083</v>
      </c>
      <c r="C31" s="147" t="s">
        <v>348</v>
      </c>
      <c r="D31" s="147" t="s">
        <v>349</v>
      </c>
      <c r="E31" s="146">
        <v>1001001001</v>
      </c>
      <c r="F31" s="147" t="str">
        <f>_xlfn.XLOOKUP(E31,'Detalhamento - G200'!A:A,'Detalhamento - G200'!B:B,0)</f>
        <v>PROJETOS</v>
      </c>
      <c r="G31" s="154">
        <v>250380</v>
      </c>
      <c r="H31" s="147" t="s">
        <v>350</v>
      </c>
      <c r="I31" s="147"/>
      <c r="J31" s="154">
        <f t="shared" si="0"/>
        <v>250380</v>
      </c>
    </row>
    <row r="32" spans="2:10" ht="15" customHeight="1">
      <c r="B32" s="160" t="s">
        <v>1084</v>
      </c>
      <c r="C32" s="147" t="s">
        <v>351</v>
      </c>
      <c r="D32" s="147" t="s">
        <v>344</v>
      </c>
      <c r="E32" s="146">
        <v>1001001001</v>
      </c>
      <c r="F32" s="147" t="str">
        <f>_xlfn.XLOOKUP(E32,'Detalhamento - G200'!A:A,'Detalhamento - G200'!B:B,0)</f>
        <v>PROJETOS</v>
      </c>
      <c r="G32" s="154">
        <v>153000</v>
      </c>
      <c r="H32" s="147" t="s">
        <v>352</v>
      </c>
      <c r="I32" s="147"/>
      <c r="J32" s="154">
        <f t="shared" si="0"/>
        <v>153000</v>
      </c>
    </row>
    <row r="33" spans="1:10" ht="15" customHeight="1">
      <c r="B33" s="160" t="s">
        <v>1085</v>
      </c>
      <c r="C33" s="147" t="s">
        <v>353</v>
      </c>
      <c r="D33" s="147" t="s">
        <v>354</v>
      </c>
      <c r="E33" s="146">
        <v>1001001002</v>
      </c>
      <c r="F33" s="147" t="str">
        <f>_xlfn.XLOOKUP(E33,'Detalhamento - G200'!A:A,'Detalhamento - G200'!B:B,0)</f>
        <v>ENSAIOS E CONSULTORIAS</v>
      </c>
      <c r="G33" s="154">
        <v>919769.9</v>
      </c>
      <c r="H33" s="147" t="s">
        <v>355</v>
      </c>
      <c r="I33" s="147"/>
      <c r="J33" s="154">
        <f t="shared" si="0"/>
        <v>919769.9</v>
      </c>
    </row>
    <row r="34" spans="1:10" ht="15" customHeight="1">
      <c r="B34" s="160" t="s">
        <v>1086</v>
      </c>
      <c r="C34" s="147" t="s">
        <v>295</v>
      </c>
      <c r="D34" s="147" t="s">
        <v>356</v>
      </c>
      <c r="E34" s="146">
        <v>1001002003</v>
      </c>
      <c r="F34" s="147" t="str">
        <f>_xlfn.XLOOKUP(E34,'Detalhamento - G200'!A:A,'Detalhamento - G200'!B:B,0)</f>
        <v>MOVIMENTAÇÃO DE TERRA</v>
      </c>
      <c r="G34" s="154">
        <v>18314787.989999998</v>
      </c>
      <c r="H34" s="147" t="s">
        <v>357</v>
      </c>
      <c r="I34" s="147"/>
      <c r="J34" s="154">
        <f t="shared" si="0"/>
        <v>18314787.989999998</v>
      </c>
    </row>
    <row r="35" spans="1:10" ht="15" customHeight="1">
      <c r="B35" s="160" t="s">
        <v>1086</v>
      </c>
      <c r="C35" s="147" t="s">
        <v>295</v>
      </c>
      <c r="D35" s="147" t="s">
        <v>356</v>
      </c>
      <c r="E35" s="146">
        <v>1001002007</v>
      </c>
      <c r="F35" s="147" t="str">
        <f>_xlfn.XLOOKUP(E35,'Detalhamento - G200'!A:A,'Detalhamento - G200'!B:B,0)</f>
        <v>ESCAVAÇÃO NO TARDOZ</v>
      </c>
      <c r="G35" s="154">
        <v>800400.01</v>
      </c>
      <c r="H35" s="147" t="s">
        <v>357</v>
      </c>
      <c r="I35" s="147"/>
      <c r="J35" s="154">
        <f t="shared" si="0"/>
        <v>800400.01</v>
      </c>
    </row>
    <row r="36" spans="1:10" ht="15" customHeight="1">
      <c r="B36" s="160" t="s">
        <v>1087</v>
      </c>
      <c r="C36" s="147" t="s">
        <v>358</v>
      </c>
      <c r="D36" s="147" t="s">
        <v>359</v>
      </c>
      <c r="E36" s="146">
        <v>1001001002</v>
      </c>
      <c r="F36" s="147" t="str">
        <f>_xlfn.XLOOKUP(E36,'Detalhamento - G200'!A:A,'Detalhamento - G200'!B:B,0)</f>
        <v>ENSAIOS E CONSULTORIAS</v>
      </c>
      <c r="G36" s="154">
        <v>732314.04</v>
      </c>
      <c r="H36" s="147" t="s">
        <v>360</v>
      </c>
      <c r="I36" s="147"/>
      <c r="J36" s="154">
        <f t="shared" si="0"/>
        <v>732314.04</v>
      </c>
    </row>
    <row r="37" spans="1:10" ht="15" customHeight="1">
      <c r="B37" s="160" t="s">
        <v>1088</v>
      </c>
      <c r="C37" s="147" t="s">
        <v>361</v>
      </c>
      <c r="D37" s="147" t="s">
        <v>307</v>
      </c>
      <c r="E37" s="146">
        <v>2001013001</v>
      </c>
      <c r="F37" s="147" t="str">
        <f>_xlfn.XLOOKUP(E37,'Detalhamento - G200'!A:A,'Detalhamento - G200'!B:B,0)</f>
        <v>LOCAÇÃO - SANITÁRIO QUÍMICO</v>
      </c>
      <c r="G37" s="154">
        <v>89600</v>
      </c>
      <c r="H37" s="147" t="s">
        <v>362</v>
      </c>
      <c r="I37" s="147"/>
      <c r="J37" s="154">
        <f t="shared" si="0"/>
        <v>89600</v>
      </c>
    </row>
    <row r="38" spans="1:10" ht="15" customHeight="1">
      <c r="B38" s="160" t="s">
        <v>1089</v>
      </c>
      <c r="C38" s="147" t="s">
        <v>363</v>
      </c>
      <c r="D38" s="147" t="s">
        <v>364</v>
      </c>
      <c r="E38" s="146">
        <v>2001001002</v>
      </c>
      <c r="F38" s="147" t="str">
        <f>_xlfn.XLOOKUP(E38,'Detalhamento - G200'!A:A,'Detalhamento - G200'!B:B,0)</f>
        <v>IMPLANTAÇÃO DE CANTEIRO - ELETRICA</v>
      </c>
      <c r="G38" s="154">
        <v>316000</v>
      </c>
      <c r="H38" s="147" t="s">
        <v>365</v>
      </c>
      <c r="I38" s="147"/>
      <c r="J38" s="154">
        <f t="shared" si="0"/>
        <v>316000</v>
      </c>
    </row>
    <row r="39" spans="1:10" ht="15" customHeight="1">
      <c r="B39" s="160" t="s">
        <v>1090</v>
      </c>
      <c r="C39" s="147" t="s">
        <v>366</v>
      </c>
      <c r="D39" s="147" t="s">
        <v>367</v>
      </c>
      <c r="E39" s="146">
        <v>1001006003</v>
      </c>
      <c r="F39" s="147" t="str">
        <f>_xlfn.XLOOKUP(E39,'Detalhamento - G200'!A:A,'Detalhamento - G200'!B:B,0)</f>
        <v>POÇO ARTESIANO</v>
      </c>
      <c r="G39" s="154">
        <v>286456.27</v>
      </c>
      <c r="H39" s="147" t="s">
        <v>54</v>
      </c>
      <c r="I39" s="147"/>
      <c r="J39" s="154">
        <f t="shared" si="0"/>
        <v>286456.27</v>
      </c>
    </row>
    <row r="40" spans="1:10" s="167" customFormat="1" ht="15" customHeight="1">
      <c r="A40" s="166"/>
      <c r="B40" s="166" t="s">
        <v>1091</v>
      </c>
      <c r="C40" s="147" t="s">
        <v>590</v>
      </c>
      <c r="D40" s="147" t="s">
        <v>592</v>
      </c>
      <c r="E40" s="146">
        <v>1003006001</v>
      </c>
      <c r="F40" s="147" t="str">
        <f>_xlfn.XLOOKUP(E40,'Detalhamento - G200'!A:A,'Detalhamento - G200'!B:B,0)</f>
        <v>PROJETOS, CQPS E AS BUILT</v>
      </c>
      <c r="G40" s="154">
        <v>568700</v>
      </c>
      <c r="H40" s="147" t="s">
        <v>591</v>
      </c>
      <c r="I40" s="147" t="s">
        <v>769</v>
      </c>
      <c r="J40" s="154">
        <f t="shared" si="0"/>
        <v>0</v>
      </c>
    </row>
    <row r="41" spans="1:10" s="167" customFormat="1" ht="15" customHeight="1">
      <c r="A41" s="166"/>
      <c r="B41" s="166" t="s">
        <v>1092</v>
      </c>
      <c r="C41" s="147" t="s">
        <v>593</v>
      </c>
      <c r="D41" s="147" t="s">
        <v>754</v>
      </c>
      <c r="E41" s="146">
        <v>1003006001</v>
      </c>
      <c r="F41" s="147" t="str">
        <f>_xlfn.XLOOKUP(E41,'Detalhamento - G200'!A:A,'Detalhamento - G200'!B:B,0)</f>
        <v>PROJETOS, CQPS E AS BUILT</v>
      </c>
      <c r="G41" s="154">
        <v>31300</v>
      </c>
      <c r="H41" s="147" t="s">
        <v>594</v>
      </c>
      <c r="I41" s="147" t="s">
        <v>769</v>
      </c>
      <c r="J41" s="154">
        <f t="shared" si="0"/>
        <v>0</v>
      </c>
    </row>
    <row r="42" spans="1:10" ht="15" customHeight="1">
      <c r="B42" s="160" t="s">
        <v>1093</v>
      </c>
      <c r="C42" s="147" t="s">
        <v>368</v>
      </c>
      <c r="D42" s="147" t="s">
        <v>369</v>
      </c>
      <c r="E42" s="146">
        <v>1001001002</v>
      </c>
      <c r="F42" s="147" t="str">
        <f>_xlfn.XLOOKUP(E42,'Detalhamento - G200'!A:A,'Detalhamento - G200'!B:B,0)</f>
        <v>ENSAIOS E CONSULTORIAS</v>
      </c>
      <c r="G42" s="154">
        <v>141411.45000000001</v>
      </c>
      <c r="H42" s="147" t="s">
        <v>370</v>
      </c>
      <c r="I42" s="147"/>
      <c r="J42" s="154">
        <f t="shared" si="0"/>
        <v>141411.45000000001</v>
      </c>
    </row>
    <row r="43" spans="1:10" ht="15" customHeight="1">
      <c r="B43" s="160" t="s">
        <v>1094</v>
      </c>
      <c r="C43" s="147" t="s">
        <v>371</v>
      </c>
      <c r="D43" s="147" t="s">
        <v>298</v>
      </c>
      <c r="E43" s="146">
        <v>1001002003</v>
      </c>
      <c r="F43" s="147" t="str">
        <f>_xlfn.XLOOKUP(E43,'Detalhamento - G200'!A:A,'Detalhamento - G200'!B:B,0)</f>
        <v>MOVIMENTAÇÃO DE TERRA</v>
      </c>
      <c r="G43" s="154">
        <v>9586.11</v>
      </c>
      <c r="H43" s="147" t="s">
        <v>226</v>
      </c>
      <c r="I43" s="147"/>
      <c r="J43" s="154">
        <f t="shared" si="0"/>
        <v>9586.11</v>
      </c>
    </row>
    <row r="44" spans="1:10" ht="15" customHeight="1">
      <c r="B44" s="160" t="s">
        <v>1094</v>
      </c>
      <c r="C44" s="147" t="s">
        <v>371</v>
      </c>
      <c r="D44" s="147" t="s">
        <v>298</v>
      </c>
      <c r="E44" s="146">
        <v>1001002006</v>
      </c>
      <c r="F44" s="147" t="str">
        <f>_xlfn.XLOOKUP(E44,'Detalhamento - G200'!A:A,'Detalhamento - G200'!B:B,0)</f>
        <v>CONTENÇÕES</v>
      </c>
      <c r="G44" s="154">
        <v>142887.34</v>
      </c>
      <c r="H44" s="147" t="s">
        <v>226</v>
      </c>
      <c r="I44" s="147"/>
      <c r="J44" s="154">
        <f t="shared" si="0"/>
        <v>142887.34</v>
      </c>
    </row>
    <row r="45" spans="1:10" ht="15" customHeight="1">
      <c r="B45" s="160" t="s">
        <v>1094</v>
      </c>
      <c r="C45" s="147" t="s">
        <v>371</v>
      </c>
      <c r="D45" s="147" t="s">
        <v>298</v>
      </c>
      <c r="E45" s="146">
        <v>1001002008</v>
      </c>
      <c r="F45" s="147" t="str">
        <f>_xlfn.XLOOKUP(E45,'Detalhamento - G200'!A:A,'Detalhamento - G200'!B:B,0)</f>
        <v>DRENAGEM</v>
      </c>
      <c r="G45" s="154">
        <v>190998.76</v>
      </c>
      <c r="H45" s="147" t="s">
        <v>226</v>
      </c>
      <c r="I45" s="147"/>
      <c r="J45" s="154">
        <f t="shared" si="0"/>
        <v>190998.76</v>
      </c>
    </row>
    <row r="46" spans="1:10" ht="15" customHeight="1">
      <c r="B46" s="160" t="s">
        <v>1094</v>
      </c>
      <c r="C46" s="147" t="s">
        <v>371</v>
      </c>
      <c r="D46" s="147" t="s">
        <v>298</v>
      </c>
      <c r="E46" s="146">
        <v>1001003001</v>
      </c>
      <c r="F46" s="147" t="str">
        <f>_xlfn.XLOOKUP(E46,'Detalhamento - G200'!A:A,'Detalhamento - G200'!B:B,0)</f>
        <v>FUNDAÇÃO GALPÃO</v>
      </c>
      <c r="G46" s="154">
        <v>75422.81</v>
      </c>
      <c r="H46" s="147" t="s">
        <v>226</v>
      </c>
      <c r="I46" s="147"/>
      <c r="J46" s="154">
        <f t="shared" ref="J46:J77" si="1">IF(I46&lt;&gt;"",0,G46)</f>
        <v>75422.81</v>
      </c>
    </row>
    <row r="47" spans="1:10" ht="15" customHeight="1">
      <c r="B47" s="160" t="s">
        <v>1094</v>
      </c>
      <c r="C47" s="147" t="s">
        <v>371</v>
      </c>
      <c r="D47" s="147" t="s">
        <v>298</v>
      </c>
      <c r="E47" s="146">
        <v>1001003002</v>
      </c>
      <c r="F47" s="147" t="str">
        <f>_xlfn.XLOOKUP(E47,'Detalhamento - G200'!A:A,'Detalhamento - G200'!B:B,0)</f>
        <v>SUPERESTRUTURA GALPÃO</v>
      </c>
      <c r="G47" s="154">
        <v>4702.62</v>
      </c>
      <c r="H47" s="147" t="s">
        <v>226</v>
      </c>
      <c r="I47" s="147"/>
      <c r="J47" s="154">
        <f t="shared" si="1"/>
        <v>4702.62</v>
      </c>
    </row>
    <row r="48" spans="1:10" ht="15" customHeight="1">
      <c r="B48" s="160" t="s">
        <v>1094</v>
      </c>
      <c r="C48" s="147" t="s">
        <v>371</v>
      </c>
      <c r="D48" s="147" t="s">
        <v>298</v>
      </c>
      <c r="E48" s="146">
        <v>1001003006</v>
      </c>
      <c r="F48" s="147" t="str">
        <f>_xlfn.XLOOKUP(E48,'Detalhamento - G200'!A:A,'Detalhamento - G200'!B:B,0)</f>
        <v>IMPERMEABILIZAÇÃO</v>
      </c>
      <c r="G48" s="154">
        <v>16640.04</v>
      </c>
      <c r="H48" s="147" t="s">
        <v>226</v>
      </c>
      <c r="I48" s="147"/>
      <c r="J48" s="154">
        <f t="shared" si="1"/>
        <v>16640.04</v>
      </c>
    </row>
    <row r="49" spans="2:10" ht="15" customHeight="1">
      <c r="B49" s="160" t="s">
        <v>1094</v>
      </c>
      <c r="C49" s="147" t="s">
        <v>371</v>
      </c>
      <c r="D49" s="147" t="s">
        <v>298</v>
      </c>
      <c r="E49" s="146">
        <v>1001004002</v>
      </c>
      <c r="F49" s="147" t="str">
        <f>_xlfn.XLOOKUP(E49,'Detalhamento - G200'!A:A,'Detalhamento - G200'!B:B,0)</f>
        <v>APOIO (VESTIÁRIO + REFEITÓRIO)</v>
      </c>
      <c r="G49" s="154">
        <v>261538.08</v>
      </c>
      <c r="H49" s="147" t="s">
        <v>226</v>
      </c>
      <c r="I49" s="147"/>
      <c r="J49" s="154">
        <f t="shared" si="1"/>
        <v>261538.08</v>
      </c>
    </row>
    <row r="50" spans="2:10" ht="15" customHeight="1">
      <c r="B50" s="160" t="s">
        <v>1094</v>
      </c>
      <c r="C50" s="147" t="s">
        <v>371</v>
      </c>
      <c r="D50" s="147" t="s">
        <v>298</v>
      </c>
      <c r="E50" s="146">
        <v>1001004005</v>
      </c>
      <c r="F50" s="147" t="str">
        <f>_xlfn.XLOOKUP(E50,'Detalhamento - G200'!A:A,'Detalhamento - G200'!B:B,0)</f>
        <v>UTILIDADES</v>
      </c>
      <c r="G50" s="154">
        <v>26768.77</v>
      </c>
      <c r="H50" s="147" t="s">
        <v>226</v>
      </c>
      <c r="I50" s="147"/>
      <c r="J50" s="154">
        <f t="shared" si="1"/>
        <v>26768.77</v>
      </c>
    </row>
    <row r="51" spans="2:10" ht="15" customHeight="1">
      <c r="B51" s="160" t="s">
        <v>1094</v>
      </c>
      <c r="C51" s="147" t="s">
        <v>371</v>
      </c>
      <c r="D51" s="147" t="s">
        <v>298</v>
      </c>
      <c r="E51" s="146">
        <v>1001004006</v>
      </c>
      <c r="F51" s="147" t="str">
        <f>_xlfn.XLOOKUP(E51,'Detalhamento - G200'!A:A,'Detalhamento - G200'!B:B,0)</f>
        <v>SANITÁRIOS EXTERNOS AO GALPÃO</v>
      </c>
      <c r="G51" s="154">
        <v>189009.19</v>
      </c>
      <c r="H51" s="147" t="s">
        <v>226</v>
      </c>
      <c r="I51" s="147"/>
      <c r="J51" s="154">
        <f t="shared" si="1"/>
        <v>189009.19</v>
      </c>
    </row>
    <row r="52" spans="2:10" ht="15" customHeight="1">
      <c r="B52" s="160" t="s">
        <v>1094</v>
      </c>
      <c r="C52" s="147" t="s">
        <v>371</v>
      </c>
      <c r="D52" s="147" t="s">
        <v>298</v>
      </c>
      <c r="E52" s="146">
        <v>1001006006</v>
      </c>
      <c r="F52" s="147" t="str">
        <f>_xlfn.XLOOKUP(E52,'Detalhamento - G200'!A:A,'Detalhamento - G200'!B:B,0)</f>
        <v>ETE</v>
      </c>
      <c r="G52" s="154">
        <v>18991.349999999999</v>
      </c>
      <c r="H52" s="147" t="s">
        <v>226</v>
      </c>
      <c r="I52" s="147"/>
      <c r="J52" s="154">
        <f t="shared" si="1"/>
        <v>18991.349999999999</v>
      </c>
    </row>
    <row r="53" spans="2:10" ht="15" customHeight="1">
      <c r="B53" s="160" t="s">
        <v>1094</v>
      </c>
      <c r="C53" s="147" t="s">
        <v>371</v>
      </c>
      <c r="D53" s="147" t="s">
        <v>298</v>
      </c>
      <c r="E53" s="146">
        <v>1002002001</v>
      </c>
      <c r="F53" s="147" t="str">
        <f>_xlfn.XLOOKUP(E53,'Detalhamento - G200'!A:A,'Detalhamento - G200'!B:B,0)</f>
        <v>FUNDAÇÃO</v>
      </c>
      <c r="G53" s="154">
        <v>65113.21</v>
      </c>
      <c r="H53" s="147" t="s">
        <v>226</v>
      </c>
      <c r="I53" s="147"/>
      <c r="J53" s="154">
        <f t="shared" si="1"/>
        <v>65113.21</v>
      </c>
    </row>
    <row r="54" spans="2:10" ht="15" customHeight="1">
      <c r="B54" s="160" t="s">
        <v>1094</v>
      </c>
      <c r="C54" s="147" t="s">
        <v>371</v>
      </c>
      <c r="D54" s="147" t="s">
        <v>298</v>
      </c>
      <c r="E54" s="146">
        <v>2001024001</v>
      </c>
      <c r="F54" s="147" t="str">
        <f>_xlfn.XLOOKUP(E54,'Detalhamento - G200'!A:A,'Detalhamento - G200'!B:B,0)</f>
        <v>ALIMENTAÇÃO</v>
      </c>
      <c r="G54" s="154">
        <v>807042.12</v>
      </c>
      <c r="H54" s="147" t="s">
        <v>226</v>
      </c>
      <c r="I54" s="147"/>
      <c r="J54" s="154">
        <f t="shared" si="1"/>
        <v>807042.12</v>
      </c>
    </row>
    <row r="55" spans="2:10" ht="15" customHeight="1">
      <c r="B55" s="160" t="s">
        <v>1095</v>
      </c>
      <c r="C55" s="147" t="s">
        <v>372</v>
      </c>
      <c r="D55" s="147" t="s">
        <v>373</v>
      </c>
      <c r="E55" s="146">
        <v>2001002001</v>
      </c>
      <c r="F55" s="147" t="str">
        <f>_xlfn.XLOOKUP(E55,'Detalhamento - G200'!A:A,'Detalhamento - G200'!B:B,0)</f>
        <v>SEGURANÇA PATRIMONIAL - VIGILÂNCIA</v>
      </c>
      <c r="G55" s="154">
        <v>1304518.18</v>
      </c>
      <c r="H55" s="147" t="s">
        <v>120</v>
      </c>
      <c r="I55" s="147"/>
      <c r="J55" s="154">
        <f t="shared" si="1"/>
        <v>1304518.18</v>
      </c>
    </row>
    <row r="56" spans="2:10" ht="15" customHeight="1">
      <c r="B56" s="160" t="s">
        <v>1096</v>
      </c>
      <c r="C56" s="147" t="s">
        <v>374</v>
      </c>
      <c r="D56" s="147" t="s">
        <v>375</v>
      </c>
      <c r="E56" s="146">
        <v>2001002002</v>
      </c>
      <c r="F56" s="147" t="str">
        <f>_xlfn.XLOOKUP(E56,'Detalhamento - G200'!A:A,'Detalhamento - G200'!B:B,0)</f>
        <v>MONITORAMENTO TIME LAPSE</v>
      </c>
      <c r="G56" s="154">
        <v>32200</v>
      </c>
      <c r="H56" s="147" t="s">
        <v>376</v>
      </c>
      <c r="I56" s="147"/>
      <c r="J56" s="154">
        <f t="shared" si="1"/>
        <v>32200</v>
      </c>
    </row>
    <row r="57" spans="2:10" ht="15" customHeight="1">
      <c r="B57" s="160" t="s">
        <v>1097</v>
      </c>
      <c r="C57" s="147" t="s">
        <v>377</v>
      </c>
      <c r="D57" s="147" t="s">
        <v>378</v>
      </c>
      <c r="E57" s="146">
        <v>2001024010</v>
      </c>
      <c r="F57" s="147" t="str">
        <f>_xlfn.XLOOKUP(E57,'Detalhamento - G200'!A:A,'Detalhamento - G200'!B:B,0)</f>
        <v>RÁDIO</v>
      </c>
      <c r="G57" s="154">
        <v>43750</v>
      </c>
      <c r="H57" s="147" t="s">
        <v>379</v>
      </c>
      <c r="I57" s="147"/>
      <c r="J57" s="154">
        <f t="shared" si="1"/>
        <v>43750</v>
      </c>
    </row>
    <row r="58" spans="2:10" ht="15" customHeight="1">
      <c r="B58" s="160" t="s">
        <v>1098</v>
      </c>
      <c r="C58" s="147" t="s">
        <v>380</v>
      </c>
      <c r="D58" s="147" t="s">
        <v>381</v>
      </c>
      <c r="E58" s="146">
        <v>2001006001</v>
      </c>
      <c r="F58" s="147" t="str">
        <f>_xlfn.XLOOKUP(E58,'Detalhamento - G200'!A:A,'Detalhamento - G200'!B:B,0)</f>
        <v>DESCARTE DOS RESÍDUOS</v>
      </c>
      <c r="G58" s="154">
        <v>163230</v>
      </c>
      <c r="H58" s="147" t="s">
        <v>382</v>
      </c>
      <c r="I58" s="147"/>
      <c r="J58" s="154">
        <f t="shared" si="1"/>
        <v>163230</v>
      </c>
    </row>
    <row r="59" spans="2:10" ht="15" customHeight="1">
      <c r="B59" s="160" t="s">
        <v>1099</v>
      </c>
      <c r="C59" s="147" t="s">
        <v>383</v>
      </c>
      <c r="D59" s="147" t="s">
        <v>311</v>
      </c>
      <c r="E59" s="146">
        <v>1001006006</v>
      </c>
      <c r="F59" s="147" t="str">
        <f>_xlfn.XLOOKUP(E59,'Detalhamento - G200'!A:A,'Detalhamento - G200'!B:B,0)</f>
        <v>ETE</v>
      </c>
      <c r="G59" s="154">
        <v>1278000</v>
      </c>
      <c r="H59" s="147" t="s">
        <v>384</v>
      </c>
      <c r="I59" s="147"/>
      <c r="J59" s="154">
        <f t="shared" si="1"/>
        <v>1278000</v>
      </c>
    </row>
    <row r="60" spans="2:10" ht="15" customHeight="1">
      <c r="B60" s="160" t="s">
        <v>1100</v>
      </c>
      <c r="C60" s="147" t="s">
        <v>385</v>
      </c>
      <c r="D60" s="147" t="s">
        <v>386</v>
      </c>
      <c r="E60" s="146">
        <v>2001007003</v>
      </c>
      <c r="F60" s="147" t="str">
        <f>_xlfn.XLOOKUP(E60,'Detalhamento - G200'!A:A,'Detalhamento - G200'!B:B,0)</f>
        <v>INTERNET LINK DEDICADO 100MBP</v>
      </c>
      <c r="G60" s="154">
        <v>11200</v>
      </c>
      <c r="H60" s="147" t="s">
        <v>387</v>
      </c>
      <c r="I60" s="147"/>
      <c r="J60" s="154">
        <f t="shared" si="1"/>
        <v>11200</v>
      </c>
    </row>
    <row r="61" spans="2:10" ht="15" customHeight="1">
      <c r="B61" s="160" t="s">
        <v>1101</v>
      </c>
      <c r="C61" s="147" t="s">
        <v>388</v>
      </c>
      <c r="D61" s="147" t="s">
        <v>389</v>
      </c>
      <c r="E61" s="146">
        <v>1001002003</v>
      </c>
      <c r="F61" s="147" t="str">
        <f>_xlfn.XLOOKUP(E61,'Detalhamento - G200'!A:A,'Detalhamento - G200'!B:B,0)</f>
        <v>MOVIMENTAÇÃO DE TERRA</v>
      </c>
      <c r="G61" s="154">
        <v>7772.5954637806653</v>
      </c>
      <c r="H61" s="147" t="s">
        <v>390</v>
      </c>
      <c r="I61" s="147"/>
      <c r="J61" s="154">
        <f t="shared" si="1"/>
        <v>7772.5954637806653</v>
      </c>
    </row>
    <row r="62" spans="2:10" ht="15" customHeight="1">
      <c r="B62" s="160" t="s">
        <v>1101</v>
      </c>
      <c r="C62" s="147" t="s">
        <v>388</v>
      </c>
      <c r="D62" s="147" t="s">
        <v>389</v>
      </c>
      <c r="E62" s="146">
        <v>1001002006</v>
      </c>
      <c r="F62" s="147" t="str">
        <f>_xlfn.XLOOKUP(E62,'Detalhamento - G200'!A:A,'Detalhamento - G200'!B:B,0)</f>
        <v>CONTENÇÕES</v>
      </c>
      <c r="G62" s="154">
        <v>116584.04697239205</v>
      </c>
      <c r="H62" s="147" t="s">
        <v>390</v>
      </c>
      <c r="I62" s="147"/>
      <c r="J62" s="154">
        <f t="shared" si="1"/>
        <v>116584.04697239205</v>
      </c>
    </row>
    <row r="63" spans="2:10" ht="15" customHeight="1">
      <c r="B63" s="160" t="s">
        <v>1101</v>
      </c>
      <c r="C63" s="147" t="s">
        <v>388</v>
      </c>
      <c r="D63" s="147" t="s">
        <v>389</v>
      </c>
      <c r="E63" s="146">
        <v>1001002008</v>
      </c>
      <c r="F63" s="147" t="str">
        <f>_xlfn.XLOOKUP(E63,'Detalhamento - G200'!A:A,'Detalhamento - G200'!B:B,0)</f>
        <v>DRENAGEM</v>
      </c>
      <c r="G63" s="154">
        <v>155921.51301173406</v>
      </c>
      <c r="H63" s="147" t="s">
        <v>390</v>
      </c>
      <c r="I63" s="147"/>
      <c r="J63" s="154">
        <f t="shared" si="1"/>
        <v>155921.51301173406</v>
      </c>
    </row>
    <row r="64" spans="2:10" ht="15" customHeight="1">
      <c r="B64" s="160" t="s">
        <v>1101</v>
      </c>
      <c r="C64" s="147" t="s">
        <v>388</v>
      </c>
      <c r="D64" s="147" t="s">
        <v>389</v>
      </c>
      <c r="E64" s="146">
        <v>1001003001</v>
      </c>
      <c r="F64" s="147" t="str">
        <f>_xlfn.XLOOKUP(E64,'Detalhamento - G200'!A:A,'Detalhamento - G200'!B:B,0)</f>
        <v>FUNDAÇÃO GALPÃO</v>
      </c>
      <c r="G64" s="154">
        <v>61515.10944526019</v>
      </c>
      <c r="H64" s="147" t="s">
        <v>390</v>
      </c>
      <c r="I64" s="147"/>
      <c r="J64" s="154">
        <f t="shared" si="1"/>
        <v>61515.10944526019</v>
      </c>
    </row>
    <row r="65" spans="2:10" ht="15" customHeight="1">
      <c r="B65" s="160" t="s">
        <v>1101</v>
      </c>
      <c r="C65" s="147" t="s">
        <v>388</v>
      </c>
      <c r="D65" s="147" t="s">
        <v>389</v>
      </c>
      <c r="E65" s="146">
        <v>1001003002</v>
      </c>
      <c r="F65" s="147" t="str">
        <f>_xlfn.XLOOKUP(E65,'Detalhamento - G200'!A:A,'Detalhamento - G200'!B:B,0)</f>
        <v>SUPERESTRUTURA GALPÃO</v>
      </c>
      <c r="G65" s="154">
        <v>3884.157713813313</v>
      </c>
      <c r="H65" s="147" t="s">
        <v>390</v>
      </c>
      <c r="I65" s="147"/>
      <c r="J65" s="154">
        <f t="shared" si="1"/>
        <v>3884.157713813313</v>
      </c>
    </row>
    <row r="66" spans="2:10" ht="15" customHeight="1">
      <c r="B66" s="160" t="s">
        <v>1101</v>
      </c>
      <c r="C66" s="147" t="s">
        <v>388</v>
      </c>
      <c r="D66" s="147" t="s">
        <v>389</v>
      </c>
      <c r="E66" s="146">
        <v>1001003006</v>
      </c>
      <c r="F66" s="147" t="str">
        <f>_xlfn.XLOOKUP(E66,'Detalhamento - G200'!A:A,'Detalhamento - G200'!B:B,0)</f>
        <v>IMPERMEABILIZAÇÃO</v>
      </c>
      <c r="G66" s="154">
        <v>13601.323051070978</v>
      </c>
      <c r="H66" s="147" t="s">
        <v>390</v>
      </c>
      <c r="I66" s="147"/>
      <c r="J66" s="154">
        <f t="shared" si="1"/>
        <v>13601.323051070978</v>
      </c>
    </row>
    <row r="67" spans="2:10" ht="15" customHeight="1">
      <c r="B67" s="160" t="s">
        <v>1101</v>
      </c>
      <c r="C67" s="147" t="s">
        <v>388</v>
      </c>
      <c r="D67" s="147" t="s">
        <v>389</v>
      </c>
      <c r="E67" s="146">
        <v>1001004002</v>
      </c>
      <c r="F67" s="147" t="str">
        <f>_xlfn.XLOOKUP(E67,'Detalhamento - G200'!A:A,'Detalhamento - G200'!B:B,0)</f>
        <v>APOIO (VESTIÁRIO + REFEITÓRIO)</v>
      </c>
      <c r="G67" s="154">
        <v>213519.55883577908</v>
      </c>
      <c r="H67" s="147" t="s">
        <v>390</v>
      </c>
      <c r="I67" s="147"/>
      <c r="J67" s="154">
        <f t="shared" si="1"/>
        <v>213519.55883577908</v>
      </c>
    </row>
    <row r="68" spans="2:10" ht="15" customHeight="1">
      <c r="B68" s="160" t="s">
        <v>1101</v>
      </c>
      <c r="C68" s="147" t="s">
        <v>388</v>
      </c>
      <c r="D68" s="147" t="s">
        <v>389</v>
      </c>
      <c r="E68" s="146">
        <v>1001004005</v>
      </c>
      <c r="F68" s="147" t="str">
        <f>_xlfn.XLOOKUP(E68,'Detalhamento - G200'!A:A,'Detalhamento - G200'!B:B,0)</f>
        <v>UTILIDADES</v>
      </c>
      <c r="G68" s="154">
        <v>21786.204414272102</v>
      </c>
      <c r="H68" s="147" t="s">
        <v>390</v>
      </c>
      <c r="I68" s="147"/>
      <c r="J68" s="154">
        <f t="shared" si="1"/>
        <v>21786.204414272102</v>
      </c>
    </row>
    <row r="69" spans="2:10" ht="15" customHeight="1">
      <c r="B69" s="160" t="s">
        <v>1101</v>
      </c>
      <c r="C69" s="147" t="s">
        <v>388</v>
      </c>
      <c r="D69" s="147" t="s">
        <v>389</v>
      </c>
      <c r="E69" s="146">
        <v>1001004006</v>
      </c>
      <c r="F69" s="147" t="str">
        <f>_xlfn.XLOOKUP(E69,'Detalhamento - G200'!A:A,'Detalhamento - G200'!B:B,0)</f>
        <v>SANITÁRIOS EXTERNOS AO GALPÃO</v>
      </c>
      <c r="G69" s="154">
        <v>154189.14059650488</v>
      </c>
      <c r="H69" s="147" t="s">
        <v>390</v>
      </c>
      <c r="I69" s="147"/>
      <c r="J69" s="154">
        <f t="shared" si="1"/>
        <v>154189.14059650488</v>
      </c>
    </row>
    <row r="70" spans="2:10" ht="15" customHeight="1">
      <c r="B70" s="160" t="s">
        <v>1101</v>
      </c>
      <c r="C70" s="147" t="s">
        <v>388</v>
      </c>
      <c r="D70" s="147" t="s">
        <v>389</v>
      </c>
      <c r="E70" s="146">
        <v>1001006006</v>
      </c>
      <c r="F70" s="147" t="str">
        <f>_xlfn.XLOOKUP(E70,'Detalhamento - G200'!A:A,'Detalhamento - G200'!B:B,0)</f>
        <v>ETE</v>
      </c>
      <c r="G70" s="154">
        <v>15545.121927609249</v>
      </c>
      <c r="H70" s="147" t="s">
        <v>390</v>
      </c>
      <c r="I70" s="147"/>
      <c r="J70" s="154">
        <f t="shared" si="1"/>
        <v>15545.121927609249</v>
      </c>
    </row>
    <row r="71" spans="2:10" ht="15" customHeight="1">
      <c r="B71" s="160" t="s">
        <v>1101</v>
      </c>
      <c r="C71" s="147" t="s">
        <v>388</v>
      </c>
      <c r="D71" s="147" t="s">
        <v>389</v>
      </c>
      <c r="E71" s="146">
        <v>1002002001</v>
      </c>
      <c r="F71" s="147" t="str">
        <f>_xlfn.XLOOKUP(E71,'Detalhamento - G200'!A:A,'Detalhamento - G200'!B:B,0)</f>
        <v>FUNDAÇÃO</v>
      </c>
      <c r="G71" s="154">
        <v>53186.799468458485</v>
      </c>
      <c r="H71" s="147" t="s">
        <v>390</v>
      </c>
      <c r="I71" s="147"/>
      <c r="J71" s="154">
        <f t="shared" si="1"/>
        <v>53186.799468458485</v>
      </c>
    </row>
    <row r="72" spans="2:10" ht="15" customHeight="1">
      <c r="B72" s="160" t="s">
        <v>1101</v>
      </c>
      <c r="C72" s="147" t="s">
        <v>388</v>
      </c>
      <c r="D72" s="147" t="s">
        <v>389</v>
      </c>
      <c r="E72" s="146">
        <v>2001003001</v>
      </c>
      <c r="F72" s="147" t="str">
        <f>_xlfn.XLOOKUP(E72,'Detalhamento - G200'!A:A,'Detalhamento - G200'!B:B,0)</f>
        <v>TRANSPORTE SSA-LSF</v>
      </c>
      <c r="G72" s="154">
        <v>1078254.4290993251</v>
      </c>
      <c r="H72" s="147" t="s">
        <v>390</v>
      </c>
      <c r="I72" s="147"/>
      <c r="J72" s="154">
        <f t="shared" si="1"/>
        <v>1078254.4290993251</v>
      </c>
    </row>
    <row r="73" spans="2:10" ht="15" customHeight="1">
      <c r="B73" s="160" t="s">
        <v>1102</v>
      </c>
      <c r="C73" s="147" t="s">
        <v>595</v>
      </c>
      <c r="D73" s="147" t="s">
        <v>596</v>
      </c>
      <c r="E73" s="146">
        <v>1001003011</v>
      </c>
      <c r="F73" s="147" t="str">
        <f>_xlfn.XLOOKUP(E73,'Detalhamento - G200'!A:A,'Detalhamento - G200'!B:B,0)</f>
        <v>EQUIPAMENTOS GALPÃO</v>
      </c>
      <c r="G73" s="154">
        <v>2149410</v>
      </c>
      <c r="H73" s="147" t="s">
        <v>597</v>
      </c>
      <c r="I73" s="147"/>
      <c r="J73" s="154">
        <f t="shared" si="1"/>
        <v>2149410</v>
      </c>
    </row>
    <row r="74" spans="2:10" ht="15" customHeight="1">
      <c r="B74" s="160" t="s">
        <v>1102</v>
      </c>
      <c r="C74" s="147" t="s">
        <v>595</v>
      </c>
      <c r="D74" s="147" t="s">
        <v>596</v>
      </c>
      <c r="E74" s="146">
        <v>1001003005</v>
      </c>
      <c r="F74" s="147" t="str">
        <f>_xlfn.XLOOKUP(E74,'Detalhamento - G200'!A:A,'Detalhamento - G200'!B:B,0)</f>
        <v>ESQUADRIAS E CAIXILHOS</v>
      </c>
      <c r="G74" s="154">
        <v>1450590</v>
      </c>
      <c r="H74" s="147" t="s">
        <v>597</v>
      </c>
      <c r="I74" s="147"/>
      <c r="J74" s="154">
        <f t="shared" si="1"/>
        <v>1450590</v>
      </c>
    </row>
    <row r="75" spans="2:10" ht="15" customHeight="1">
      <c r="B75" s="160" t="s">
        <v>1103</v>
      </c>
      <c r="C75" s="147" t="s">
        <v>766</v>
      </c>
      <c r="D75" s="147" t="s">
        <v>750</v>
      </c>
      <c r="E75" s="146">
        <v>1001003003</v>
      </c>
      <c r="F75" s="147" t="str">
        <f>_xlfn.XLOOKUP(E75,'Detalhamento - G200'!A:A,'Detalhamento - G200'!B:B,0)</f>
        <v>COBERTURA E FECHAMENTO METALICO</v>
      </c>
      <c r="G75" s="154">
        <v>39251593.840000004</v>
      </c>
      <c r="H75" s="147" t="s">
        <v>767</v>
      </c>
      <c r="I75" s="147"/>
      <c r="J75" s="154">
        <f t="shared" si="1"/>
        <v>39251593.840000004</v>
      </c>
    </row>
    <row r="76" spans="2:10" ht="15" customHeight="1">
      <c r="B76" s="160" t="s">
        <v>1103</v>
      </c>
      <c r="C76" s="147" t="s">
        <v>766</v>
      </c>
      <c r="D76" s="147" t="s">
        <v>750</v>
      </c>
      <c r="E76" s="146">
        <v>1001003010</v>
      </c>
      <c r="F76" s="147" t="str">
        <f>_xlfn.XLOOKUP(E76,'Detalhamento - G200'!A:A,'Detalhamento - G200'!B:B,0)</f>
        <v>SERRALHERIA GALPÃO</v>
      </c>
      <c r="G76" s="154">
        <v>33416.949999999997</v>
      </c>
      <c r="H76" s="147" t="s">
        <v>767</v>
      </c>
      <c r="I76" s="147"/>
      <c r="J76" s="154">
        <f t="shared" si="1"/>
        <v>33416.949999999997</v>
      </c>
    </row>
    <row r="77" spans="2:10" ht="15" customHeight="1">
      <c r="B77" s="160" t="s">
        <v>1103</v>
      </c>
      <c r="C77" s="147" t="s">
        <v>766</v>
      </c>
      <c r="D77" s="147" t="s">
        <v>750</v>
      </c>
      <c r="E77" s="146">
        <v>1001004001</v>
      </c>
      <c r="F77" s="147" t="str">
        <f>_xlfn.XLOOKUP(E77,'Detalhamento - G200'!A:A,'Detalhamento - G200'!B:B,0)</f>
        <v>PORTARIA / COBERTURA DA ECLUSA</v>
      </c>
      <c r="G77" s="154">
        <v>952829.26</v>
      </c>
      <c r="H77" s="147" t="s">
        <v>767</v>
      </c>
      <c r="I77" s="147"/>
      <c r="J77" s="154">
        <f t="shared" si="1"/>
        <v>952829.26</v>
      </c>
    </row>
    <row r="78" spans="2:10" ht="15" customHeight="1">
      <c r="B78" s="160" t="s">
        <v>1103</v>
      </c>
      <c r="C78" s="147" t="s">
        <v>766</v>
      </c>
      <c r="D78" s="147" t="s">
        <v>750</v>
      </c>
      <c r="E78" s="146">
        <v>1001004002</v>
      </c>
      <c r="F78" s="147" t="str">
        <f>_xlfn.XLOOKUP(E78,'Detalhamento - G200'!A:A,'Detalhamento - G200'!B:B,0)</f>
        <v>APOIO (VESTIÁRIO + REFEITÓRIO)</v>
      </c>
      <c r="G78" s="154">
        <v>1310972.5</v>
      </c>
      <c r="H78" s="147" t="s">
        <v>767</v>
      </c>
      <c r="I78" s="147"/>
      <c r="J78" s="154">
        <f t="shared" ref="J78:J109" si="2">IF(I78&lt;&gt;"",0,G78)</f>
        <v>1310972.5</v>
      </c>
    </row>
    <row r="79" spans="2:10" ht="15" customHeight="1">
      <c r="B79" s="160" t="s">
        <v>1103</v>
      </c>
      <c r="C79" s="147" t="s">
        <v>766</v>
      </c>
      <c r="D79" s="147" t="s">
        <v>750</v>
      </c>
      <c r="E79" s="146">
        <v>1001004007</v>
      </c>
      <c r="F79" s="147" t="str">
        <f>_xlfn.XLOOKUP(E79,'Detalhamento - G200'!A:A,'Detalhamento - G200'!B:B,0)</f>
        <v>PASSARELA DE PEDESTRES / COBERTURA DE ESTACIONAMENTO</v>
      </c>
      <c r="G79" s="154">
        <v>1279986.6100000001</v>
      </c>
      <c r="H79" s="147" t="s">
        <v>767</v>
      </c>
      <c r="I79" s="147"/>
      <c r="J79" s="154">
        <f t="shared" si="2"/>
        <v>1279986.6100000001</v>
      </c>
    </row>
    <row r="80" spans="2:10" ht="15" customHeight="1">
      <c r="B80" s="160" t="s">
        <v>1103</v>
      </c>
      <c r="C80" s="147" t="s">
        <v>766</v>
      </c>
      <c r="D80" s="147" t="s">
        <v>750</v>
      </c>
      <c r="E80" s="146">
        <v>1001004010</v>
      </c>
      <c r="F80" s="147" t="str">
        <f>_xlfn.XLOOKUP(E80,'Detalhamento - G200'!A:A,'Detalhamento - G200'!B:B,0)</f>
        <v>ÁREA DE LAZER</v>
      </c>
      <c r="G80" s="154">
        <v>523992.73</v>
      </c>
      <c r="H80" s="147" t="s">
        <v>767</v>
      </c>
      <c r="I80" s="147"/>
      <c r="J80" s="154">
        <f t="shared" si="2"/>
        <v>523992.73</v>
      </c>
    </row>
    <row r="81" spans="1:10" ht="15" customHeight="1">
      <c r="B81" s="160" t="s">
        <v>1103</v>
      </c>
      <c r="C81" s="147" t="s">
        <v>766</v>
      </c>
      <c r="D81" s="147" t="s">
        <v>750</v>
      </c>
      <c r="E81" s="146">
        <v>1003005001</v>
      </c>
      <c r="F81" s="147" t="str">
        <f>_xlfn.XLOOKUP(E81,'Detalhamento - G200'!A:A,'Detalhamento - G200'!B:B,0)</f>
        <v>SERVIÇO CIVIL</v>
      </c>
      <c r="G81" s="154">
        <v>1566748.3</v>
      </c>
      <c r="H81" s="147" t="s">
        <v>767</v>
      </c>
      <c r="I81" s="147"/>
      <c r="J81" s="154">
        <f t="shared" si="2"/>
        <v>1566748.3</v>
      </c>
    </row>
    <row r="82" spans="1:10" ht="15" customHeight="1">
      <c r="B82" s="160" t="s">
        <v>1103</v>
      </c>
      <c r="C82" s="147" t="s">
        <v>766</v>
      </c>
      <c r="D82" s="147" t="s">
        <v>750</v>
      </c>
      <c r="E82" s="146">
        <v>1004002006</v>
      </c>
      <c r="F82" s="147" t="str">
        <f>_xlfn.XLOOKUP(E82,'Detalhamento - G200'!A:A,'Detalhamento - G200'!B:B,0)</f>
        <v>PASSARELAS DE PEDESTRE/ÔNIBUS - TESTEIRA RAL 5022</v>
      </c>
      <c r="G82" s="154">
        <v>74630.86</v>
      </c>
      <c r="H82" s="147" t="s">
        <v>767</v>
      </c>
      <c r="I82" s="147"/>
      <c r="J82" s="154">
        <f t="shared" si="2"/>
        <v>74630.86</v>
      </c>
    </row>
    <row r="83" spans="1:10" ht="15" customHeight="1">
      <c r="B83" s="160" t="s">
        <v>1103</v>
      </c>
      <c r="C83" s="147" t="s">
        <v>766</v>
      </c>
      <c r="D83" s="147" t="s">
        <v>750</v>
      </c>
      <c r="E83" s="146">
        <v>1004002007</v>
      </c>
      <c r="F83" s="147" t="str">
        <f>_xlfn.XLOOKUP(E83,'Detalhamento - G200'!A:A,'Detalhamento - G200'!B:B,0)</f>
        <v>PASSARELAS DE PEDESTRE/ÔNIBUS - CALHA</v>
      </c>
      <c r="G83" s="154">
        <v>74630.86</v>
      </c>
      <c r="H83" s="147" t="s">
        <v>767</v>
      </c>
      <c r="I83" s="147"/>
      <c r="J83" s="154">
        <f t="shared" si="2"/>
        <v>74630.86</v>
      </c>
    </row>
    <row r="84" spans="1:10" s="169" customFormat="1" ht="15" customHeight="1">
      <c r="A84" s="168"/>
      <c r="B84" s="168" t="s">
        <v>1104</v>
      </c>
      <c r="C84" s="147" t="s">
        <v>764</v>
      </c>
      <c r="D84" s="147" t="s">
        <v>749</v>
      </c>
      <c r="E84" s="146">
        <v>1001003001</v>
      </c>
      <c r="F84" s="147" t="str">
        <f>_xlfn.XLOOKUP(E84,'Detalhamento - G200'!A:A,'Detalhamento - G200'!B:B,0)</f>
        <v>FUNDAÇÃO GALPÃO</v>
      </c>
      <c r="G84" s="154">
        <v>7573751.9210000001</v>
      </c>
      <c r="H84" s="147" t="s">
        <v>849</v>
      </c>
      <c r="I84" s="147"/>
      <c r="J84" s="154">
        <f t="shared" si="2"/>
        <v>7573751.9210000001</v>
      </c>
    </row>
    <row r="85" spans="1:10" s="169" customFormat="1" ht="15" customHeight="1">
      <c r="A85" s="168"/>
      <c r="B85" s="168" t="s">
        <v>1104</v>
      </c>
      <c r="C85" s="147" t="s">
        <v>764</v>
      </c>
      <c r="D85" s="147" t="s">
        <v>749</v>
      </c>
      <c r="E85" s="146">
        <v>1001003002</v>
      </c>
      <c r="F85" s="147" t="str">
        <f>_xlfn.XLOOKUP(E85,'Detalhamento - G200'!A:A,'Detalhamento - G200'!B:B,0)</f>
        <v>SUPERESTRUTURA GALPÃO</v>
      </c>
      <c r="G85" s="154">
        <v>14391469.059214909</v>
      </c>
      <c r="H85" s="147" t="s">
        <v>849</v>
      </c>
      <c r="I85" s="147"/>
      <c r="J85" s="154">
        <f t="shared" si="2"/>
        <v>14391469.059214909</v>
      </c>
    </row>
    <row r="86" spans="1:10" s="169" customFormat="1" ht="15" customHeight="1">
      <c r="A86" s="168"/>
      <c r="B86" s="168" t="s">
        <v>1104</v>
      </c>
      <c r="C86" s="147" t="s">
        <v>764</v>
      </c>
      <c r="D86" s="147" t="s">
        <v>749</v>
      </c>
      <c r="E86" s="146">
        <v>1002002002</v>
      </c>
      <c r="F86" s="147" t="str">
        <f>_xlfn.XLOOKUP(E86,'Detalhamento - G200'!A:A,'Detalhamento - G200'!B:B,0)</f>
        <v>SUPERESTRUTURA</v>
      </c>
      <c r="G86" s="154">
        <v>58737884.669785097</v>
      </c>
      <c r="H86" s="147" t="s">
        <v>849</v>
      </c>
      <c r="I86" s="147"/>
      <c r="J86" s="154">
        <f t="shared" si="2"/>
        <v>58737884.669785097</v>
      </c>
    </row>
    <row r="87" spans="1:10" ht="15" customHeight="1">
      <c r="B87" s="160" t="s">
        <v>1105</v>
      </c>
      <c r="C87" s="147" t="s">
        <v>765</v>
      </c>
      <c r="D87" s="147" t="s">
        <v>751</v>
      </c>
      <c r="E87" s="146">
        <v>1001004001</v>
      </c>
      <c r="F87" s="147" t="str">
        <f>_xlfn.XLOOKUP(E87,'Detalhamento - G200'!A:A,'Detalhamento - G200'!B:B,0)</f>
        <v>PORTARIA / COBERTURA DA ECLUSA</v>
      </c>
      <c r="G87" s="154">
        <v>401813.96064752311</v>
      </c>
      <c r="H87" s="147" t="s">
        <v>768</v>
      </c>
      <c r="I87" s="147"/>
      <c r="J87" s="154">
        <f t="shared" si="2"/>
        <v>401813.96064752311</v>
      </c>
    </row>
    <row r="88" spans="1:10" ht="15" customHeight="1">
      <c r="B88" s="160" t="s">
        <v>1105</v>
      </c>
      <c r="C88" s="147" t="s">
        <v>765</v>
      </c>
      <c r="D88" s="147" t="s">
        <v>751</v>
      </c>
      <c r="E88" s="146">
        <v>1001004002</v>
      </c>
      <c r="F88" s="147" t="str">
        <f>_xlfn.XLOOKUP(E88,'Detalhamento - G200'!A:A,'Detalhamento - G200'!B:B,0)</f>
        <v>APOIO (VESTIÁRIO + REFEITÓRIO)</v>
      </c>
      <c r="G88" s="154">
        <v>753017.33791485813</v>
      </c>
      <c r="H88" s="147" t="s">
        <v>768</v>
      </c>
      <c r="I88" s="147"/>
      <c r="J88" s="154">
        <f t="shared" si="2"/>
        <v>753017.33791485813</v>
      </c>
    </row>
    <row r="89" spans="1:10" ht="15" customHeight="1">
      <c r="B89" s="160" t="s">
        <v>1105</v>
      </c>
      <c r="C89" s="147" t="s">
        <v>765</v>
      </c>
      <c r="D89" s="147" t="s">
        <v>751</v>
      </c>
      <c r="E89" s="146">
        <v>1001004005</v>
      </c>
      <c r="F89" s="147" t="str">
        <f>_xlfn.XLOOKUP(E89,'Detalhamento - G200'!A:A,'Detalhamento - G200'!B:B,0)</f>
        <v>UTILIDADES</v>
      </c>
      <c r="G89" s="154">
        <v>104926.93097639485</v>
      </c>
      <c r="H89" s="147" t="s">
        <v>768</v>
      </c>
      <c r="I89" s="147"/>
      <c r="J89" s="154">
        <f t="shared" si="2"/>
        <v>104926.93097639485</v>
      </c>
    </row>
    <row r="90" spans="1:10" ht="15" customHeight="1">
      <c r="B90" s="160" t="s">
        <v>1105</v>
      </c>
      <c r="C90" s="147" t="s">
        <v>765</v>
      </c>
      <c r="D90" s="147" t="s">
        <v>751</v>
      </c>
      <c r="E90" s="146">
        <v>1001004006</v>
      </c>
      <c r="F90" s="147" t="str">
        <f>_xlfn.XLOOKUP(E90,'Detalhamento - G200'!A:A,'Detalhamento - G200'!B:B,0)</f>
        <v>SANITÁRIOS EXTERNOS AO GALPÃO</v>
      </c>
      <c r="G90" s="154">
        <v>296887.0296711282</v>
      </c>
      <c r="H90" s="147" t="s">
        <v>768</v>
      </c>
      <c r="I90" s="147"/>
      <c r="J90" s="154">
        <f t="shared" si="2"/>
        <v>296887.0296711282</v>
      </c>
    </row>
    <row r="91" spans="1:10" ht="15" customHeight="1">
      <c r="B91" s="160" t="s">
        <v>1105</v>
      </c>
      <c r="C91" s="147" t="s">
        <v>765</v>
      </c>
      <c r="D91" s="147" t="s">
        <v>751</v>
      </c>
      <c r="E91" s="146">
        <v>1001004007</v>
      </c>
      <c r="F91" s="147" t="str">
        <f>_xlfn.XLOOKUP(E91,'Detalhamento - G200'!A:A,'Detalhamento - G200'!B:B,0)</f>
        <v>PASSARELA DE PEDESTRES / COBERTURA DE ESTACIONAMENTO</v>
      </c>
      <c r="G91" s="154">
        <v>644384.64272244461</v>
      </c>
      <c r="H91" s="147" t="s">
        <v>768</v>
      </c>
      <c r="I91" s="147"/>
      <c r="J91" s="154">
        <f t="shared" si="2"/>
        <v>644384.64272244461</v>
      </c>
    </row>
    <row r="92" spans="1:10" ht="15" customHeight="1">
      <c r="B92" s="160" t="s">
        <v>1105</v>
      </c>
      <c r="C92" s="147" t="s">
        <v>765</v>
      </c>
      <c r="D92" s="147" t="s">
        <v>751</v>
      </c>
      <c r="E92" s="146">
        <v>1001004010</v>
      </c>
      <c r="F92" s="147" t="str">
        <f>_xlfn.XLOOKUP(E92,'Detalhamento - G200'!A:A,'Detalhamento - G200'!B:B,0)</f>
        <v>ÁREA DE LAZER</v>
      </c>
      <c r="G92" s="154">
        <v>301948.08800914703</v>
      </c>
      <c r="H92" s="147" t="s">
        <v>768</v>
      </c>
      <c r="I92" s="147"/>
      <c r="J92" s="154">
        <f t="shared" si="2"/>
        <v>301948.08800914703</v>
      </c>
    </row>
    <row r="93" spans="1:10" ht="15" customHeight="1">
      <c r="B93" s="160" t="s">
        <v>1105</v>
      </c>
      <c r="C93" s="147" t="s">
        <v>765</v>
      </c>
      <c r="D93" s="147" t="s">
        <v>751</v>
      </c>
      <c r="E93" s="146">
        <v>1001005001</v>
      </c>
      <c r="F93" s="147" t="str">
        <f>_xlfn.XLOOKUP(E93,'Detalhamento - G200'!A:A,'Detalhamento - G200'!B:B,0)</f>
        <v>ELETRICA, HIDRÁULICA E COMBATE A INCÊNDIO - MEP</v>
      </c>
      <c r="G93" s="154">
        <v>23128537.376591869</v>
      </c>
      <c r="H93" s="147" t="s">
        <v>768</v>
      </c>
      <c r="I93" s="147"/>
      <c r="J93" s="154">
        <f t="shared" si="2"/>
        <v>23128537.376591869</v>
      </c>
    </row>
    <row r="94" spans="1:10" ht="15" customHeight="1">
      <c r="B94" s="160" t="s">
        <v>1105</v>
      </c>
      <c r="C94" s="147" t="s">
        <v>765</v>
      </c>
      <c r="D94" s="147" t="s">
        <v>751</v>
      </c>
      <c r="E94" s="146">
        <v>1002003001</v>
      </c>
      <c r="F94" s="147" t="str">
        <f>_xlfn.XLOOKUP(E94,'Detalhamento - G200'!A:A,'Detalhamento - G200'!B:B,0)</f>
        <v>ELETRICA, HIDRÁULICA E COMBATE A INCÊNDIO</v>
      </c>
      <c r="G94" s="154">
        <v>23610524.869879976</v>
      </c>
      <c r="H94" s="147" t="s">
        <v>768</v>
      </c>
      <c r="I94" s="147"/>
      <c r="J94" s="154">
        <f t="shared" si="2"/>
        <v>23610524.869879976</v>
      </c>
    </row>
    <row r="95" spans="1:10" ht="15" customHeight="1">
      <c r="B95" s="160" t="s">
        <v>1105</v>
      </c>
      <c r="C95" s="147" t="s">
        <v>765</v>
      </c>
      <c r="D95" s="147" t="s">
        <v>751</v>
      </c>
      <c r="E95" s="146">
        <v>1004001003</v>
      </c>
      <c r="F95" s="147" t="str">
        <f>_xlfn.XLOOKUP(E95,'Detalhamento - G200'!A:A,'Detalhamento - G200'!B:B,0)</f>
        <v>AUMENTO DO LUX DA ÁREA EXTERNA</v>
      </c>
      <c r="G95" s="154">
        <v>174426.45358665814</v>
      </c>
      <c r="H95" s="147" t="s">
        <v>768</v>
      </c>
      <c r="I95" s="147"/>
      <c r="J95" s="154">
        <f t="shared" si="2"/>
        <v>174426.45358665814</v>
      </c>
    </row>
    <row r="96" spans="1:10" ht="15" customHeight="1">
      <c r="B96" s="160" t="s">
        <v>1106</v>
      </c>
      <c r="C96" s="147" t="s">
        <v>598</v>
      </c>
      <c r="D96" s="147" t="s">
        <v>609</v>
      </c>
      <c r="E96" s="146">
        <v>2001011001</v>
      </c>
      <c r="F96" s="147" t="str">
        <f>_xlfn.XLOOKUP(E96,'Detalhamento - G200'!A:A,'Detalhamento - G200'!B:B,0)</f>
        <v>LOCAÇÃO - IMPRESSORA</v>
      </c>
      <c r="G96" s="154">
        <v>28020</v>
      </c>
      <c r="H96" s="147" t="s">
        <v>599</v>
      </c>
      <c r="I96" s="147"/>
      <c r="J96" s="154">
        <f t="shared" si="2"/>
        <v>28020</v>
      </c>
    </row>
    <row r="97" spans="2:10" ht="15" customHeight="1">
      <c r="B97" s="160" t="s">
        <v>1107</v>
      </c>
      <c r="C97" s="147" t="s">
        <v>600</v>
      </c>
      <c r="D97" s="147" t="s">
        <v>601</v>
      </c>
      <c r="E97" s="146">
        <v>1004001002</v>
      </c>
      <c r="F97" s="147" t="str">
        <f>_xlfn.XLOOKUP(E97,'Detalhamento - G200'!A:A,'Detalhamento - G200'!B:B,0)</f>
        <v>ELEVADOR MEZANINO</v>
      </c>
      <c r="G97" s="154">
        <v>171000</v>
      </c>
      <c r="H97" s="147" t="s">
        <v>733</v>
      </c>
      <c r="I97" s="147"/>
      <c r="J97" s="154">
        <f t="shared" si="2"/>
        <v>171000</v>
      </c>
    </row>
    <row r="98" spans="2:10" ht="15" customHeight="1">
      <c r="B98" s="160" t="s">
        <v>1108</v>
      </c>
      <c r="C98" s="147" t="s">
        <v>602</v>
      </c>
      <c r="D98" s="147" t="s">
        <v>339</v>
      </c>
      <c r="E98" s="146">
        <v>1001001001</v>
      </c>
      <c r="F98" s="147" t="str">
        <f>_xlfn.XLOOKUP(E98,'Detalhamento - G200'!A:A,'Detalhamento - G200'!B:B,0)</f>
        <v>PROJETOS</v>
      </c>
      <c r="G98" s="154">
        <v>38000</v>
      </c>
      <c r="H98" s="147" t="s">
        <v>603</v>
      </c>
      <c r="I98" s="147"/>
      <c r="J98" s="154">
        <f t="shared" si="2"/>
        <v>38000</v>
      </c>
    </row>
    <row r="99" spans="2:10" ht="15" customHeight="1">
      <c r="B99" s="160" t="s">
        <v>1109</v>
      </c>
      <c r="C99" s="147" t="s">
        <v>728</v>
      </c>
      <c r="D99" s="147" t="s">
        <v>729</v>
      </c>
      <c r="E99" s="146">
        <v>1001003010</v>
      </c>
      <c r="F99" s="147" t="str">
        <f>_xlfn.XLOOKUP(E99,'Detalhamento - G200'!A:A,'Detalhamento - G200'!B:B,0)</f>
        <v>SERRALHERIA GALPÃO</v>
      </c>
      <c r="G99" s="154">
        <v>577744.93000000005</v>
      </c>
      <c r="H99" s="147" t="s">
        <v>730</v>
      </c>
      <c r="I99" s="147"/>
      <c r="J99" s="154">
        <f t="shared" si="2"/>
        <v>577744.93000000005</v>
      </c>
    </row>
    <row r="100" spans="2:10" ht="15" customHeight="1">
      <c r="B100" s="160" t="s">
        <v>1109</v>
      </c>
      <c r="C100" s="147" t="s">
        <v>728</v>
      </c>
      <c r="D100" s="147" t="s">
        <v>729</v>
      </c>
      <c r="E100" s="146">
        <v>1002002004</v>
      </c>
      <c r="F100" s="147" t="str">
        <f>_xlfn.XLOOKUP(E100,'Detalhamento - G200'!A:A,'Detalhamento - G200'!B:B,0)</f>
        <v>SERRALHERIA</v>
      </c>
      <c r="G100" s="154">
        <v>1598773.77</v>
      </c>
      <c r="H100" s="147" t="s">
        <v>730</v>
      </c>
      <c r="I100" s="147"/>
      <c r="J100" s="154">
        <f t="shared" si="2"/>
        <v>1598773.77</v>
      </c>
    </row>
    <row r="101" spans="2:10" ht="15" customHeight="1">
      <c r="B101" s="160" t="s">
        <v>1109</v>
      </c>
      <c r="C101" s="147" t="s">
        <v>728</v>
      </c>
      <c r="D101" s="147" t="s">
        <v>729</v>
      </c>
      <c r="E101" s="146">
        <v>1003005001</v>
      </c>
      <c r="F101" s="147" t="str">
        <f>_xlfn.XLOOKUP(E101,'Detalhamento - G200'!A:A,'Detalhamento - G200'!B:B,0)</f>
        <v>SERVIÇO CIVIL</v>
      </c>
      <c r="G101" s="154">
        <v>323481.76</v>
      </c>
      <c r="H101" s="147" t="s">
        <v>730</v>
      </c>
      <c r="I101" s="147"/>
      <c r="J101" s="154">
        <f t="shared" si="2"/>
        <v>323481.76</v>
      </c>
    </row>
    <row r="102" spans="2:10" ht="15" customHeight="1">
      <c r="B102" s="160" t="s">
        <v>1110</v>
      </c>
      <c r="C102" s="147" t="s">
        <v>731</v>
      </c>
      <c r="D102" s="147" t="s">
        <v>734</v>
      </c>
      <c r="E102" s="146">
        <v>1001002006</v>
      </c>
      <c r="F102" s="147" t="str">
        <f>_xlfn.XLOOKUP(E102,'Detalhamento - G200'!A:A,'Detalhamento - G200'!B:B,0)</f>
        <v>CONTENÇÕES</v>
      </c>
      <c r="G102" s="154">
        <v>5433011.1600000001</v>
      </c>
      <c r="H102" s="147" t="s">
        <v>736</v>
      </c>
      <c r="I102" s="147"/>
      <c r="J102" s="154">
        <f t="shared" si="2"/>
        <v>5433011.1600000001</v>
      </c>
    </row>
    <row r="103" spans="2:10" ht="15" customHeight="1">
      <c r="B103" s="160" t="s">
        <v>1111</v>
      </c>
      <c r="C103" s="147" t="s">
        <v>732</v>
      </c>
      <c r="D103" s="147" t="s">
        <v>349</v>
      </c>
      <c r="E103" s="146">
        <v>1001001002</v>
      </c>
      <c r="F103" s="147" t="str">
        <f>_xlfn.XLOOKUP(E103,'Detalhamento - G200'!A:A,'Detalhamento - G200'!B:B,0)</f>
        <v>ENSAIOS E CONSULTORIAS</v>
      </c>
      <c r="G103" s="154">
        <v>175000</v>
      </c>
      <c r="H103" s="147" t="s">
        <v>735</v>
      </c>
      <c r="I103" s="147"/>
      <c r="J103" s="154">
        <f t="shared" si="2"/>
        <v>175000</v>
      </c>
    </row>
    <row r="104" spans="2:10" ht="15" customHeight="1">
      <c r="B104" s="160" t="s">
        <v>1112</v>
      </c>
      <c r="C104" s="147" t="s">
        <v>737</v>
      </c>
      <c r="D104" s="147" t="s">
        <v>738</v>
      </c>
      <c r="E104" s="146">
        <v>1001006004</v>
      </c>
      <c r="F104" s="147" t="str">
        <f>_xlfn.XLOOKUP(E104,'Detalhamento - G200'!A:A,'Detalhamento - G200'!B:B,0)</f>
        <v>RESERVATÓRIO METÁLICO</v>
      </c>
      <c r="G104" s="154">
        <v>799000</v>
      </c>
      <c r="H104" s="147" t="s">
        <v>739</v>
      </c>
      <c r="I104" s="147"/>
      <c r="J104" s="154">
        <f t="shared" si="2"/>
        <v>799000</v>
      </c>
    </row>
    <row r="105" spans="2:10" ht="15" customHeight="1">
      <c r="B105" s="160" t="s">
        <v>1113</v>
      </c>
      <c r="C105" s="147" t="s">
        <v>769</v>
      </c>
      <c r="D105" s="147" t="s">
        <v>770</v>
      </c>
      <c r="E105" s="146">
        <v>1001005002</v>
      </c>
      <c r="F105" s="147" t="str">
        <f>_xlfn.XLOOKUP(E105,'Detalhamento - G200'!A:A,'Detalhamento - G200'!B:B,0)</f>
        <v>SISTEMA DE AR CONDICIONADO E EXAUSTÃO</v>
      </c>
      <c r="G105" s="154">
        <v>629198.54</v>
      </c>
      <c r="H105" s="147" t="s">
        <v>981</v>
      </c>
      <c r="I105" s="147"/>
      <c r="J105" s="154">
        <f t="shared" si="2"/>
        <v>629198.54</v>
      </c>
    </row>
    <row r="106" spans="2:10" ht="15" customHeight="1">
      <c r="B106" s="160" t="s">
        <v>1113</v>
      </c>
      <c r="C106" s="147" t="s">
        <v>769</v>
      </c>
      <c r="D106" s="147" t="s">
        <v>770</v>
      </c>
      <c r="E106" s="146">
        <v>1003001001</v>
      </c>
      <c r="F106" s="147" t="str">
        <f>_xlfn.XLOOKUP(E106,'Detalhamento - G200'!A:A,'Detalhamento - G200'!B:B,0)</f>
        <v>EQUIPAMENTO</v>
      </c>
      <c r="G106" s="154">
        <v>11915137.07</v>
      </c>
      <c r="H106" s="147" t="s">
        <v>981</v>
      </c>
      <c r="I106" s="147"/>
      <c r="J106" s="154">
        <f t="shared" si="2"/>
        <v>11915137.07</v>
      </c>
    </row>
    <row r="107" spans="2:10" ht="15" customHeight="1">
      <c r="B107" s="160" t="s">
        <v>1113</v>
      </c>
      <c r="C107" s="147" t="s">
        <v>769</v>
      </c>
      <c r="D107" s="147" t="s">
        <v>770</v>
      </c>
      <c r="E107" s="146">
        <v>1003002001</v>
      </c>
      <c r="F107" s="147" t="str">
        <f>_xlfn.XLOOKUP(E107,'Detalhamento - G200'!A:A,'Detalhamento - G200'!B:B,0)</f>
        <v>CAVALETES HIDRÁULICOS E VÁLVULAS</v>
      </c>
      <c r="G107" s="154">
        <v>1824735.05</v>
      </c>
      <c r="H107" s="147" t="s">
        <v>981</v>
      </c>
      <c r="I107" s="147"/>
      <c r="J107" s="154">
        <f t="shared" si="2"/>
        <v>1824735.05</v>
      </c>
    </row>
    <row r="108" spans="2:10" ht="15" customHeight="1">
      <c r="B108" s="160" t="s">
        <v>1113</v>
      </c>
      <c r="C108" s="147" t="s">
        <v>769</v>
      </c>
      <c r="D108" s="147" t="s">
        <v>770</v>
      </c>
      <c r="E108" s="146">
        <v>1003002002</v>
      </c>
      <c r="F108" s="147" t="str">
        <f>_xlfn.XLOOKUP(E108,'Detalhamento - G200'!A:A,'Detalhamento - G200'!B:B,0)</f>
        <v>REDE HIDRÁULICA</v>
      </c>
      <c r="G108" s="154">
        <v>6916146.2599999998</v>
      </c>
      <c r="H108" s="147" t="s">
        <v>981</v>
      </c>
      <c r="I108" s="147"/>
      <c r="J108" s="154">
        <f t="shared" si="2"/>
        <v>6916146.2599999998</v>
      </c>
    </row>
    <row r="109" spans="2:10" ht="15" customHeight="1">
      <c r="B109" s="160" t="s">
        <v>1113</v>
      </c>
      <c r="C109" s="147" t="s">
        <v>769</v>
      </c>
      <c r="D109" s="147" t="s">
        <v>770</v>
      </c>
      <c r="E109" s="146">
        <v>1003003001</v>
      </c>
      <c r="F109" s="147" t="str">
        <f>_xlfn.XLOOKUP(E109,'Detalhamento - G200'!A:A,'Detalhamento - G200'!B:B,0)</f>
        <v>QUADROS ELÉTRICOS E AUTOMAÇÃO</v>
      </c>
      <c r="G109" s="154">
        <v>3616579.1</v>
      </c>
      <c r="H109" s="147" t="s">
        <v>981</v>
      </c>
      <c r="I109" s="147"/>
      <c r="J109" s="154">
        <f t="shared" si="2"/>
        <v>3616579.1</v>
      </c>
    </row>
    <row r="110" spans="2:10" ht="15" customHeight="1">
      <c r="B110" s="160" t="s">
        <v>1113</v>
      </c>
      <c r="C110" s="147" t="s">
        <v>769</v>
      </c>
      <c r="D110" s="147" t="s">
        <v>770</v>
      </c>
      <c r="E110" s="146">
        <v>1003003002</v>
      </c>
      <c r="F110" s="147" t="str">
        <f>_xlfn.XLOOKUP(E110,'Detalhamento - G200'!A:A,'Detalhamento - G200'!B:B,0)</f>
        <v>INTERLIGAÇÕES ELÉTRICAS</v>
      </c>
      <c r="G110" s="154">
        <v>4715181.66</v>
      </c>
      <c r="H110" s="147" t="s">
        <v>981</v>
      </c>
      <c r="I110" s="147"/>
      <c r="J110" s="154">
        <f t="shared" ref="J110:J128" si="3">IF(I110&lt;&gt;"",0,G110)</f>
        <v>4715181.66</v>
      </c>
    </row>
    <row r="111" spans="2:10" ht="15" customHeight="1">
      <c r="B111" s="160" t="s">
        <v>1113</v>
      </c>
      <c r="C111" s="147" t="s">
        <v>769</v>
      </c>
      <c r="D111" s="147" t="s">
        <v>770</v>
      </c>
      <c r="E111" s="146">
        <v>1003004001</v>
      </c>
      <c r="F111" s="147" t="str">
        <f>_xlfn.XLOOKUP(E111,'Detalhamento - G200'!A:A,'Detalhamento - G200'!B:B,0)</f>
        <v>REDES DE DUTOS</v>
      </c>
      <c r="G111" s="154">
        <v>9431821.1699999999</v>
      </c>
      <c r="H111" s="147" t="s">
        <v>981</v>
      </c>
      <c r="I111" s="147"/>
      <c r="J111" s="154">
        <f t="shared" si="3"/>
        <v>9431821.1699999999</v>
      </c>
    </row>
    <row r="112" spans="2:10" ht="15" customHeight="1">
      <c r="B112" s="160" t="s">
        <v>1113</v>
      </c>
      <c r="C112" s="147" t="s">
        <v>769</v>
      </c>
      <c r="D112" s="147" t="s">
        <v>770</v>
      </c>
      <c r="E112" s="146">
        <v>1003004002</v>
      </c>
      <c r="F112" s="147" t="str">
        <f>_xlfn.XLOOKUP(E112,'Detalhamento - G200'!A:A,'Detalhamento - G200'!B:B,0)</f>
        <v>DIFUSÃO</v>
      </c>
      <c r="G112" s="154">
        <v>1478702.97</v>
      </c>
      <c r="H112" s="147" t="s">
        <v>981</v>
      </c>
      <c r="I112" s="147"/>
      <c r="J112" s="154">
        <f t="shared" si="3"/>
        <v>1478702.97</v>
      </c>
    </row>
    <row r="113" spans="2:10" ht="15" customHeight="1">
      <c r="B113" s="160" t="s">
        <v>1113</v>
      </c>
      <c r="C113" s="147" t="s">
        <v>769</v>
      </c>
      <c r="D113" s="147" t="s">
        <v>770</v>
      </c>
      <c r="E113" s="146">
        <v>1003006001</v>
      </c>
      <c r="F113" s="147" t="str">
        <f>_xlfn.XLOOKUP(E113,'Detalhamento - G200'!A:A,'Detalhamento - G200'!B:B,0)</f>
        <v>PROJETOS, CQPS E AS BUILT</v>
      </c>
      <c r="G113" s="154">
        <v>937581.62</v>
      </c>
      <c r="H113" s="147" t="s">
        <v>981</v>
      </c>
      <c r="I113" s="147"/>
      <c r="J113" s="154">
        <f t="shared" si="3"/>
        <v>937581.62</v>
      </c>
    </row>
    <row r="114" spans="2:10" ht="15" customHeight="1">
      <c r="B114" s="160" t="s">
        <v>1113</v>
      </c>
      <c r="C114" s="147" t="s">
        <v>769</v>
      </c>
      <c r="D114" s="147" t="s">
        <v>770</v>
      </c>
      <c r="E114" s="146">
        <v>1004001004</v>
      </c>
      <c r="F114" s="147" t="str">
        <f>_xlfn.XLOOKUP(E114,'Detalhamento - G200'!A:A,'Detalhamento - G200'!B:B,0)</f>
        <v>HVAC - COZINHA E REFEITÓRIO</v>
      </c>
      <c r="G114" s="154">
        <v>1504031.74</v>
      </c>
      <c r="H114" s="147" t="s">
        <v>981</v>
      </c>
      <c r="I114" s="147"/>
      <c r="J114" s="154">
        <f t="shared" si="3"/>
        <v>1504031.74</v>
      </c>
    </row>
    <row r="115" spans="2:10" ht="15" customHeight="1">
      <c r="B115" s="160" t="s">
        <v>1113</v>
      </c>
      <c r="C115" s="147" t="s">
        <v>769</v>
      </c>
      <c r="D115" s="147" t="s">
        <v>770</v>
      </c>
      <c r="E115" s="146">
        <v>1004002009</v>
      </c>
      <c r="F115" s="147" t="str">
        <f>_xlfn.XLOOKUP(E115,'Detalhamento - G200'!A:A,'Detalhamento - G200'!B:B,0)</f>
        <v>INCLUSÃO DE EXAUSTÃO E INSUFLAMENTO PARA ÁREAS DE UTENSÍLIOS</v>
      </c>
      <c r="G115" s="154">
        <v>167291.82</v>
      </c>
      <c r="H115" s="147" t="s">
        <v>981</v>
      </c>
      <c r="I115" s="147"/>
      <c r="J115" s="154">
        <f t="shared" si="3"/>
        <v>167291.82</v>
      </c>
    </row>
    <row r="116" spans="2:10" ht="15" customHeight="1">
      <c r="B116" s="160" t="s">
        <v>1114</v>
      </c>
      <c r="C116" s="147" t="s">
        <v>940</v>
      </c>
      <c r="D116" s="147" t="s">
        <v>941</v>
      </c>
      <c r="E116" s="146">
        <v>1001006006</v>
      </c>
      <c r="F116" s="147" t="str">
        <f>_xlfn.XLOOKUP(E116,'Detalhamento - G200'!A:A,'Detalhamento - G200'!B:B,0)</f>
        <v>ETE</v>
      </c>
      <c r="G116" s="154">
        <v>240500</v>
      </c>
      <c r="H116" s="147" t="s">
        <v>942</v>
      </c>
      <c r="I116" s="147"/>
      <c r="J116" s="154">
        <f t="shared" si="3"/>
        <v>240500</v>
      </c>
    </row>
    <row r="117" spans="2:10" ht="15" customHeight="1">
      <c r="B117" s="160" t="s">
        <v>1115</v>
      </c>
      <c r="C117" s="147" t="s">
        <v>994</v>
      </c>
      <c r="D117" s="147" t="s">
        <v>995</v>
      </c>
      <c r="E117" s="146">
        <v>1003006001</v>
      </c>
      <c r="F117" s="147" t="str">
        <f>_xlfn.XLOOKUP(E117,'Detalhamento - G200'!A:A,'Detalhamento - G200'!B:B,0)</f>
        <v>PROJETOS, CQPS E AS BUILT</v>
      </c>
      <c r="G117" s="154">
        <v>225000</v>
      </c>
      <c r="H117" s="147" t="s">
        <v>996</v>
      </c>
      <c r="I117" s="147" t="s">
        <v>769</v>
      </c>
      <c r="J117" s="154">
        <f t="shared" si="3"/>
        <v>0</v>
      </c>
    </row>
    <row r="118" spans="2:10" ht="15" customHeight="1">
      <c r="B118" s="160" t="s">
        <v>1116</v>
      </c>
      <c r="C118" s="147" t="s">
        <v>1013</v>
      </c>
      <c r="D118" s="147" t="s">
        <v>982</v>
      </c>
      <c r="E118" s="146">
        <v>1001001002</v>
      </c>
      <c r="F118" s="147" t="str">
        <f>_xlfn.XLOOKUP(E118,'Detalhamento - G200'!A:A,'Detalhamento - G200'!B:B,0)</f>
        <v>ENSAIOS E CONSULTORIAS</v>
      </c>
      <c r="G118" s="154">
        <v>120150</v>
      </c>
      <c r="H118" s="147" t="s">
        <v>983</v>
      </c>
      <c r="I118" s="147"/>
      <c r="J118" s="154">
        <f t="shared" si="3"/>
        <v>120150</v>
      </c>
    </row>
    <row r="119" spans="2:10" ht="15" customHeight="1">
      <c r="B119" s="160" t="s">
        <v>1117</v>
      </c>
      <c r="C119" s="147" t="s">
        <v>1014</v>
      </c>
      <c r="D119" s="147" t="s">
        <v>354</v>
      </c>
      <c r="E119" s="146">
        <v>1001001002</v>
      </c>
      <c r="F119" s="147" t="str">
        <f>_xlfn.XLOOKUP(E119,'Detalhamento - G200'!A:A,'Detalhamento - G200'!B:B,0)</f>
        <v>ENSAIOS E CONSULTORIAS</v>
      </c>
      <c r="G119" s="154">
        <v>34188.050000000003</v>
      </c>
      <c r="H119" s="147" t="s">
        <v>983</v>
      </c>
      <c r="I119" s="147"/>
      <c r="J119" s="154">
        <f t="shared" si="3"/>
        <v>34188.050000000003</v>
      </c>
    </row>
    <row r="120" spans="2:10" ht="15" customHeight="1">
      <c r="B120" s="160" t="s">
        <v>1118</v>
      </c>
      <c r="C120" s="147" t="s">
        <v>939</v>
      </c>
      <c r="D120" s="147" t="s">
        <v>902</v>
      </c>
      <c r="E120" s="146">
        <v>1001002005</v>
      </c>
      <c r="F120" s="147" t="str">
        <f>_xlfn.XLOOKUP(E120,'Detalhamento - G200'!A:A,'Detalhamento - G200'!B:B,0)</f>
        <v>HIDROSSEMEADURA</v>
      </c>
      <c r="G120" s="154">
        <v>575368.71</v>
      </c>
      <c r="H120" s="147" t="s">
        <v>903</v>
      </c>
      <c r="I120" s="147"/>
      <c r="J120" s="154">
        <f t="shared" si="3"/>
        <v>575368.71</v>
      </c>
    </row>
    <row r="121" spans="2:10" ht="15" customHeight="1">
      <c r="B121" s="160" t="s">
        <v>1119</v>
      </c>
      <c r="C121" s="147" t="s">
        <v>1015</v>
      </c>
      <c r="D121" s="147" t="s">
        <v>734</v>
      </c>
      <c r="E121" s="146">
        <v>2001001001</v>
      </c>
      <c r="F121" s="147" t="str">
        <f>_xlfn.XLOOKUP(E121,'Detalhamento - G200'!A:A,'Detalhamento - G200'!B:B,0)</f>
        <v>BASE DE OPERACIONAL</v>
      </c>
      <c r="G121" s="154">
        <v>786497.6</v>
      </c>
      <c r="H121" s="147" t="s">
        <v>1016</v>
      </c>
      <c r="I121" s="147"/>
      <c r="J121" s="154">
        <f t="shared" si="3"/>
        <v>786497.6</v>
      </c>
    </row>
    <row r="122" spans="2:10" ht="15" customHeight="1">
      <c r="B122" s="160" t="s">
        <v>1120</v>
      </c>
      <c r="C122" s="147" t="s">
        <v>1029</v>
      </c>
      <c r="D122" s="147" t="s">
        <v>734</v>
      </c>
      <c r="E122" s="146">
        <v>1001004006</v>
      </c>
      <c r="F122" s="147" t="str">
        <f>_xlfn.XLOOKUP(E122,'Detalhamento - G200'!A:A,'Detalhamento - G200'!B:B,0)</f>
        <v>SANITÁRIOS EXTERNOS AO GALPÃO</v>
      </c>
      <c r="G122" s="154">
        <f>(2.6813*8249.02)+(77881.98)</f>
        <v>100000.077326</v>
      </c>
      <c r="H122" s="147" t="s">
        <v>1030</v>
      </c>
      <c r="I122" s="147"/>
      <c r="J122" s="154">
        <f t="shared" si="3"/>
        <v>100000.077326</v>
      </c>
    </row>
    <row r="123" spans="2:10" ht="15" customHeight="1">
      <c r="B123" s="160" t="s">
        <v>1120</v>
      </c>
      <c r="C123" s="147" t="s">
        <v>1029</v>
      </c>
      <c r="D123" s="147" t="s">
        <v>734</v>
      </c>
      <c r="E123" s="146">
        <v>1001004002</v>
      </c>
      <c r="F123" s="147" t="str">
        <f>_xlfn.XLOOKUP(E123,'Detalhamento - G200'!A:A,'Detalhamento - G200'!B:B,0)</f>
        <v>APOIO (VESTIÁRIO + REFEITÓRIO)</v>
      </c>
      <c r="G123" s="154">
        <f>(16*11221.47)+( 2.4799* 8249.02)</f>
        <v>200000.26469799998</v>
      </c>
      <c r="H123" s="147" t="s">
        <v>1030</v>
      </c>
      <c r="I123" s="147"/>
      <c r="J123" s="154">
        <f t="shared" si="3"/>
        <v>200000.26469799998</v>
      </c>
    </row>
    <row r="124" spans="2:10" ht="15" customHeight="1">
      <c r="B124" s="160" t="s">
        <v>1120</v>
      </c>
      <c r="C124" s="147" t="s">
        <v>1029</v>
      </c>
      <c r="D124" s="147" t="s">
        <v>734</v>
      </c>
      <c r="E124" s="146">
        <v>1001004010</v>
      </c>
      <c r="F124" s="147" t="str">
        <f>_xlfn.XLOOKUP(E124,'Detalhamento - G200'!A:A,'Detalhamento - G200'!B:B,0)</f>
        <v>ÁREA DE LAZER</v>
      </c>
      <c r="G124" s="154">
        <f xml:space="preserve"> 6.0613* 8249.02</f>
        <v>49999.784926</v>
      </c>
      <c r="H124" s="147" t="s">
        <v>1030</v>
      </c>
      <c r="I124" s="147"/>
      <c r="J124" s="154">
        <f t="shared" si="3"/>
        <v>49999.784926</v>
      </c>
    </row>
    <row r="125" spans="2:10" ht="15" customHeight="1">
      <c r="B125" s="160" t="s">
        <v>1120</v>
      </c>
      <c r="C125" s="147" t="s">
        <v>1029</v>
      </c>
      <c r="D125" s="147" t="s">
        <v>734</v>
      </c>
      <c r="E125" s="146">
        <v>1001004005</v>
      </c>
      <c r="F125" s="147" t="str">
        <f>_xlfn.XLOOKUP(E125,'Detalhamento - G200'!A:A,'Detalhamento - G200'!B:B,0)</f>
        <v>UTILIDADES</v>
      </c>
      <c r="G125" s="154">
        <f xml:space="preserve"> 4.7775*8249.02</f>
        <v>39409.693050000002</v>
      </c>
      <c r="H125" s="147" t="s">
        <v>1030</v>
      </c>
      <c r="I125" s="147"/>
      <c r="J125" s="154">
        <f t="shared" si="3"/>
        <v>39409.693050000002</v>
      </c>
    </row>
    <row r="126" spans="2:10" ht="15" customHeight="1">
      <c r="B126" s="160" t="s">
        <v>1121</v>
      </c>
      <c r="C126" s="147" t="s">
        <v>1017</v>
      </c>
      <c r="D126" s="147" t="s">
        <v>734</v>
      </c>
      <c r="E126" s="146">
        <v>1001002003</v>
      </c>
      <c r="F126" s="147" t="str">
        <f>_xlfn.XLOOKUP(E126,'Detalhamento - G200'!A:A,'Detalhamento - G200'!B:B,0)</f>
        <v>MOVIMENTAÇÃO DE TERRA</v>
      </c>
      <c r="G126" s="154">
        <v>448858.88</v>
      </c>
      <c r="H126" s="147" t="s">
        <v>1020</v>
      </c>
      <c r="I126" s="147"/>
      <c r="J126" s="154">
        <f t="shared" si="3"/>
        <v>448858.88</v>
      </c>
    </row>
    <row r="127" spans="2:10" ht="15" customHeight="1">
      <c r="B127" s="160" t="s">
        <v>1122</v>
      </c>
      <c r="C127" s="147" t="s">
        <v>1018</v>
      </c>
      <c r="D127" s="147" t="s">
        <v>734</v>
      </c>
      <c r="E127" s="146">
        <v>1001002003</v>
      </c>
      <c r="F127" s="147" t="str">
        <f>_xlfn.XLOOKUP(E127,'Detalhamento - G200'!A:A,'Detalhamento - G200'!B:B,0)</f>
        <v>MOVIMENTAÇÃO DE TERRA</v>
      </c>
      <c r="G127" s="154">
        <v>329960.96000000002</v>
      </c>
      <c r="H127" s="147" t="s">
        <v>1019</v>
      </c>
      <c r="I127" s="147"/>
      <c r="J127" s="154">
        <f t="shared" si="3"/>
        <v>329960.96000000002</v>
      </c>
    </row>
    <row r="128" spans="2:10" ht="15" customHeight="1">
      <c r="B128" s="160" t="s">
        <v>880</v>
      </c>
      <c r="C128" s="170" t="s">
        <v>880</v>
      </c>
      <c r="D128" s="147" t="s">
        <v>881</v>
      </c>
      <c r="E128" s="146">
        <v>1001004001</v>
      </c>
      <c r="F128" s="147" t="str">
        <f>_xlfn.XLOOKUP(E128,'Detalhamento - G200'!A:A,'Detalhamento - G200'!B:B,0)</f>
        <v>PORTARIA / COBERTURA DA ECLUSA</v>
      </c>
      <c r="G128" s="154">
        <v>1528000.44</v>
      </c>
      <c r="H128" s="147" t="s">
        <v>882</v>
      </c>
      <c r="I128" s="147"/>
      <c r="J128" s="154">
        <f t="shared" si="3"/>
        <v>1528000.44</v>
      </c>
    </row>
    <row r="129" spans="6:10" ht="15" customHeight="1">
      <c r="F129" s="147"/>
      <c r="G129" s="154"/>
      <c r="H129" s="147"/>
      <c r="I129" s="147"/>
      <c r="J129" s="154"/>
    </row>
    <row r="130" spans="6:10" ht="15" customHeight="1">
      <c r="F130" s="147"/>
      <c r="G130" s="154"/>
      <c r="H130" s="147"/>
      <c r="I130" s="147"/>
      <c r="J130" s="154"/>
    </row>
    <row r="131" spans="6:10" ht="15" customHeight="1">
      <c r="F131" s="147"/>
      <c r="G131" s="154"/>
      <c r="H131" s="147"/>
      <c r="I131" s="147"/>
      <c r="J131" s="154"/>
    </row>
    <row r="132" spans="6:10" ht="15" customHeight="1">
      <c r="F132" s="147"/>
      <c r="G132" s="154"/>
      <c r="H132" s="147"/>
      <c r="I132" s="147"/>
      <c r="J132" s="154"/>
    </row>
    <row r="133" spans="6:10" ht="15" customHeight="1">
      <c r="F133" s="147"/>
      <c r="G133" s="154"/>
      <c r="H133" s="147"/>
      <c r="I133" s="147"/>
      <c r="J133" s="154"/>
    </row>
    <row r="134" spans="6:10" ht="15" customHeight="1">
      <c r="F134" s="147"/>
      <c r="G134" s="154"/>
      <c r="H134" s="147"/>
      <c r="I134" s="147"/>
      <c r="J134" s="154"/>
    </row>
    <row r="135" spans="6:10" ht="15" customHeight="1">
      <c r="F135" s="147"/>
      <c r="G135" s="154"/>
      <c r="H135" s="147"/>
      <c r="I135" s="147"/>
      <c r="J135" s="154"/>
    </row>
    <row r="136" spans="6:10" ht="15" customHeight="1">
      <c r="F136" s="147"/>
      <c r="G136" s="154"/>
      <c r="H136" s="147"/>
      <c r="I136" s="147"/>
      <c r="J136" s="154"/>
    </row>
    <row r="137" spans="6:10" ht="15" customHeight="1">
      <c r="F137" s="147"/>
      <c r="G137" s="154"/>
      <c r="H137" s="147"/>
      <c r="I137" s="147"/>
      <c r="J137" s="154"/>
    </row>
    <row r="138" spans="6:10" ht="15" customHeight="1">
      <c r="F138" s="147"/>
      <c r="G138" s="154"/>
      <c r="H138" s="147"/>
      <c r="I138" s="147"/>
      <c r="J138" s="154"/>
    </row>
    <row r="139" spans="6:10" ht="15" customHeight="1">
      <c r="F139" s="147"/>
      <c r="G139" s="154"/>
      <c r="H139" s="147"/>
      <c r="I139" s="147"/>
      <c r="J139" s="154"/>
    </row>
    <row r="140" spans="6:10" ht="15" customHeight="1">
      <c r="F140" s="147"/>
      <c r="G140" s="154"/>
      <c r="H140" s="147"/>
      <c r="I140" s="147"/>
      <c r="J140" s="154"/>
    </row>
    <row r="141" spans="6:10" ht="15" customHeight="1">
      <c r="F141" s="147"/>
      <c r="G141" s="154"/>
      <c r="H141" s="147"/>
      <c r="I141" s="147"/>
      <c r="J141" s="154"/>
    </row>
    <row r="142" spans="6:10" ht="15" customHeight="1">
      <c r="F142" s="147"/>
      <c r="G142" s="154"/>
      <c r="H142" s="147"/>
      <c r="I142" s="147"/>
      <c r="J142" s="154"/>
    </row>
    <row r="143" spans="6:10" ht="15" customHeight="1">
      <c r="F143" s="147"/>
      <c r="G143" s="154"/>
      <c r="H143" s="147"/>
      <c r="I143" s="147"/>
      <c r="J143" s="154"/>
    </row>
    <row r="144" spans="6:10" ht="15" customHeight="1">
      <c r="F144" s="147"/>
      <c r="G144" s="154"/>
      <c r="H144" s="147"/>
      <c r="I144" s="147"/>
      <c r="J144" s="154"/>
    </row>
    <row r="145" spans="6:10" ht="15" customHeight="1">
      <c r="F145" s="147"/>
      <c r="G145" s="154"/>
      <c r="H145" s="147"/>
      <c r="I145" s="147"/>
      <c r="J145" s="154"/>
    </row>
    <row r="146" spans="6:10" ht="15" customHeight="1">
      <c r="F146" s="147"/>
      <c r="G146" s="154"/>
      <c r="H146" s="147"/>
      <c r="I146" s="147"/>
      <c r="J146" s="154"/>
    </row>
    <row r="147" spans="6:10" ht="15" customHeight="1">
      <c r="F147" s="147"/>
      <c r="G147" s="154"/>
      <c r="H147" s="147"/>
      <c r="I147" s="147"/>
      <c r="J147" s="154"/>
    </row>
    <row r="148" spans="6:10" ht="15" customHeight="1">
      <c r="F148" s="147"/>
      <c r="G148" s="154"/>
      <c r="H148" s="147"/>
      <c r="I148" s="147"/>
      <c r="J148" s="154"/>
    </row>
    <row r="149" spans="6:10" ht="15" customHeight="1">
      <c r="F149" s="147"/>
      <c r="G149" s="154"/>
      <c r="H149" s="147"/>
      <c r="I149" s="147"/>
      <c r="J149" s="154"/>
    </row>
    <row r="150" spans="6:10" ht="15" customHeight="1">
      <c r="F150" s="147"/>
      <c r="G150" s="154"/>
      <c r="H150" s="147"/>
      <c r="I150" s="147"/>
      <c r="J150" s="154"/>
    </row>
    <row r="151" spans="6:10" ht="15" customHeight="1">
      <c r="F151" s="147"/>
      <c r="G151" s="154"/>
      <c r="H151" s="147"/>
      <c r="I151" s="147"/>
      <c r="J151" s="154"/>
    </row>
    <row r="152" spans="6:10" ht="15" customHeight="1">
      <c r="F152" s="147"/>
      <c r="G152" s="154"/>
      <c r="H152" s="147"/>
      <c r="I152" s="147"/>
      <c r="J152" s="154"/>
    </row>
    <row r="153" spans="6:10" ht="15" customHeight="1">
      <c r="F153" s="147"/>
      <c r="G153" s="154"/>
      <c r="H153" s="147"/>
      <c r="I153" s="147"/>
      <c r="J153" s="154"/>
    </row>
    <row r="154" spans="6:10" ht="15" customHeight="1">
      <c r="F154" s="147"/>
      <c r="G154" s="154"/>
      <c r="H154" s="147"/>
      <c r="I154" s="147"/>
      <c r="J154" s="154"/>
    </row>
    <row r="155" spans="6:10" ht="15" customHeight="1">
      <c r="F155" s="147"/>
      <c r="G155" s="154"/>
      <c r="H155" s="147"/>
      <c r="I155" s="147"/>
      <c r="J155" s="154"/>
    </row>
    <row r="156" spans="6:10" ht="15" customHeight="1">
      <c r="F156" s="147"/>
      <c r="G156" s="154"/>
      <c r="H156" s="147"/>
      <c r="I156" s="147"/>
      <c r="J156" s="154"/>
    </row>
    <row r="157" spans="6:10" ht="15" customHeight="1">
      <c r="F157" s="147"/>
      <c r="G157" s="154"/>
      <c r="H157" s="147"/>
      <c r="I157" s="147"/>
      <c r="J157" s="154"/>
    </row>
    <row r="158" spans="6:10" ht="15" customHeight="1">
      <c r="F158" s="147"/>
      <c r="G158" s="154"/>
      <c r="H158" s="147"/>
      <c r="I158" s="147"/>
      <c r="J158" s="154"/>
    </row>
    <row r="159" spans="6:10" ht="15" customHeight="1">
      <c r="F159" s="147"/>
      <c r="G159" s="154"/>
      <c r="H159" s="147"/>
      <c r="I159" s="147"/>
      <c r="J159" s="154"/>
    </row>
    <row r="160" spans="6:10" ht="15" customHeight="1">
      <c r="F160" s="147"/>
      <c r="G160" s="154"/>
      <c r="H160" s="147"/>
      <c r="I160" s="147"/>
      <c r="J160" s="154"/>
    </row>
    <row r="161" spans="6:10" ht="15" customHeight="1">
      <c r="F161" s="147"/>
      <c r="G161" s="154"/>
      <c r="H161" s="147"/>
      <c r="I161" s="147"/>
      <c r="J161" s="154"/>
    </row>
    <row r="162" spans="6:10" ht="15" customHeight="1">
      <c r="F162" s="147"/>
      <c r="G162" s="154"/>
      <c r="H162" s="147"/>
      <c r="I162" s="147"/>
      <c r="J162" s="154"/>
    </row>
    <row r="163" spans="6:10" ht="15" customHeight="1">
      <c r="F163" s="147"/>
      <c r="G163" s="154"/>
      <c r="H163" s="147"/>
      <c r="I163" s="147"/>
      <c r="J163" s="154"/>
    </row>
    <row r="164" spans="6:10" ht="15" customHeight="1">
      <c r="F164" s="147"/>
      <c r="G164" s="154"/>
      <c r="H164" s="147"/>
      <c r="I164" s="147"/>
      <c r="J164" s="154"/>
    </row>
    <row r="165" spans="6:10" ht="15" customHeight="1">
      <c r="F165" s="147"/>
      <c r="G165" s="154"/>
      <c r="H165" s="147"/>
      <c r="I165" s="147"/>
      <c r="J165" s="154"/>
    </row>
    <row r="166" spans="6:10" ht="15" customHeight="1">
      <c r="F166" s="147"/>
      <c r="G166" s="154"/>
      <c r="H166" s="147"/>
      <c r="I166" s="147"/>
      <c r="J166" s="154"/>
    </row>
    <row r="167" spans="6:10" ht="15" customHeight="1">
      <c r="F167" s="147"/>
      <c r="G167" s="154"/>
      <c r="H167" s="147"/>
      <c r="I167" s="147"/>
      <c r="J167" s="154"/>
    </row>
    <row r="168" spans="6:10" ht="15" customHeight="1">
      <c r="F168" s="147"/>
      <c r="G168" s="154"/>
      <c r="H168" s="147"/>
      <c r="I168" s="147"/>
      <c r="J168" s="154"/>
    </row>
    <row r="169" spans="6:10" ht="15" customHeight="1">
      <c r="F169" s="147"/>
      <c r="G169" s="154"/>
      <c r="H169" s="147"/>
      <c r="I169" s="147"/>
      <c r="J169" s="154"/>
    </row>
    <row r="170" spans="6:10" ht="15" customHeight="1">
      <c r="F170" s="147"/>
      <c r="G170" s="154"/>
      <c r="H170" s="147"/>
      <c r="I170" s="147"/>
      <c r="J170" s="154"/>
    </row>
    <row r="171" spans="6:10" ht="15" customHeight="1">
      <c r="F171" s="147"/>
      <c r="G171" s="154"/>
      <c r="H171" s="147"/>
      <c r="I171" s="147"/>
      <c r="J171" s="154"/>
    </row>
    <row r="172" spans="6:10" ht="15" customHeight="1">
      <c r="F172" s="147"/>
      <c r="G172" s="154"/>
      <c r="H172" s="147"/>
      <c r="I172" s="147"/>
      <c r="J172" s="154"/>
    </row>
    <row r="173" spans="6:10" ht="15" customHeight="1">
      <c r="F173" s="147"/>
      <c r="G173" s="154"/>
      <c r="H173" s="147"/>
      <c r="I173" s="147"/>
      <c r="J173" s="154"/>
    </row>
    <row r="174" spans="6:10" ht="15" customHeight="1">
      <c r="F174" s="147"/>
      <c r="G174" s="154"/>
      <c r="H174" s="147"/>
      <c r="I174" s="147"/>
      <c r="J174" s="154"/>
    </row>
    <row r="175" spans="6:10" ht="15" customHeight="1">
      <c r="F175" s="147"/>
      <c r="G175" s="154"/>
      <c r="H175" s="147"/>
      <c r="I175" s="147"/>
      <c r="J175" s="154"/>
    </row>
    <row r="176" spans="6:10" ht="15" customHeight="1">
      <c r="F176" s="147"/>
      <c r="G176" s="154"/>
      <c r="H176" s="147"/>
      <c r="I176" s="147"/>
      <c r="J176" s="154"/>
    </row>
    <row r="177" spans="6:10" ht="15" customHeight="1">
      <c r="F177" s="147"/>
      <c r="G177" s="154"/>
      <c r="H177" s="147"/>
      <c r="I177" s="147"/>
      <c r="J177" s="154"/>
    </row>
    <row r="178" spans="6:10" ht="15" customHeight="1">
      <c r="F178" s="147"/>
      <c r="G178" s="154"/>
      <c r="H178" s="147"/>
      <c r="I178" s="147"/>
      <c r="J178" s="154"/>
    </row>
    <row r="179" spans="6:10" ht="15" customHeight="1">
      <c r="F179" s="147"/>
      <c r="G179" s="154"/>
      <c r="H179" s="147"/>
      <c r="I179" s="147"/>
      <c r="J179" s="154"/>
    </row>
    <row r="180" spans="6:10" ht="15" customHeight="1">
      <c r="F180" s="147"/>
      <c r="G180" s="154"/>
      <c r="H180" s="147"/>
      <c r="I180" s="147"/>
      <c r="J180" s="154"/>
    </row>
    <row r="181" spans="6:10" ht="15" customHeight="1">
      <c r="F181" s="147"/>
      <c r="G181" s="154"/>
      <c r="H181" s="147"/>
      <c r="I181" s="147"/>
      <c r="J181" s="154"/>
    </row>
    <row r="182" spans="6:10" ht="15" customHeight="1">
      <c r="F182" s="147"/>
      <c r="G182" s="154"/>
      <c r="H182" s="147"/>
      <c r="I182" s="147"/>
      <c r="J182" s="154"/>
    </row>
    <row r="183" spans="6:10" ht="15" customHeight="1">
      <c r="F183" s="147"/>
      <c r="G183" s="154"/>
      <c r="H183" s="147"/>
      <c r="I183" s="147"/>
      <c r="J183" s="154"/>
    </row>
    <row r="184" spans="6:10" ht="15" customHeight="1">
      <c r="F184" s="147"/>
      <c r="G184" s="154"/>
      <c r="H184" s="147"/>
      <c r="I184" s="147"/>
      <c r="J184" s="154"/>
    </row>
    <row r="185" spans="6:10" ht="15" customHeight="1">
      <c r="F185" s="147"/>
      <c r="G185" s="154"/>
      <c r="H185" s="147"/>
      <c r="I185" s="147"/>
      <c r="J185" s="154"/>
    </row>
    <row r="186" spans="6:10" ht="15" customHeight="1">
      <c r="F186" s="147"/>
      <c r="G186" s="154"/>
      <c r="H186" s="147"/>
      <c r="I186" s="147"/>
      <c r="J186" s="154"/>
    </row>
    <row r="187" spans="6:10" ht="15" customHeight="1">
      <c r="F187" s="147"/>
      <c r="G187" s="154"/>
      <c r="H187" s="147"/>
      <c r="I187" s="147"/>
      <c r="J187" s="154"/>
    </row>
    <row r="188" spans="6:10" ht="15" customHeight="1">
      <c r="F188" s="147"/>
      <c r="G188" s="154"/>
      <c r="H188" s="147"/>
      <c r="I188" s="147"/>
      <c r="J188" s="154"/>
    </row>
    <row r="189" spans="6:10" ht="15" customHeight="1">
      <c r="F189" s="147"/>
      <c r="G189" s="154"/>
      <c r="H189" s="147"/>
      <c r="I189" s="147"/>
      <c r="J189" s="154"/>
    </row>
    <row r="190" spans="6:10" ht="15" customHeight="1">
      <c r="F190" s="147"/>
      <c r="G190" s="154"/>
      <c r="H190" s="147"/>
      <c r="I190" s="147"/>
      <c r="J190" s="154"/>
    </row>
    <row r="191" spans="6:10" ht="15" customHeight="1">
      <c r="F191" s="147"/>
      <c r="G191" s="154"/>
      <c r="H191" s="147"/>
      <c r="I191" s="147"/>
      <c r="J191" s="154"/>
    </row>
    <row r="192" spans="6:10" ht="15" customHeight="1">
      <c r="F192" s="147"/>
      <c r="G192" s="154"/>
      <c r="H192" s="147"/>
      <c r="I192" s="147"/>
      <c r="J192" s="154"/>
    </row>
    <row r="193" spans="6:10" ht="15" customHeight="1">
      <c r="F193" s="147"/>
      <c r="G193" s="154"/>
      <c r="H193" s="147"/>
      <c r="I193" s="147"/>
      <c r="J193" s="154"/>
    </row>
    <row r="194" spans="6:10" ht="15" customHeight="1">
      <c r="F194" s="147"/>
      <c r="G194" s="154"/>
      <c r="H194" s="147"/>
      <c r="I194" s="147"/>
      <c r="J194" s="154"/>
    </row>
    <row r="195" spans="6:10" ht="15" customHeight="1">
      <c r="F195" s="147"/>
      <c r="G195" s="154"/>
      <c r="H195" s="147"/>
      <c r="I195" s="147"/>
      <c r="J195" s="154"/>
    </row>
    <row r="196" spans="6:10" ht="15" customHeight="1">
      <c r="F196" s="147"/>
      <c r="G196" s="154"/>
      <c r="H196" s="147"/>
      <c r="I196" s="147"/>
      <c r="J196" s="154"/>
    </row>
    <row r="197" spans="6:10" ht="15" customHeight="1">
      <c r="H197" s="147"/>
      <c r="I197" s="147"/>
      <c r="J197" s="154"/>
    </row>
    <row r="198" spans="6:10" ht="15" customHeight="1">
      <c r="H198" s="147"/>
      <c r="I198" s="147"/>
      <c r="J198" s="154"/>
    </row>
    <row r="199" spans="6:10" ht="15" customHeight="1">
      <c r="H199" s="147"/>
      <c r="I199" s="147"/>
      <c r="J199" s="154"/>
    </row>
    <row r="200" spans="6:10" ht="15" customHeight="1">
      <c r="H200" s="147"/>
      <c r="I200" s="147"/>
      <c r="J200" s="154"/>
    </row>
    <row r="201" spans="6:10" ht="15" customHeight="1">
      <c r="H201" s="147"/>
      <c r="I201" s="147"/>
      <c r="J201" s="154"/>
    </row>
    <row r="202" spans="6:10" ht="15" customHeight="1">
      <c r="H202" s="147"/>
      <c r="I202" s="147"/>
      <c r="J202" s="154"/>
    </row>
    <row r="203" spans="6:10" ht="15" customHeight="1">
      <c r="H203" s="147"/>
      <c r="I203" s="147"/>
      <c r="J203" s="154"/>
    </row>
    <row r="204" spans="6:10" ht="15" customHeight="1">
      <c r="H204" s="147"/>
      <c r="I204" s="147"/>
      <c r="J204" s="154"/>
    </row>
    <row r="205" spans="6:10" ht="15" customHeight="1">
      <c r="H205" s="147"/>
      <c r="I205" s="147"/>
      <c r="J205" s="154"/>
    </row>
    <row r="206" spans="6:10" ht="15" customHeight="1">
      <c r="H206" s="147"/>
      <c r="I206" s="147"/>
      <c r="J206" s="154"/>
    </row>
    <row r="207" spans="6:10" ht="15" customHeight="1">
      <c r="H207" s="147"/>
      <c r="I207" s="147"/>
      <c r="J207" s="154"/>
    </row>
    <row r="208" spans="6:10" ht="15" customHeight="1">
      <c r="H208" s="147"/>
      <c r="I208" s="147"/>
      <c r="J208" s="154"/>
    </row>
    <row r="209" spans="8:10" ht="15" customHeight="1">
      <c r="H209" s="147"/>
      <c r="I209" s="147"/>
      <c r="J209" s="154"/>
    </row>
    <row r="210" spans="8:10" ht="15" customHeight="1">
      <c r="H210" s="147"/>
      <c r="I210" s="147"/>
      <c r="J210" s="154"/>
    </row>
    <row r="211" spans="8:10" ht="15" customHeight="1">
      <c r="H211" s="147"/>
      <c r="I211" s="147"/>
      <c r="J211" s="154"/>
    </row>
    <row r="212" spans="8:10" ht="15" customHeight="1">
      <c r="H212" s="147"/>
      <c r="I212" s="147"/>
      <c r="J212" s="154"/>
    </row>
    <row r="213" spans="8:10" ht="15" customHeight="1">
      <c r="H213" s="147"/>
      <c r="I213" s="147"/>
      <c r="J213" s="154"/>
    </row>
    <row r="214" spans="8:10" ht="15" customHeight="1">
      <c r="H214" s="147"/>
      <c r="I214" s="147"/>
      <c r="J214" s="154"/>
    </row>
    <row r="215" spans="8:10" ht="15" customHeight="1">
      <c r="H215" s="147"/>
      <c r="I215" s="147"/>
      <c r="J215" s="154"/>
    </row>
    <row r="216" spans="8:10" ht="15" customHeight="1">
      <c r="H216" s="147"/>
      <c r="I216" s="147"/>
      <c r="J216" s="154"/>
    </row>
    <row r="217" spans="8:10" ht="15" customHeight="1">
      <c r="H217" s="147"/>
      <c r="I217" s="147"/>
      <c r="J217" s="154"/>
    </row>
    <row r="218" spans="8:10" ht="15" customHeight="1">
      <c r="H218" s="147"/>
      <c r="I218" s="147"/>
      <c r="J218" s="154"/>
    </row>
    <row r="219" spans="8:10" ht="15" customHeight="1">
      <c r="H219" s="147"/>
      <c r="I219" s="147"/>
      <c r="J219" s="154"/>
    </row>
    <row r="220" spans="8:10" ht="15" customHeight="1">
      <c r="H220" s="147"/>
      <c r="I220" s="147"/>
      <c r="J220" s="154"/>
    </row>
    <row r="221" spans="8:10" ht="15" customHeight="1">
      <c r="H221" s="147"/>
      <c r="I221" s="147"/>
      <c r="J221" s="154"/>
    </row>
    <row r="222" spans="8:10" ht="15" customHeight="1">
      <c r="H222" s="147"/>
      <c r="I222" s="147"/>
      <c r="J222" s="154"/>
    </row>
    <row r="223" spans="8:10" ht="15" customHeight="1">
      <c r="H223" s="147"/>
      <c r="I223" s="147"/>
      <c r="J223" s="154"/>
    </row>
    <row r="224" spans="8:10" ht="15" customHeight="1">
      <c r="H224" s="147"/>
      <c r="I224" s="147"/>
      <c r="J224" s="154"/>
    </row>
    <row r="225" spans="8:10" ht="15" customHeight="1">
      <c r="H225" s="147"/>
      <c r="I225" s="147"/>
      <c r="J225" s="154"/>
    </row>
    <row r="226" spans="8:10" ht="15" customHeight="1">
      <c r="H226" s="147"/>
      <c r="I226" s="147"/>
      <c r="J226" s="154"/>
    </row>
    <row r="227" spans="8:10" ht="15" customHeight="1">
      <c r="H227" s="147"/>
      <c r="I227" s="147"/>
      <c r="J227" s="154"/>
    </row>
    <row r="228" spans="8:10" ht="15" customHeight="1">
      <c r="H228" s="147"/>
      <c r="I228" s="147"/>
      <c r="J228" s="154"/>
    </row>
    <row r="229" spans="8:10" ht="15" customHeight="1">
      <c r="H229" s="147"/>
      <c r="I229" s="147"/>
      <c r="J229" s="154"/>
    </row>
    <row r="230" spans="8:10" ht="15" customHeight="1">
      <c r="H230" s="147"/>
      <c r="I230" s="147"/>
      <c r="J230" s="154"/>
    </row>
    <row r="231" spans="8:10" ht="15" customHeight="1">
      <c r="H231" s="147"/>
      <c r="I231" s="147"/>
      <c r="J231" s="154"/>
    </row>
    <row r="232" spans="8:10" ht="15" customHeight="1">
      <c r="H232" s="147"/>
      <c r="I232" s="147"/>
      <c r="J232" s="154"/>
    </row>
    <row r="233" spans="8:10" ht="15" customHeight="1">
      <c r="H233" s="147"/>
      <c r="I233" s="147"/>
      <c r="J233" s="154"/>
    </row>
    <row r="234" spans="8:10" ht="15" customHeight="1">
      <c r="H234" s="147"/>
      <c r="I234" s="147"/>
      <c r="J234" s="154"/>
    </row>
    <row r="235" spans="8:10" ht="15" customHeight="1">
      <c r="H235" s="147"/>
      <c r="I235" s="147"/>
      <c r="J235" s="154"/>
    </row>
    <row r="236" spans="8:10" ht="15" customHeight="1">
      <c r="H236" s="147"/>
      <c r="I236" s="147"/>
      <c r="J236" s="154"/>
    </row>
    <row r="237" spans="8:10" ht="15" customHeight="1">
      <c r="H237" s="147"/>
      <c r="I237" s="147"/>
      <c r="J237" s="154"/>
    </row>
    <row r="238" spans="8:10" ht="15" customHeight="1">
      <c r="H238" s="147"/>
      <c r="I238" s="147"/>
      <c r="J238" s="154"/>
    </row>
    <row r="239" spans="8:10" ht="15" customHeight="1">
      <c r="H239" s="147"/>
      <c r="I239" s="147"/>
      <c r="J239" s="154"/>
    </row>
    <row r="240" spans="8:10" ht="15" customHeight="1">
      <c r="H240" s="147"/>
      <c r="I240" s="147"/>
      <c r="J240" s="154"/>
    </row>
    <row r="241" spans="8:10" ht="15" customHeight="1">
      <c r="H241" s="147"/>
      <c r="I241" s="147"/>
      <c r="J241" s="154"/>
    </row>
    <row r="242" spans="8:10" ht="15" customHeight="1">
      <c r="H242" s="147"/>
      <c r="I242" s="147"/>
      <c r="J242" s="154"/>
    </row>
    <row r="243" spans="8:10" ht="15" customHeight="1">
      <c r="H243" s="147"/>
      <c r="I243" s="147"/>
      <c r="J243" s="154"/>
    </row>
    <row r="244" spans="8:10" ht="15" customHeight="1">
      <c r="H244" s="147"/>
      <c r="I244" s="147"/>
      <c r="J244" s="154"/>
    </row>
    <row r="245" spans="8:10" ht="15" customHeight="1">
      <c r="H245" s="147"/>
      <c r="I245" s="147"/>
      <c r="J245" s="154"/>
    </row>
    <row r="246" spans="8:10" ht="15" customHeight="1">
      <c r="H246" s="147"/>
      <c r="I246" s="147"/>
      <c r="J246" s="154"/>
    </row>
    <row r="247" spans="8:10" ht="15" customHeight="1">
      <c r="H247" s="147"/>
      <c r="I247" s="147"/>
      <c r="J247" s="154"/>
    </row>
    <row r="248" spans="8:10" ht="15" customHeight="1">
      <c r="H248" s="147"/>
      <c r="I248" s="147"/>
      <c r="J248" s="154"/>
    </row>
    <row r="249" spans="8:10" ht="15" customHeight="1">
      <c r="H249" s="147"/>
      <c r="I249" s="147"/>
      <c r="J249" s="154"/>
    </row>
    <row r="250" spans="8:10" ht="15" customHeight="1">
      <c r="H250" s="147"/>
      <c r="I250" s="147"/>
      <c r="J250" s="154"/>
    </row>
    <row r="251" spans="8:10" ht="15" customHeight="1">
      <c r="H251" s="147"/>
      <c r="I251" s="147"/>
      <c r="J251" s="154"/>
    </row>
    <row r="252" spans="8:10" ht="15" customHeight="1">
      <c r="H252" s="147"/>
      <c r="I252" s="147"/>
      <c r="J252" s="154"/>
    </row>
    <row r="253" spans="8:10" ht="15" customHeight="1">
      <c r="H253" s="147"/>
      <c r="I253" s="147"/>
      <c r="J253" s="154"/>
    </row>
    <row r="254" spans="8:10" ht="15" customHeight="1">
      <c r="H254" s="147"/>
      <c r="I254" s="147"/>
      <c r="J254" s="154"/>
    </row>
    <row r="255" spans="8:10" ht="15" customHeight="1">
      <c r="H255" s="147"/>
      <c r="I255" s="147"/>
      <c r="J255" s="154"/>
    </row>
    <row r="256" spans="8:10" ht="15" customHeight="1">
      <c r="H256" s="147"/>
      <c r="I256" s="147"/>
      <c r="J256" s="154"/>
    </row>
    <row r="257" spans="8:10" ht="15" customHeight="1">
      <c r="H257" s="147"/>
      <c r="I257" s="147"/>
      <c r="J257" s="154"/>
    </row>
    <row r="258" spans="8:10" ht="15" customHeight="1">
      <c r="H258" s="147"/>
      <c r="I258" s="147"/>
      <c r="J258" s="154"/>
    </row>
    <row r="259" spans="8:10" ht="15" customHeight="1">
      <c r="H259" s="147"/>
      <c r="I259" s="147"/>
      <c r="J259" s="154"/>
    </row>
    <row r="260" spans="8:10" ht="15" customHeight="1">
      <c r="H260" s="147"/>
      <c r="I260" s="147"/>
      <c r="J260" s="154"/>
    </row>
    <row r="261" spans="8:10" ht="15" customHeight="1">
      <c r="H261" s="147"/>
      <c r="I261" s="147"/>
      <c r="J261" s="154"/>
    </row>
    <row r="262" spans="8:10" ht="15" customHeight="1">
      <c r="H262" s="147"/>
      <c r="I262" s="147"/>
      <c r="J262" s="154"/>
    </row>
    <row r="263" spans="8:10" ht="15" customHeight="1">
      <c r="H263" s="147"/>
      <c r="I263" s="147"/>
      <c r="J263" s="154"/>
    </row>
    <row r="264" spans="8:10" ht="15" customHeight="1">
      <c r="H264" s="147"/>
      <c r="I264" s="147"/>
      <c r="J264" s="154"/>
    </row>
    <row r="265" spans="8:10" ht="15" customHeight="1">
      <c r="H265" s="147"/>
      <c r="I265" s="147"/>
      <c r="J265" s="154"/>
    </row>
    <row r="266" spans="8:10" ht="15" customHeight="1">
      <c r="H266" s="147"/>
      <c r="I266" s="147"/>
      <c r="J266" s="154"/>
    </row>
    <row r="267" spans="8:10" ht="15" customHeight="1">
      <c r="H267" s="147"/>
      <c r="I267" s="147"/>
      <c r="J267" s="154"/>
    </row>
    <row r="268" spans="8:10" ht="15" customHeight="1">
      <c r="H268" s="147"/>
      <c r="I268" s="147"/>
      <c r="J268" s="154"/>
    </row>
    <row r="269" spans="8:10" ht="15" customHeight="1">
      <c r="H269" s="147"/>
      <c r="I269" s="147"/>
      <c r="J269" s="154"/>
    </row>
    <row r="270" spans="8:10" ht="15" customHeight="1">
      <c r="H270" s="147"/>
      <c r="I270" s="147"/>
      <c r="J270" s="154"/>
    </row>
    <row r="271" spans="8:10" ht="15" customHeight="1">
      <c r="H271" s="147"/>
      <c r="I271" s="147"/>
      <c r="J271" s="154"/>
    </row>
    <row r="272" spans="8:10" ht="15" customHeight="1">
      <c r="H272" s="147"/>
      <c r="I272" s="147"/>
      <c r="J272" s="154"/>
    </row>
    <row r="273" spans="8:10" ht="15" customHeight="1">
      <c r="H273" s="147"/>
      <c r="I273" s="147"/>
      <c r="J273" s="154"/>
    </row>
    <row r="274" spans="8:10" ht="15" customHeight="1">
      <c r="H274" s="147"/>
      <c r="I274" s="147"/>
      <c r="J274" s="154"/>
    </row>
    <row r="275" spans="8:10" ht="15" customHeight="1">
      <c r="H275" s="147"/>
      <c r="I275" s="147"/>
      <c r="J275" s="154"/>
    </row>
    <row r="276" spans="8:10" ht="15" customHeight="1">
      <c r="H276" s="147"/>
      <c r="I276" s="147"/>
      <c r="J276" s="154"/>
    </row>
    <row r="277" spans="8:10" ht="15" customHeight="1">
      <c r="H277" s="147"/>
      <c r="I277" s="147"/>
      <c r="J277" s="154"/>
    </row>
    <row r="278" spans="8:10" ht="15" customHeight="1">
      <c r="H278" s="147"/>
      <c r="I278" s="147"/>
      <c r="J278" s="154"/>
    </row>
    <row r="279" spans="8:10" ht="15" customHeight="1">
      <c r="H279" s="147"/>
      <c r="I279" s="147"/>
      <c r="J279" s="154"/>
    </row>
    <row r="280" spans="8:10" ht="15" customHeight="1">
      <c r="H280" s="147"/>
      <c r="I280" s="147"/>
      <c r="J280" s="154"/>
    </row>
    <row r="281" spans="8:10" ht="15" customHeight="1">
      <c r="H281" s="147"/>
      <c r="I281" s="147"/>
      <c r="J281" s="154"/>
    </row>
    <row r="282" spans="8:10" ht="15" customHeight="1">
      <c r="H282" s="147"/>
      <c r="I282" s="147"/>
      <c r="J282" s="154"/>
    </row>
    <row r="283" spans="8:10" ht="15" customHeight="1">
      <c r="H283" s="147"/>
      <c r="I283" s="147"/>
      <c r="J283" s="154"/>
    </row>
    <row r="284" spans="8:10" ht="15" customHeight="1">
      <c r="H284" s="147"/>
      <c r="I284" s="147"/>
      <c r="J284" s="154"/>
    </row>
    <row r="285" spans="8:10" ht="15" customHeight="1">
      <c r="H285" s="147"/>
      <c r="I285" s="147"/>
      <c r="J285" s="154"/>
    </row>
    <row r="286" spans="8:10" ht="15" customHeight="1">
      <c r="H286" s="147"/>
      <c r="I286" s="147"/>
      <c r="J286" s="154"/>
    </row>
    <row r="287" spans="8:10" ht="15" customHeight="1">
      <c r="H287" s="147"/>
      <c r="I287" s="147"/>
      <c r="J287" s="154"/>
    </row>
    <row r="288" spans="8:10" ht="15" customHeight="1">
      <c r="H288" s="147"/>
      <c r="I288" s="147"/>
      <c r="J288" s="154"/>
    </row>
    <row r="289" spans="8:10" ht="15" customHeight="1">
      <c r="H289" s="147"/>
      <c r="I289" s="147"/>
      <c r="J289" s="154"/>
    </row>
    <row r="290" spans="8:10" ht="15" customHeight="1">
      <c r="H290" s="147"/>
      <c r="I290" s="147"/>
      <c r="J290" s="154"/>
    </row>
    <row r="291" spans="8:10" ht="15" customHeight="1">
      <c r="H291" s="147"/>
      <c r="I291" s="147"/>
      <c r="J291" s="154"/>
    </row>
    <row r="292" spans="8:10" ht="15" customHeight="1">
      <c r="H292" s="147"/>
      <c r="I292" s="147"/>
      <c r="J292" s="154"/>
    </row>
    <row r="293" spans="8:10" ht="15" customHeight="1">
      <c r="H293" s="147"/>
      <c r="I293" s="147"/>
      <c r="J293" s="154"/>
    </row>
    <row r="294" spans="8:10" ht="15" customHeight="1">
      <c r="H294" s="147"/>
      <c r="I294" s="147"/>
      <c r="J294" s="154"/>
    </row>
    <row r="295" spans="8:10" ht="15" customHeight="1">
      <c r="H295" s="147"/>
      <c r="I295" s="147"/>
      <c r="J295" s="154"/>
    </row>
    <row r="296" spans="8:10" ht="15" customHeight="1">
      <c r="H296" s="147"/>
      <c r="I296" s="147"/>
      <c r="J296" s="154"/>
    </row>
    <row r="297" spans="8:10" ht="15" customHeight="1">
      <c r="H297" s="147"/>
      <c r="I297" s="147"/>
      <c r="J297" s="154"/>
    </row>
    <row r="298" spans="8:10" ht="15" customHeight="1">
      <c r="H298" s="147"/>
      <c r="I298" s="147"/>
      <c r="J298" s="154"/>
    </row>
    <row r="299" spans="8:10" ht="15" customHeight="1">
      <c r="H299" s="147"/>
      <c r="I299" s="147"/>
      <c r="J299" s="154"/>
    </row>
    <row r="300" spans="8:10" ht="15" customHeight="1">
      <c r="H300" s="147"/>
      <c r="I300" s="147"/>
      <c r="J300" s="154"/>
    </row>
    <row r="301" spans="8:10" ht="15" customHeight="1">
      <c r="H301" s="147"/>
      <c r="I301" s="147"/>
      <c r="J301" s="154"/>
    </row>
    <row r="302" spans="8:10" ht="15" customHeight="1">
      <c r="H302" s="147"/>
      <c r="I302" s="147"/>
      <c r="J302" s="154"/>
    </row>
    <row r="303" spans="8:10" ht="15" customHeight="1">
      <c r="H303" s="147"/>
      <c r="I303" s="147"/>
      <c r="J303" s="154"/>
    </row>
    <row r="304" spans="8:10" ht="15" customHeight="1">
      <c r="H304" s="147"/>
      <c r="I304" s="147"/>
      <c r="J304" s="154"/>
    </row>
    <row r="305" spans="8:10" ht="15" customHeight="1">
      <c r="H305" s="147"/>
      <c r="I305" s="147"/>
      <c r="J305" s="154"/>
    </row>
    <row r="306" spans="8:10" ht="15" customHeight="1">
      <c r="H306" s="147"/>
      <c r="I306" s="147"/>
      <c r="J306" s="154"/>
    </row>
    <row r="307" spans="8:10" ht="15" customHeight="1">
      <c r="H307" s="147"/>
      <c r="I307" s="147"/>
      <c r="J307" s="154"/>
    </row>
    <row r="308" spans="8:10" ht="15" customHeight="1">
      <c r="H308" s="147"/>
      <c r="I308" s="147"/>
      <c r="J308" s="154"/>
    </row>
    <row r="309" spans="8:10" ht="15" customHeight="1">
      <c r="H309" s="147"/>
      <c r="I309" s="147"/>
      <c r="J309" s="154"/>
    </row>
    <row r="310" spans="8:10" ht="15" customHeight="1">
      <c r="H310" s="147"/>
      <c r="I310" s="147"/>
      <c r="J310" s="154"/>
    </row>
    <row r="311" spans="8:10" ht="15" customHeight="1">
      <c r="H311" s="147"/>
      <c r="I311" s="147"/>
      <c r="J311" s="154"/>
    </row>
    <row r="312" spans="8:10" ht="15" customHeight="1">
      <c r="H312" s="147"/>
      <c r="I312" s="147"/>
      <c r="J312" s="154"/>
    </row>
    <row r="313" spans="8:10" ht="15" customHeight="1">
      <c r="H313" s="147"/>
      <c r="I313" s="147"/>
      <c r="J313" s="154"/>
    </row>
    <row r="314" spans="8:10" ht="15" customHeight="1">
      <c r="H314" s="147"/>
      <c r="I314" s="147"/>
      <c r="J314" s="154"/>
    </row>
    <row r="315" spans="8:10" ht="15" customHeight="1">
      <c r="H315" s="147"/>
      <c r="I315" s="147"/>
      <c r="J315" s="154"/>
    </row>
    <row r="316" spans="8:10" ht="15" customHeight="1">
      <c r="H316" s="147"/>
      <c r="I316" s="147"/>
      <c r="J316" s="154"/>
    </row>
    <row r="317" spans="8:10" ht="15" customHeight="1">
      <c r="H317" s="147"/>
      <c r="I317" s="147"/>
      <c r="J317" s="154"/>
    </row>
    <row r="318" spans="8:10" ht="15" customHeight="1">
      <c r="H318" s="147"/>
      <c r="I318" s="147"/>
      <c r="J318" s="154"/>
    </row>
    <row r="319" spans="8:10" ht="15" customHeight="1">
      <c r="H319" s="147"/>
      <c r="I319" s="147"/>
      <c r="J319" s="154"/>
    </row>
    <row r="320" spans="8:10" ht="15" customHeight="1">
      <c r="H320" s="147"/>
      <c r="I320" s="147"/>
      <c r="J320" s="154"/>
    </row>
    <row r="321" spans="8:10" ht="15" customHeight="1">
      <c r="H321" s="147"/>
      <c r="I321" s="147"/>
      <c r="J321" s="154"/>
    </row>
    <row r="322" spans="8:10" ht="15" customHeight="1">
      <c r="H322" s="147"/>
      <c r="I322" s="147"/>
      <c r="J322" s="154"/>
    </row>
    <row r="323" spans="8:10" ht="15" customHeight="1">
      <c r="H323" s="147"/>
      <c r="I323" s="147"/>
      <c r="J323" s="154"/>
    </row>
    <row r="324" spans="8:10" ht="15" customHeight="1">
      <c r="H324" s="147"/>
      <c r="I324" s="147"/>
      <c r="J324" s="154"/>
    </row>
    <row r="325" spans="8:10" ht="15" customHeight="1">
      <c r="H325" s="147"/>
      <c r="I325" s="147"/>
      <c r="J325" s="154"/>
    </row>
    <row r="326" spans="8:10" ht="15" customHeight="1">
      <c r="H326" s="147"/>
      <c r="I326" s="147"/>
      <c r="J326" s="154"/>
    </row>
    <row r="327" spans="8:10" ht="15" customHeight="1">
      <c r="H327" s="147"/>
      <c r="I327" s="147"/>
      <c r="J327" s="154"/>
    </row>
    <row r="328" spans="8:10" ht="15" customHeight="1">
      <c r="H328" s="147"/>
      <c r="I328" s="147"/>
      <c r="J328" s="154"/>
    </row>
    <row r="329" spans="8:10" ht="15" customHeight="1">
      <c r="H329" s="147"/>
      <c r="I329" s="147"/>
      <c r="J329" s="154"/>
    </row>
    <row r="330" spans="8:10" ht="15" customHeight="1">
      <c r="H330" s="147"/>
      <c r="I330" s="147"/>
      <c r="J330" s="154"/>
    </row>
    <row r="331" spans="8:10" ht="15" customHeight="1">
      <c r="H331" s="147"/>
      <c r="I331" s="147"/>
      <c r="J331" s="154"/>
    </row>
    <row r="332" spans="8:10" ht="15" customHeight="1">
      <c r="H332" s="147"/>
    </row>
    <row r="333" spans="8:10" ht="15" customHeight="1">
      <c r="H333" s="147"/>
    </row>
    <row r="334" spans="8:10" ht="15" customHeight="1">
      <c r="H334" s="147"/>
    </row>
    <row r="335" spans="8:10" ht="15" customHeight="1">
      <c r="H335" s="147"/>
    </row>
    <row r="336" spans="8:10" ht="15" customHeight="1">
      <c r="H336" s="147"/>
    </row>
    <row r="337" spans="8:8" ht="15" customHeight="1">
      <c r="H337" s="147"/>
    </row>
    <row r="338" spans="8:8" ht="15" customHeight="1">
      <c r="H338" s="147"/>
    </row>
    <row r="339" spans="8:8" ht="15" customHeight="1">
      <c r="H339" s="147"/>
    </row>
    <row r="340" spans="8:8" ht="15" customHeight="1">
      <c r="H340" s="147"/>
    </row>
    <row r="341" spans="8:8" ht="15" customHeight="1">
      <c r="H341" s="147"/>
    </row>
    <row r="342" spans="8:8" ht="15" customHeight="1">
      <c r="H342" s="147"/>
    </row>
    <row r="343" spans="8:8" ht="15" customHeight="1">
      <c r="H343" s="147"/>
    </row>
    <row r="344" spans="8:8" ht="15" customHeight="1">
      <c r="H344" s="147"/>
    </row>
    <row r="345" spans="8:8" ht="15" customHeight="1">
      <c r="H345" s="147"/>
    </row>
    <row r="346" spans="8:8" ht="15" customHeight="1">
      <c r="H346" s="147"/>
    </row>
    <row r="347" spans="8:8" ht="15" customHeight="1">
      <c r="H347" s="147"/>
    </row>
    <row r="348" spans="8:8" ht="15" customHeight="1">
      <c r="H348" s="147"/>
    </row>
    <row r="349" spans="8:8" ht="15" customHeight="1">
      <c r="H349" s="147"/>
    </row>
    <row r="350" spans="8:8" ht="15" customHeight="1">
      <c r="H350" s="147"/>
    </row>
    <row r="351" spans="8:8" ht="15" customHeight="1">
      <c r="H351" s="147"/>
    </row>
    <row r="352" spans="8:8" ht="15" customHeight="1">
      <c r="H352" s="147"/>
    </row>
    <row r="353" spans="8:8" ht="15" customHeight="1">
      <c r="H353" s="147"/>
    </row>
    <row r="354" spans="8:8" ht="15" customHeight="1">
      <c r="H354" s="147"/>
    </row>
    <row r="355" spans="8:8" ht="15" customHeight="1">
      <c r="H355" s="147"/>
    </row>
    <row r="356" spans="8:8" ht="15" customHeight="1">
      <c r="H356" s="147"/>
    </row>
    <row r="357" spans="8:8" ht="15" customHeight="1">
      <c r="H357" s="147"/>
    </row>
    <row r="358" spans="8:8" ht="15" customHeight="1">
      <c r="H358" s="147"/>
    </row>
    <row r="359" spans="8:8" ht="15" customHeight="1">
      <c r="H359" s="147"/>
    </row>
    <row r="360" spans="8:8" ht="15" customHeight="1">
      <c r="H360" s="147"/>
    </row>
    <row r="361" spans="8:8" ht="15" customHeight="1">
      <c r="H361" s="147"/>
    </row>
    <row r="362" spans="8:8" ht="15" customHeight="1">
      <c r="H362" s="147"/>
    </row>
    <row r="363" spans="8:8" ht="15" customHeight="1">
      <c r="H363" s="147"/>
    </row>
    <row r="364" spans="8:8" ht="15" customHeight="1">
      <c r="H364" s="147"/>
    </row>
    <row r="365" spans="8:8" ht="15" customHeight="1">
      <c r="H365" s="147"/>
    </row>
    <row r="366" spans="8:8" ht="15" customHeight="1">
      <c r="H366" s="147"/>
    </row>
    <row r="367" spans="8:8" ht="15" customHeight="1">
      <c r="H367" s="147"/>
    </row>
    <row r="368" spans="8:8" ht="15" customHeight="1">
      <c r="H368" s="147"/>
    </row>
    <row r="369" spans="8:8" ht="15" customHeight="1">
      <c r="H369" s="147"/>
    </row>
    <row r="370" spans="8:8" ht="15" customHeight="1">
      <c r="H370" s="147"/>
    </row>
    <row r="371" spans="8:8" ht="15" customHeight="1">
      <c r="H371" s="147"/>
    </row>
    <row r="372" spans="8:8" ht="15" customHeight="1">
      <c r="H372" s="147"/>
    </row>
    <row r="373" spans="8:8" ht="15" customHeight="1">
      <c r="H373" s="147"/>
    </row>
    <row r="374" spans="8:8" ht="15" customHeight="1">
      <c r="H374" s="147"/>
    </row>
    <row r="375" spans="8:8" ht="15" customHeight="1">
      <c r="H375" s="147"/>
    </row>
    <row r="376" spans="8:8" ht="15" customHeight="1">
      <c r="H376" s="147"/>
    </row>
    <row r="377" spans="8:8" ht="15" customHeight="1">
      <c r="H377" s="147"/>
    </row>
    <row r="378" spans="8:8" ht="15" customHeight="1">
      <c r="H378" s="147"/>
    </row>
    <row r="379" spans="8:8" ht="15" customHeight="1">
      <c r="H379" s="147"/>
    </row>
    <row r="380" spans="8:8" ht="15" customHeight="1">
      <c r="H380" s="147"/>
    </row>
    <row r="381" spans="8:8" ht="15" customHeight="1">
      <c r="H381" s="147"/>
    </row>
    <row r="382" spans="8:8" ht="15" customHeight="1">
      <c r="H382" s="147"/>
    </row>
    <row r="383" spans="8:8" ht="15" customHeight="1">
      <c r="H383" s="147"/>
    </row>
    <row r="384" spans="8:8" ht="15" customHeight="1">
      <c r="H384" s="147"/>
    </row>
    <row r="385" spans="8:8" ht="15" customHeight="1">
      <c r="H385" s="147"/>
    </row>
    <row r="386" spans="8:8" ht="15" customHeight="1">
      <c r="H386" s="147"/>
    </row>
    <row r="387" spans="8:8" ht="15" customHeight="1">
      <c r="H387" s="147"/>
    </row>
    <row r="388" spans="8:8" ht="15" customHeight="1">
      <c r="H388" s="147"/>
    </row>
    <row r="389" spans="8:8" ht="15" customHeight="1">
      <c r="H389" s="147"/>
    </row>
    <row r="390" spans="8:8" ht="15" customHeight="1">
      <c r="H390" s="147"/>
    </row>
    <row r="391" spans="8:8" ht="15" customHeight="1">
      <c r="H391" s="147"/>
    </row>
    <row r="392" spans="8:8" ht="15" customHeight="1">
      <c r="H392" s="147"/>
    </row>
    <row r="393" spans="8:8" ht="15" customHeight="1">
      <c r="H393" s="147"/>
    </row>
    <row r="394" spans="8:8" ht="15" customHeight="1">
      <c r="H394" s="147"/>
    </row>
    <row r="395" spans="8:8" ht="15" customHeight="1">
      <c r="H395" s="147"/>
    </row>
    <row r="396" spans="8:8" ht="15" customHeight="1">
      <c r="H396" s="147"/>
    </row>
    <row r="397" spans="8:8" ht="15" customHeight="1">
      <c r="H397" s="147"/>
    </row>
    <row r="398" spans="8:8" ht="15" customHeight="1">
      <c r="H398" s="147"/>
    </row>
    <row r="399" spans="8:8" ht="15" customHeight="1">
      <c r="H399" s="147"/>
    </row>
    <row r="400" spans="8:8" ht="15" customHeight="1">
      <c r="H400" s="147"/>
    </row>
    <row r="401" spans="8:8" ht="15" customHeight="1">
      <c r="H401" s="147"/>
    </row>
    <row r="402" spans="8:8" ht="15" customHeight="1">
      <c r="H402" s="147"/>
    </row>
    <row r="403" spans="8:8" ht="15" customHeight="1">
      <c r="H403" s="147"/>
    </row>
    <row r="404" spans="8:8" ht="15" customHeight="1">
      <c r="H404" s="147"/>
    </row>
    <row r="405" spans="8:8" ht="15" customHeight="1">
      <c r="H405" s="147"/>
    </row>
    <row r="406" spans="8:8" ht="15" customHeight="1">
      <c r="H406" s="147"/>
    </row>
    <row r="407" spans="8:8" ht="15" customHeight="1">
      <c r="H407" s="147"/>
    </row>
    <row r="408" spans="8:8" ht="15" customHeight="1">
      <c r="H408" s="147"/>
    </row>
    <row r="409" spans="8:8" ht="15" customHeight="1">
      <c r="H409" s="147"/>
    </row>
    <row r="410" spans="8:8" ht="15" customHeight="1">
      <c r="H410" s="147"/>
    </row>
    <row r="411" spans="8:8" ht="15" customHeight="1">
      <c r="H411" s="147"/>
    </row>
    <row r="412" spans="8:8" ht="15" customHeight="1">
      <c r="H412" s="147"/>
    </row>
    <row r="413" spans="8:8" ht="15" customHeight="1">
      <c r="H413" s="147"/>
    </row>
    <row r="414" spans="8:8" ht="15" customHeight="1">
      <c r="H414" s="147"/>
    </row>
    <row r="415" spans="8:8" ht="15" customHeight="1">
      <c r="H415" s="147"/>
    </row>
    <row r="416" spans="8:8" ht="15" customHeight="1">
      <c r="H416" s="147"/>
    </row>
    <row r="417" spans="8:8" ht="15" customHeight="1">
      <c r="H417" s="147"/>
    </row>
    <row r="418" spans="8:8" ht="15" customHeight="1">
      <c r="H418" s="147"/>
    </row>
    <row r="419" spans="8:8" ht="15" customHeight="1">
      <c r="H419" s="147"/>
    </row>
    <row r="420" spans="8:8" ht="15" customHeight="1">
      <c r="H420" s="147"/>
    </row>
    <row r="421" spans="8:8" ht="15" customHeight="1">
      <c r="H421" s="147"/>
    </row>
    <row r="422" spans="8:8" ht="15" customHeight="1">
      <c r="H422" s="147"/>
    </row>
    <row r="423" spans="8:8" ht="15" customHeight="1">
      <c r="H423" s="147"/>
    </row>
    <row r="424" spans="8:8" ht="15" customHeight="1">
      <c r="H424" s="147"/>
    </row>
    <row r="425" spans="8:8" ht="15" customHeight="1">
      <c r="H425" s="147"/>
    </row>
    <row r="426" spans="8:8" ht="15" customHeight="1">
      <c r="H426" s="147"/>
    </row>
    <row r="427" spans="8:8" ht="15" customHeight="1">
      <c r="H427" s="147"/>
    </row>
    <row r="428" spans="8:8" ht="15" customHeight="1">
      <c r="H428" s="147"/>
    </row>
    <row r="429" spans="8:8" ht="15" customHeight="1">
      <c r="H429" s="147"/>
    </row>
    <row r="430" spans="8:8" ht="15" customHeight="1">
      <c r="H430" s="147"/>
    </row>
    <row r="431" spans="8:8" ht="15" customHeight="1">
      <c r="H431" s="147"/>
    </row>
    <row r="432" spans="8:8" ht="15" customHeight="1">
      <c r="H432" s="147"/>
    </row>
    <row r="433" spans="8:8" ht="15" customHeight="1">
      <c r="H433" s="147"/>
    </row>
    <row r="434" spans="8:8" ht="15" customHeight="1">
      <c r="H434" s="147"/>
    </row>
    <row r="435" spans="8:8" ht="15" customHeight="1">
      <c r="H435" s="147"/>
    </row>
    <row r="436" spans="8:8" ht="15" customHeight="1">
      <c r="H436" s="147"/>
    </row>
    <row r="437" spans="8:8" ht="15" customHeight="1">
      <c r="H437" s="147"/>
    </row>
    <row r="438" spans="8:8" ht="15" customHeight="1">
      <c r="H438" s="147"/>
    </row>
    <row r="439" spans="8:8" ht="15" customHeight="1">
      <c r="H439" s="147"/>
    </row>
    <row r="440" spans="8:8" ht="15" customHeight="1">
      <c r="H440" s="147"/>
    </row>
    <row r="441" spans="8:8" ht="15" customHeight="1">
      <c r="H441" s="147"/>
    </row>
    <row r="442" spans="8:8" ht="15" customHeight="1">
      <c r="H442" s="147"/>
    </row>
    <row r="443" spans="8:8" ht="15" customHeight="1">
      <c r="H443" s="147"/>
    </row>
    <row r="444" spans="8:8" ht="15" customHeight="1">
      <c r="H444" s="147"/>
    </row>
    <row r="445" spans="8:8" ht="15" customHeight="1">
      <c r="H445" s="147"/>
    </row>
    <row r="446" spans="8:8" ht="15" customHeight="1">
      <c r="H446" s="147"/>
    </row>
    <row r="447" spans="8:8" ht="15" customHeight="1">
      <c r="H447" s="147"/>
    </row>
    <row r="448" spans="8:8" ht="15" customHeight="1">
      <c r="H448" s="147"/>
    </row>
    <row r="449" spans="8:8" ht="15" customHeight="1">
      <c r="H449" s="147"/>
    </row>
    <row r="450" spans="8:8" ht="15" customHeight="1">
      <c r="H450" s="147"/>
    </row>
    <row r="451" spans="8:8" ht="15" customHeight="1">
      <c r="H451" s="147"/>
    </row>
    <row r="452" spans="8:8" ht="15" customHeight="1">
      <c r="H452" s="147"/>
    </row>
    <row r="453" spans="8:8" ht="15" customHeight="1">
      <c r="H453" s="147"/>
    </row>
    <row r="454" spans="8:8" ht="15" customHeight="1">
      <c r="H454" s="147"/>
    </row>
    <row r="455" spans="8:8" ht="15" customHeight="1">
      <c r="H455" s="147"/>
    </row>
    <row r="456" spans="8:8" ht="15" customHeight="1">
      <c r="H456" s="147"/>
    </row>
    <row r="457" spans="8:8" ht="15" customHeight="1">
      <c r="H457" s="147"/>
    </row>
    <row r="458" spans="8:8" ht="15" customHeight="1">
      <c r="H458" s="147"/>
    </row>
    <row r="459" spans="8:8" ht="15" customHeight="1">
      <c r="H459" s="147"/>
    </row>
    <row r="460" spans="8:8" ht="15" customHeight="1">
      <c r="H460" s="147"/>
    </row>
    <row r="461" spans="8:8" ht="15" customHeight="1">
      <c r="H461" s="147"/>
    </row>
    <row r="462" spans="8:8" ht="15" customHeight="1">
      <c r="H462" s="147"/>
    </row>
    <row r="463" spans="8:8" ht="15" customHeight="1">
      <c r="H463" s="147"/>
    </row>
    <row r="464" spans="8:8" ht="15" customHeight="1">
      <c r="H464" s="147"/>
    </row>
    <row r="465" spans="8:8" ht="15" customHeight="1">
      <c r="H465" s="147"/>
    </row>
    <row r="466" spans="8:8" ht="15" customHeight="1">
      <c r="H466" s="147"/>
    </row>
    <row r="467" spans="8:8" ht="15" customHeight="1">
      <c r="H467" s="147"/>
    </row>
    <row r="468" spans="8:8" ht="15" customHeight="1">
      <c r="H468" s="147"/>
    </row>
    <row r="469" spans="8:8" ht="15" customHeight="1">
      <c r="H469" s="147"/>
    </row>
    <row r="470" spans="8:8" ht="15" customHeight="1">
      <c r="H470" s="147"/>
    </row>
    <row r="471" spans="8:8" ht="15" customHeight="1">
      <c r="H471" s="147"/>
    </row>
    <row r="472" spans="8:8" ht="15" customHeight="1">
      <c r="H472" s="147"/>
    </row>
    <row r="473" spans="8:8" ht="15" customHeight="1">
      <c r="H473" s="147"/>
    </row>
    <row r="474" spans="8:8" ht="15" customHeight="1">
      <c r="H474" s="147"/>
    </row>
    <row r="475" spans="8:8" ht="15" customHeight="1">
      <c r="H475" s="147"/>
    </row>
    <row r="476" spans="8:8" ht="15" customHeight="1">
      <c r="H476" s="147"/>
    </row>
    <row r="477" spans="8:8" ht="15" customHeight="1">
      <c r="H477" s="147"/>
    </row>
    <row r="478" spans="8:8" ht="15" customHeight="1">
      <c r="H478" s="147"/>
    </row>
    <row r="479" spans="8:8" ht="15" customHeight="1">
      <c r="H479" s="147"/>
    </row>
    <row r="480" spans="8:8" ht="15" customHeight="1">
      <c r="H480" s="147"/>
    </row>
    <row r="481" spans="8:8" ht="15" customHeight="1">
      <c r="H481" s="147"/>
    </row>
    <row r="482" spans="8:8" ht="15" customHeight="1">
      <c r="H482" s="147"/>
    </row>
    <row r="483" spans="8:8" ht="15" customHeight="1">
      <c r="H483" s="147"/>
    </row>
    <row r="484" spans="8:8" ht="15" customHeight="1">
      <c r="H484" s="147"/>
    </row>
    <row r="485" spans="8:8" ht="15" customHeight="1">
      <c r="H485" s="147"/>
    </row>
    <row r="486" spans="8:8" ht="15" customHeight="1">
      <c r="H486" s="147"/>
    </row>
    <row r="487" spans="8:8" ht="15" customHeight="1">
      <c r="H487" s="147"/>
    </row>
    <row r="488" spans="8:8" ht="15" customHeight="1">
      <c r="H488" s="147"/>
    </row>
    <row r="489" spans="8:8" ht="15" customHeight="1">
      <c r="H489" s="147"/>
    </row>
    <row r="490" spans="8:8" ht="15" customHeight="1">
      <c r="H490" s="147"/>
    </row>
    <row r="491" spans="8:8" ht="15" customHeight="1">
      <c r="H491" s="147"/>
    </row>
    <row r="492" spans="8:8" ht="15" customHeight="1">
      <c r="H492" s="147"/>
    </row>
    <row r="493" spans="8:8" ht="15" customHeight="1">
      <c r="H493" s="147"/>
    </row>
    <row r="494" spans="8:8" ht="15" customHeight="1">
      <c r="H494" s="147"/>
    </row>
    <row r="495" spans="8:8" ht="15" customHeight="1">
      <c r="H495" s="147"/>
    </row>
    <row r="496" spans="8:8" ht="15" customHeight="1">
      <c r="H496" s="147"/>
    </row>
    <row r="497" spans="8:8" ht="15" customHeight="1">
      <c r="H497" s="147"/>
    </row>
    <row r="498" spans="8:8" ht="15" customHeight="1">
      <c r="H498" s="147"/>
    </row>
    <row r="499" spans="8:8" ht="15" customHeight="1">
      <c r="H499" s="147"/>
    </row>
    <row r="500" spans="8:8" ht="15" customHeight="1">
      <c r="H500" s="147"/>
    </row>
    <row r="501" spans="8:8" ht="15" customHeight="1">
      <c r="H501" s="147"/>
    </row>
    <row r="502" spans="8:8" ht="15" customHeight="1">
      <c r="H502" s="147"/>
    </row>
    <row r="503" spans="8:8" ht="15" customHeight="1">
      <c r="H503" s="147"/>
    </row>
    <row r="504" spans="8:8" ht="15" customHeight="1">
      <c r="H504" s="147"/>
    </row>
    <row r="505" spans="8:8" ht="15" customHeight="1">
      <c r="H505" s="147"/>
    </row>
    <row r="506" spans="8:8" ht="15" customHeight="1">
      <c r="H506" s="147"/>
    </row>
    <row r="507" spans="8:8" ht="15" customHeight="1">
      <c r="H507" s="147"/>
    </row>
    <row r="508" spans="8:8" ht="15" customHeight="1">
      <c r="H508" s="147"/>
    </row>
    <row r="509" spans="8:8" ht="15" customHeight="1">
      <c r="H509" s="147"/>
    </row>
    <row r="510" spans="8:8" ht="15" customHeight="1">
      <c r="H510" s="147"/>
    </row>
    <row r="511" spans="8:8" ht="15" customHeight="1">
      <c r="H511" s="147"/>
    </row>
    <row r="512" spans="8:8" ht="15" customHeight="1">
      <c r="H512" s="147"/>
    </row>
    <row r="513" spans="8:8" ht="15" customHeight="1">
      <c r="H513" s="147"/>
    </row>
    <row r="514" spans="8:8" ht="15" customHeight="1">
      <c r="H514" s="147"/>
    </row>
    <row r="515" spans="8:8" ht="15" customHeight="1">
      <c r="H515" s="147"/>
    </row>
    <row r="516" spans="8:8" ht="15" customHeight="1">
      <c r="H516" s="147"/>
    </row>
    <row r="517" spans="8:8" ht="15" customHeight="1">
      <c r="H517" s="147"/>
    </row>
    <row r="518" spans="8:8" ht="15" customHeight="1">
      <c r="H518" s="147"/>
    </row>
    <row r="519" spans="8:8" ht="15" customHeight="1">
      <c r="H519" s="147"/>
    </row>
    <row r="520" spans="8:8" ht="15" customHeight="1">
      <c r="H520" s="147"/>
    </row>
    <row r="521" spans="8:8" ht="15" customHeight="1">
      <c r="H521" s="147"/>
    </row>
    <row r="522" spans="8:8" ht="15" customHeight="1">
      <c r="H522" s="147"/>
    </row>
    <row r="523" spans="8:8" ht="15" customHeight="1">
      <c r="H523" s="147"/>
    </row>
    <row r="524" spans="8:8" ht="15" customHeight="1">
      <c r="H524" s="147"/>
    </row>
    <row r="525" spans="8:8" ht="15" customHeight="1">
      <c r="H525" s="147"/>
    </row>
    <row r="526" spans="8:8" ht="15" customHeight="1">
      <c r="H526" s="147"/>
    </row>
    <row r="527" spans="8:8" ht="15" customHeight="1">
      <c r="H527" s="147"/>
    </row>
    <row r="528" spans="8:8" ht="15" customHeight="1">
      <c r="H528" s="147"/>
    </row>
    <row r="529" spans="8:8" ht="15" customHeight="1">
      <c r="H529" s="147"/>
    </row>
    <row r="530" spans="8:8" ht="15" customHeight="1">
      <c r="H530" s="147"/>
    </row>
    <row r="531" spans="8:8" ht="15" customHeight="1">
      <c r="H531" s="147"/>
    </row>
    <row r="532" spans="8:8" ht="15" customHeight="1">
      <c r="H532" s="147"/>
    </row>
    <row r="533" spans="8:8" ht="15" customHeight="1">
      <c r="H533" s="147"/>
    </row>
    <row r="534" spans="8:8" ht="15" customHeight="1">
      <c r="H534" s="147"/>
    </row>
    <row r="535" spans="8:8" ht="15" customHeight="1">
      <c r="H535" s="147"/>
    </row>
    <row r="536" spans="8:8" ht="15" customHeight="1">
      <c r="H536" s="147"/>
    </row>
    <row r="537" spans="8:8" ht="15" customHeight="1">
      <c r="H537" s="147"/>
    </row>
    <row r="538" spans="8:8" ht="15" customHeight="1">
      <c r="H538" s="147"/>
    </row>
    <row r="539" spans="8:8" ht="15" customHeight="1">
      <c r="H539" s="147"/>
    </row>
    <row r="540" spans="8:8" ht="15" customHeight="1">
      <c r="H540" s="147"/>
    </row>
    <row r="541" spans="8:8" ht="15" customHeight="1">
      <c r="H541" s="147"/>
    </row>
    <row r="542" spans="8:8" ht="15" customHeight="1">
      <c r="H542" s="147"/>
    </row>
    <row r="543" spans="8:8" ht="15" customHeight="1">
      <c r="H543" s="147"/>
    </row>
    <row r="544" spans="8:8" ht="15" customHeight="1">
      <c r="H544" s="147"/>
    </row>
    <row r="545" spans="8:8" ht="15" customHeight="1">
      <c r="H545" s="147"/>
    </row>
    <row r="546" spans="8:8" ht="15" customHeight="1">
      <c r="H546" s="147"/>
    </row>
    <row r="547" spans="8:8" ht="15" customHeight="1">
      <c r="H547" s="147"/>
    </row>
    <row r="548" spans="8:8" ht="15" customHeight="1">
      <c r="H548" s="147"/>
    </row>
    <row r="549" spans="8:8" ht="15" customHeight="1">
      <c r="H549" s="147"/>
    </row>
    <row r="550" spans="8:8" ht="15" customHeight="1">
      <c r="H550" s="147"/>
    </row>
    <row r="551" spans="8:8" ht="15" customHeight="1">
      <c r="H551" s="147"/>
    </row>
    <row r="552" spans="8:8" ht="15" customHeight="1">
      <c r="H552" s="147"/>
    </row>
    <row r="553" spans="8:8" ht="15" customHeight="1">
      <c r="H553" s="147"/>
    </row>
    <row r="554" spans="8:8" ht="15" customHeight="1">
      <c r="H554" s="147"/>
    </row>
    <row r="555" spans="8:8" ht="15" customHeight="1">
      <c r="H555" s="147"/>
    </row>
    <row r="556" spans="8:8" ht="15" customHeight="1">
      <c r="H556" s="147"/>
    </row>
    <row r="557" spans="8:8" ht="15" customHeight="1">
      <c r="H557" s="147"/>
    </row>
    <row r="558" spans="8:8" ht="15" customHeight="1">
      <c r="H558" s="147"/>
    </row>
    <row r="559" spans="8:8" ht="15" customHeight="1">
      <c r="H559" s="147"/>
    </row>
    <row r="560" spans="8:8" ht="15" customHeight="1">
      <c r="H560" s="147"/>
    </row>
    <row r="561" spans="8:8" ht="15" customHeight="1">
      <c r="H561" s="147"/>
    </row>
    <row r="562" spans="8:8" ht="15" customHeight="1">
      <c r="H562" s="147"/>
    </row>
    <row r="563" spans="8:8" ht="15" customHeight="1">
      <c r="H563" s="147"/>
    </row>
    <row r="564" spans="8:8" ht="15" customHeight="1">
      <c r="H564" s="147"/>
    </row>
    <row r="565" spans="8:8" ht="15" customHeight="1">
      <c r="H565" s="147"/>
    </row>
    <row r="566" spans="8:8" ht="15" customHeight="1">
      <c r="H566" s="147"/>
    </row>
    <row r="567" spans="8:8" ht="15" customHeight="1">
      <c r="H567" s="147"/>
    </row>
    <row r="568" spans="8:8" ht="15" customHeight="1">
      <c r="H568" s="147"/>
    </row>
    <row r="569" spans="8:8" ht="15" customHeight="1">
      <c r="H569" s="147"/>
    </row>
    <row r="570" spans="8:8" ht="15" customHeight="1">
      <c r="H570" s="147"/>
    </row>
    <row r="571" spans="8:8" ht="15" customHeight="1">
      <c r="H571" s="147"/>
    </row>
    <row r="572" spans="8:8" ht="15" customHeight="1">
      <c r="H572" s="147"/>
    </row>
    <row r="573" spans="8:8" ht="15" customHeight="1">
      <c r="H573" s="147"/>
    </row>
    <row r="574" spans="8:8" ht="15" customHeight="1">
      <c r="H574" s="147"/>
    </row>
    <row r="575" spans="8:8" ht="15" customHeight="1">
      <c r="H575" s="147"/>
    </row>
    <row r="576" spans="8:8" ht="15" customHeight="1">
      <c r="H576" s="147"/>
    </row>
    <row r="577" spans="8:8" ht="15" customHeight="1">
      <c r="H577" s="147"/>
    </row>
    <row r="578" spans="8:8" ht="15" customHeight="1">
      <c r="H578" s="147"/>
    </row>
    <row r="579" spans="8:8" ht="15" customHeight="1">
      <c r="H579" s="147"/>
    </row>
    <row r="580" spans="8:8" ht="15" customHeight="1">
      <c r="H580" s="147"/>
    </row>
    <row r="581" spans="8:8" ht="15" customHeight="1">
      <c r="H581" s="147"/>
    </row>
    <row r="582" spans="8:8" ht="15" customHeight="1">
      <c r="H582" s="147"/>
    </row>
    <row r="583" spans="8:8" ht="15" customHeight="1">
      <c r="H583" s="147"/>
    </row>
    <row r="584" spans="8:8" ht="15" customHeight="1">
      <c r="H584" s="147"/>
    </row>
    <row r="585" spans="8:8" ht="15" customHeight="1">
      <c r="H585" s="147"/>
    </row>
    <row r="586" spans="8:8" ht="15" customHeight="1">
      <c r="H586" s="147"/>
    </row>
    <row r="587" spans="8:8" ht="15" customHeight="1">
      <c r="H587" s="147"/>
    </row>
    <row r="588" spans="8:8" ht="15" customHeight="1">
      <c r="H588" s="147"/>
    </row>
    <row r="589" spans="8:8" ht="15" customHeight="1">
      <c r="H589" s="147"/>
    </row>
    <row r="590" spans="8:8" ht="15" customHeight="1">
      <c r="H590" s="147"/>
    </row>
    <row r="591" spans="8:8" ht="15" customHeight="1">
      <c r="H591" s="147"/>
    </row>
    <row r="592" spans="8:8" ht="15" customHeight="1">
      <c r="H592" s="147"/>
    </row>
    <row r="593" spans="8:8" ht="15" customHeight="1">
      <c r="H593" s="147"/>
    </row>
    <row r="594" spans="8:8" ht="15" customHeight="1">
      <c r="H594" s="147"/>
    </row>
    <row r="595" spans="8:8" ht="15" customHeight="1">
      <c r="H595" s="147"/>
    </row>
    <row r="596" spans="8:8" ht="15" customHeight="1">
      <c r="H596" s="147"/>
    </row>
    <row r="597" spans="8:8" ht="15" customHeight="1">
      <c r="H597" s="147"/>
    </row>
    <row r="598" spans="8:8" ht="15" customHeight="1">
      <c r="H598" s="147"/>
    </row>
    <row r="599" spans="8:8" ht="15" customHeight="1">
      <c r="H599" s="147"/>
    </row>
    <row r="600" spans="8:8" ht="15" customHeight="1">
      <c r="H600" s="147"/>
    </row>
    <row r="601" spans="8:8" ht="15" customHeight="1">
      <c r="H601" s="147"/>
    </row>
    <row r="602" spans="8:8" ht="15" customHeight="1">
      <c r="H602" s="147"/>
    </row>
    <row r="603" spans="8:8" ht="15" customHeight="1">
      <c r="H603" s="147"/>
    </row>
    <row r="604" spans="8:8" ht="15" customHeight="1">
      <c r="H604" s="147"/>
    </row>
    <row r="605" spans="8:8" ht="15" customHeight="1">
      <c r="H605" s="147"/>
    </row>
    <row r="606" spans="8:8" ht="15" customHeight="1">
      <c r="H606" s="147"/>
    </row>
    <row r="607" spans="8:8" ht="15" customHeight="1">
      <c r="H607" s="147"/>
    </row>
    <row r="608" spans="8:8" ht="15" customHeight="1">
      <c r="H608" s="147"/>
    </row>
    <row r="609" spans="8:8" ht="15" customHeight="1">
      <c r="H609" s="147"/>
    </row>
    <row r="610" spans="8:8" ht="15" customHeight="1">
      <c r="H610" s="147"/>
    </row>
    <row r="611" spans="8:8" ht="15" customHeight="1">
      <c r="H611" s="147"/>
    </row>
    <row r="612" spans="8:8" ht="15" customHeight="1">
      <c r="H612" s="147"/>
    </row>
    <row r="613" spans="8:8" ht="15" customHeight="1">
      <c r="H613" s="147"/>
    </row>
  </sheetData>
  <autoFilter ref="C13:J128" xr:uid="{F5B993B1-709F-4072-89B3-FB4FFDA82105}"/>
  <phoneticPr fontId="20" type="noConversion"/>
  <conditionalFormatting sqref="G1:H10 J1:J10 G12:H12 J12 G197:G613 J332:J1048576 G614:H1048576">
    <cfRule type="cellIs" dxfId="142" priority="7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6E938-0875-429C-9BE9-340922C436E4}">
  <sheetPr>
    <tabColor theme="1"/>
  </sheetPr>
  <dimension ref="B1:K201"/>
  <sheetViews>
    <sheetView showGridLines="0" zoomScale="55" zoomScaleNormal="55" workbookViewId="0">
      <selection activeCell="H18" sqref="H18"/>
    </sheetView>
  </sheetViews>
  <sheetFormatPr defaultColWidth="8.85546875" defaultRowHeight="18"/>
  <cols>
    <col min="1" max="1" width="5.7109375" style="148" customWidth="1"/>
    <col min="2" max="2" width="26.5703125" style="148" bestFit="1" customWidth="1"/>
    <col min="3" max="3" width="62.7109375" style="149" bestFit="1" customWidth="1"/>
    <col min="4" max="4" width="26.140625" style="155" bestFit="1" customWidth="1"/>
    <col min="5" max="6" width="27.42578125" style="155" customWidth="1"/>
    <col min="7" max="7" width="89.28515625" style="149" bestFit="1" customWidth="1"/>
    <col min="8" max="8" width="13.7109375" style="148" bestFit="1" customWidth="1"/>
    <col min="9" max="9" width="17.5703125" style="148" customWidth="1"/>
    <col min="10" max="10" width="15.140625" style="148" bestFit="1" customWidth="1"/>
    <col min="11" max="11" width="18.28515625" style="148" customWidth="1"/>
    <col min="12" max="16384" width="8.85546875" style="148"/>
  </cols>
  <sheetData>
    <row r="1" spans="2:8">
      <c r="D1" s="149"/>
      <c r="E1" s="149"/>
      <c r="F1" s="149"/>
    </row>
    <row r="2" spans="2:8">
      <c r="C2" s="127" t="s">
        <v>249</v>
      </c>
      <c r="D2" s="127" t="s">
        <v>250</v>
      </c>
      <c r="E2" s="150"/>
      <c r="F2" s="150"/>
      <c r="G2" s="150"/>
    </row>
    <row r="3" spans="2:8">
      <c r="C3" s="127" t="s">
        <v>251</v>
      </c>
      <c r="D3" s="127"/>
      <c r="E3" s="150"/>
      <c r="F3" s="150"/>
      <c r="G3" s="150"/>
    </row>
    <row r="4" spans="2:8">
      <c r="C4" s="127" t="s">
        <v>252</v>
      </c>
      <c r="D4" s="127"/>
      <c r="E4" s="150"/>
      <c r="F4" s="150"/>
      <c r="G4" s="150"/>
      <c r="H4" s="151"/>
    </row>
    <row r="5" spans="2:8">
      <c r="C5" s="127" t="s">
        <v>253</v>
      </c>
      <c r="D5" s="127" t="s">
        <v>254</v>
      </c>
      <c r="E5" s="150"/>
      <c r="F5" s="150"/>
      <c r="G5" s="150"/>
      <c r="H5" s="152"/>
    </row>
    <row r="6" spans="2:8">
      <c r="D6" s="149"/>
      <c r="E6" s="149"/>
      <c r="F6" s="149"/>
    </row>
    <row r="7" spans="2:8">
      <c r="B7" s="127"/>
      <c r="C7" s="127" t="s">
        <v>255</v>
      </c>
      <c r="D7" s="130">
        <f>SUM(D10:D201)</f>
        <v>0</v>
      </c>
      <c r="E7" s="127"/>
      <c r="F7" s="130">
        <f>SUM(F10:F201)</f>
        <v>-267155.08021489799</v>
      </c>
      <c r="G7" s="127"/>
    </row>
    <row r="8" spans="2:8">
      <c r="D8" s="149" t="b">
        <f>D7='Detalhamento - G200'!G6</f>
        <v>0</v>
      </c>
      <c r="E8" s="149" t="s">
        <v>918</v>
      </c>
      <c r="F8" s="149" t="b">
        <f>F7='Detalhamento - G200'!I6</f>
        <v>1</v>
      </c>
    </row>
    <row r="9" spans="2:8" s="153" customFormat="1">
      <c r="B9" s="127" t="s">
        <v>256</v>
      </c>
      <c r="C9" s="127" t="s">
        <v>1</v>
      </c>
      <c r="D9" s="127" t="s">
        <v>919</v>
      </c>
      <c r="E9" s="127" t="s">
        <v>920</v>
      </c>
      <c r="F9" s="127" t="s">
        <v>6</v>
      </c>
      <c r="G9" s="127" t="s">
        <v>921</v>
      </c>
    </row>
    <row r="10" spans="2:8">
      <c r="B10" s="146">
        <f>_xlfn.XLOOKUP(C10,'Detalhamento - G200'!B6:B253,'Detalhamento - G200'!A6:A253,0)</f>
        <v>1001001001</v>
      </c>
      <c r="C10" s="147" t="s">
        <v>13</v>
      </c>
      <c r="D10" s="154">
        <f>VLOOKUP(B10,'Detalhamento - G200'!A:G,5,)</f>
        <v>0</v>
      </c>
      <c r="E10" s="154"/>
      <c r="F10" s="154">
        <f>D10+E10</f>
        <v>0</v>
      </c>
      <c r="G10" s="147"/>
    </row>
    <row r="11" spans="2:8">
      <c r="B11" s="146">
        <f>_xlfn.XLOOKUP(C11,'Detalhamento - G200'!B7:B254,'Detalhamento - G200'!A7:A254,0)</f>
        <v>1001001002</v>
      </c>
      <c r="C11" s="147" t="s">
        <v>14</v>
      </c>
      <c r="D11" s="154">
        <f>VLOOKUP(B11,'Detalhamento - G200'!A:G,5,)</f>
        <v>0</v>
      </c>
      <c r="E11" s="154"/>
      <c r="F11" s="154">
        <f t="shared" ref="F11:F74" si="0">D11+E11</f>
        <v>0</v>
      </c>
      <c r="G11" s="147"/>
    </row>
    <row r="12" spans="2:8">
      <c r="B12" s="146">
        <f>_xlfn.XLOOKUP(C12,'Detalhamento - G200'!B8:B255,'Detalhamento - G200'!A8:A255,0)</f>
        <v>1001002002</v>
      </c>
      <c r="C12" s="147" t="s">
        <v>16</v>
      </c>
      <c r="D12" s="154">
        <f>VLOOKUP(B12,'Detalhamento - G200'!A:G,5,)</f>
        <v>0</v>
      </c>
      <c r="E12" s="154"/>
      <c r="F12" s="154">
        <f t="shared" si="0"/>
        <v>0</v>
      </c>
      <c r="G12" s="147"/>
    </row>
    <row r="13" spans="2:8">
      <c r="B13" s="146">
        <f>_xlfn.XLOOKUP(C13,'Detalhamento - G200'!B9:B256,'Detalhamento - G200'!A9:A256,0)</f>
        <v>1001002003</v>
      </c>
      <c r="C13" s="147" t="s">
        <v>17</v>
      </c>
      <c r="D13" s="154">
        <f>VLOOKUP(B13,'Detalhamento - G200'!A:G,5,)</f>
        <v>0</v>
      </c>
      <c r="E13" s="154"/>
      <c r="F13" s="154">
        <f t="shared" si="0"/>
        <v>0</v>
      </c>
      <c r="G13" s="147"/>
    </row>
    <row r="14" spans="2:8">
      <c r="B14" s="146">
        <f>_xlfn.XLOOKUP(C14,'Detalhamento - G200'!B10:B257,'Detalhamento - G200'!A10:A257,0)</f>
        <v>1001002004</v>
      </c>
      <c r="C14" s="147" t="s">
        <v>18</v>
      </c>
      <c r="D14" s="154">
        <f>VLOOKUP(B14,'Detalhamento - G200'!A:G,5,)</f>
        <v>0</v>
      </c>
      <c r="E14" s="154"/>
      <c r="F14" s="154">
        <f t="shared" si="0"/>
        <v>0</v>
      </c>
      <c r="G14" s="147"/>
    </row>
    <row r="15" spans="2:8">
      <c r="B15" s="146">
        <f>_xlfn.XLOOKUP(C15,'Detalhamento - G200'!B11:B258,'Detalhamento - G200'!A11:A258,0)</f>
        <v>1001002005</v>
      </c>
      <c r="C15" s="147" t="s">
        <v>19</v>
      </c>
      <c r="D15" s="154">
        <f>VLOOKUP(B15,'Detalhamento - G200'!A:G,5,)</f>
        <v>0</v>
      </c>
      <c r="E15" s="154"/>
      <c r="F15" s="154">
        <f t="shared" si="0"/>
        <v>0</v>
      </c>
      <c r="G15" s="147"/>
    </row>
    <row r="16" spans="2:8">
      <c r="B16" s="146">
        <f>_xlfn.XLOOKUP(C16,'Detalhamento - G200'!B12:B259,'Detalhamento - G200'!A12:A259,0)</f>
        <v>1001002006</v>
      </c>
      <c r="C16" s="147" t="s">
        <v>20</v>
      </c>
      <c r="D16" s="154">
        <f>VLOOKUP(B16,'Detalhamento - G200'!A:G,5,)</f>
        <v>0</v>
      </c>
      <c r="E16" s="154"/>
      <c r="F16" s="154">
        <f t="shared" si="0"/>
        <v>0</v>
      </c>
      <c r="G16" s="147"/>
    </row>
    <row r="17" spans="2:7">
      <c r="B17" s="146">
        <f>_xlfn.XLOOKUP(C17,'Detalhamento - G200'!B13:B260,'Detalhamento - G200'!A13:A260,0)</f>
        <v>1001002007</v>
      </c>
      <c r="C17" s="147" t="s">
        <v>21</v>
      </c>
      <c r="D17" s="154">
        <f>VLOOKUP(B17,'Detalhamento - G200'!A:G,5,)</f>
        <v>0</v>
      </c>
      <c r="E17" s="154"/>
      <c r="F17" s="154">
        <f t="shared" si="0"/>
        <v>0</v>
      </c>
      <c r="G17" s="147"/>
    </row>
    <row r="18" spans="2:7">
      <c r="B18" s="146">
        <f>_xlfn.XLOOKUP(C18,'Detalhamento - G200'!B14:B261,'Detalhamento - G200'!A14:A261,0)</f>
        <v>1001002008</v>
      </c>
      <c r="C18" s="147" t="s">
        <v>22</v>
      </c>
      <c r="D18" s="154">
        <f>VLOOKUP(B18,'Detalhamento - G200'!A:G,5,)</f>
        <v>0</v>
      </c>
      <c r="E18" s="154"/>
      <c r="F18" s="154">
        <f t="shared" si="0"/>
        <v>0</v>
      </c>
      <c r="G18" s="147"/>
    </row>
    <row r="19" spans="2:7">
      <c r="B19" s="146">
        <f>_xlfn.XLOOKUP(C19,'Detalhamento - G200'!B15:B262,'Detalhamento - G200'!A15:A262,0)</f>
        <v>1001003001</v>
      </c>
      <c r="C19" s="147" t="s">
        <v>24</v>
      </c>
      <c r="D19" s="154">
        <f>VLOOKUP(B19,'Detalhamento - G200'!A:G,5,)</f>
        <v>0</v>
      </c>
      <c r="E19" s="154"/>
      <c r="F19" s="154">
        <f t="shared" si="0"/>
        <v>0</v>
      </c>
      <c r="G19" s="147"/>
    </row>
    <row r="20" spans="2:7">
      <c r="B20" s="146">
        <f>_xlfn.XLOOKUP(C20,'Detalhamento - G200'!B16:B263,'Detalhamento - G200'!A16:A263,0)</f>
        <v>1001003002</v>
      </c>
      <c r="C20" s="147" t="s">
        <v>25</v>
      </c>
      <c r="D20" s="154">
        <f>VLOOKUP(B20,'Detalhamento - G200'!A:G,5,)</f>
        <v>0</v>
      </c>
      <c r="E20" s="154"/>
      <c r="F20" s="154">
        <f t="shared" si="0"/>
        <v>0</v>
      </c>
      <c r="G20" s="147" t="s">
        <v>922</v>
      </c>
    </row>
    <row r="21" spans="2:7">
      <c r="B21" s="146">
        <f>_xlfn.XLOOKUP(C21,'Detalhamento - G200'!B17:B264,'Detalhamento - G200'!A17:A264,0)</f>
        <v>1001003003</v>
      </c>
      <c r="C21" s="147" t="s">
        <v>26</v>
      </c>
      <c r="D21" s="154">
        <f>VLOOKUP(B21,'Detalhamento - G200'!A:G,5,)</f>
        <v>0</v>
      </c>
      <c r="E21" s="154"/>
      <c r="F21" s="154">
        <f t="shared" si="0"/>
        <v>0</v>
      </c>
      <c r="G21" s="147"/>
    </row>
    <row r="22" spans="2:7">
      <c r="B22" s="146">
        <f>_xlfn.XLOOKUP(C22,'Detalhamento - G200'!B18:B265,'Detalhamento - G200'!A18:A265,0)</f>
        <v>1001003004</v>
      </c>
      <c r="C22" s="147" t="s">
        <v>27</v>
      </c>
      <c r="D22" s="154">
        <f>VLOOKUP(B22,'Detalhamento - G200'!A:G,5,)</f>
        <v>0</v>
      </c>
      <c r="E22" s="154"/>
      <c r="F22" s="154">
        <f t="shared" si="0"/>
        <v>0</v>
      </c>
      <c r="G22" s="147"/>
    </row>
    <row r="23" spans="2:7">
      <c r="B23" s="146">
        <f>_xlfn.XLOOKUP(C23,'Detalhamento - G200'!B19:B266,'Detalhamento - G200'!A19:A266,0)</f>
        <v>1001003005</v>
      </c>
      <c r="C23" s="147" t="s">
        <v>28</v>
      </c>
      <c r="D23" s="154">
        <f>VLOOKUP(B23,'Detalhamento - G200'!A:G,5,)</f>
        <v>0</v>
      </c>
      <c r="E23" s="154"/>
      <c r="F23" s="154">
        <f t="shared" si="0"/>
        <v>0</v>
      </c>
      <c r="G23" s="147"/>
    </row>
    <row r="24" spans="2:7">
      <c r="B24" s="146">
        <f>_xlfn.XLOOKUP(C24,'Detalhamento - G200'!B20:B267,'Detalhamento - G200'!A20:A267,0)</f>
        <v>1001003006</v>
      </c>
      <c r="C24" s="147" t="s">
        <v>29</v>
      </c>
      <c r="D24" s="154">
        <f>VLOOKUP(B24,'Detalhamento - G200'!A:G,5,)</f>
        <v>0</v>
      </c>
      <c r="E24" s="154"/>
      <c r="F24" s="154">
        <f t="shared" si="0"/>
        <v>0</v>
      </c>
      <c r="G24" s="147"/>
    </row>
    <row r="25" spans="2:7">
      <c r="B25" s="146">
        <f>_xlfn.XLOOKUP(C25,'Detalhamento - G200'!B21:B268,'Detalhamento - G200'!A21:A268,0)</f>
        <v>1001003007</v>
      </c>
      <c r="C25" s="147" t="s">
        <v>30</v>
      </c>
      <c r="D25" s="154">
        <f>VLOOKUP(B25,'Detalhamento - G200'!A:G,5,)</f>
        <v>0</v>
      </c>
      <c r="E25" s="154"/>
      <c r="F25" s="154">
        <f t="shared" si="0"/>
        <v>0</v>
      </c>
      <c r="G25" s="147"/>
    </row>
    <row r="26" spans="2:7">
      <c r="B26" s="146">
        <f>_xlfn.XLOOKUP(C26,'Detalhamento - G200'!B22:B269,'Detalhamento - G200'!A22:A269,0)</f>
        <v>1001003008</v>
      </c>
      <c r="C26" s="147" t="s">
        <v>31</v>
      </c>
      <c r="D26" s="154">
        <f>VLOOKUP(B26,'Detalhamento - G200'!A:G,5,)</f>
        <v>0</v>
      </c>
      <c r="E26" s="154"/>
      <c r="F26" s="154">
        <f t="shared" si="0"/>
        <v>0</v>
      </c>
      <c r="G26" s="147"/>
    </row>
    <row r="27" spans="2:7">
      <c r="B27" s="146">
        <f>_xlfn.XLOOKUP(C27,'Detalhamento - G200'!B23:B270,'Detalhamento - G200'!A23:A270,0)</f>
        <v>1001003009</v>
      </c>
      <c r="C27" s="147" t="s">
        <v>32</v>
      </c>
      <c r="D27" s="154">
        <f>VLOOKUP(B27,'Detalhamento - G200'!A:G,5,)</f>
        <v>0</v>
      </c>
      <c r="E27" s="154"/>
      <c r="F27" s="154">
        <f t="shared" si="0"/>
        <v>0</v>
      </c>
      <c r="G27" s="147"/>
    </row>
    <row r="28" spans="2:7">
      <c r="B28" s="146">
        <f>_xlfn.XLOOKUP(C28,'Detalhamento - G200'!B24:B271,'Detalhamento - G200'!A24:A271,0)</f>
        <v>1001003010</v>
      </c>
      <c r="C28" s="147" t="s">
        <v>33</v>
      </c>
      <c r="D28" s="154">
        <f>VLOOKUP(B28,'Detalhamento - G200'!A:G,5,)</f>
        <v>0</v>
      </c>
      <c r="E28" s="154"/>
      <c r="F28" s="154">
        <f t="shared" si="0"/>
        <v>0</v>
      </c>
      <c r="G28" s="147"/>
    </row>
    <row r="29" spans="2:7">
      <c r="B29" s="146">
        <f>_xlfn.XLOOKUP(C29,'Detalhamento - G200'!B25:B272,'Detalhamento - G200'!A25:A272,0)</f>
        <v>1001003011</v>
      </c>
      <c r="C29" s="147" t="s">
        <v>34</v>
      </c>
      <c r="D29" s="154">
        <f>VLOOKUP(B29,'Detalhamento - G200'!A:G,5,)</f>
        <v>0</v>
      </c>
      <c r="E29" s="154">
        <v>-646893.62</v>
      </c>
      <c r="F29" s="154">
        <f t="shared" si="0"/>
        <v>-646893.62</v>
      </c>
      <c r="G29" s="147" t="s">
        <v>923</v>
      </c>
    </row>
    <row r="30" spans="2:7">
      <c r="B30" s="146">
        <f>_xlfn.XLOOKUP(C30,'Detalhamento - G200'!B26:B273,'Detalhamento - G200'!A26:A273,0)</f>
        <v>1001003012</v>
      </c>
      <c r="C30" s="147" t="s">
        <v>35</v>
      </c>
      <c r="D30" s="154">
        <f>VLOOKUP(B30,'Detalhamento - G200'!A:G,5,)</f>
        <v>0</v>
      </c>
      <c r="E30" s="154"/>
      <c r="F30" s="154">
        <f t="shared" si="0"/>
        <v>0</v>
      </c>
      <c r="G30" s="147"/>
    </row>
    <row r="31" spans="2:7">
      <c r="B31" s="146">
        <f>_xlfn.XLOOKUP(C31,'Detalhamento - G200'!B27:B274,'Detalhamento - G200'!A27:A274,0)</f>
        <v>1001003013</v>
      </c>
      <c r="C31" s="147" t="s">
        <v>36</v>
      </c>
      <c r="D31" s="154">
        <f>VLOOKUP(B31,'Detalhamento - G200'!A:G,5,)</f>
        <v>0</v>
      </c>
      <c r="E31" s="154"/>
      <c r="F31" s="154">
        <f t="shared" si="0"/>
        <v>0</v>
      </c>
      <c r="G31" s="147"/>
    </row>
    <row r="32" spans="2:7">
      <c r="B32" s="146">
        <f>_xlfn.XLOOKUP(C32,'Detalhamento - G200'!B28:B275,'Detalhamento - G200'!A28:A275,0)</f>
        <v>1001003014</v>
      </c>
      <c r="C32" s="147" t="s">
        <v>37</v>
      </c>
      <c r="D32" s="154">
        <f>VLOOKUP(B32,'Detalhamento - G200'!A:G,5,)</f>
        <v>0</v>
      </c>
      <c r="E32" s="154"/>
      <c r="F32" s="154">
        <f t="shared" si="0"/>
        <v>0</v>
      </c>
      <c r="G32" s="147"/>
    </row>
    <row r="33" spans="2:7">
      <c r="B33" s="146">
        <f>_xlfn.XLOOKUP(C33,'Detalhamento - G200'!B29:B276,'Detalhamento - G200'!A29:A276,0)</f>
        <v>1001004001</v>
      </c>
      <c r="C33" s="147" t="s">
        <v>39</v>
      </c>
      <c r="D33" s="154">
        <f>VLOOKUP(B33,'Detalhamento - G200'!A:G,5,)</f>
        <v>0</v>
      </c>
      <c r="E33" s="154"/>
      <c r="F33" s="154">
        <f t="shared" si="0"/>
        <v>0</v>
      </c>
      <c r="G33" s="147"/>
    </row>
    <row r="34" spans="2:7">
      <c r="B34" s="146">
        <f>_xlfn.XLOOKUP(C34,'Detalhamento - G200'!B30:B277,'Detalhamento - G200'!A30:A277,0)</f>
        <v>1001004002</v>
      </c>
      <c r="C34" s="147" t="s">
        <v>40</v>
      </c>
      <c r="D34" s="154">
        <f>VLOOKUP(B34,'Detalhamento - G200'!A:G,5,)</f>
        <v>0</v>
      </c>
      <c r="E34" s="154"/>
      <c r="F34" s="154">
        <f t="shared" si="0"/>
        <v>0</v>
      </c>
      <c r="G34" s="147"/>
    </row>
    <row r="35" spans="2:7">
      <c r="B35" s="146">
        <f>_xlfn.XLOOKUP(C35,'Detalhamento - G200'!B31:B278,'Detalhamento - G200'!A31:A278,0)</f>
        <v>1001004003</v>
      </c>
      <c r="C35" s="147" t="s">
        <v>41</v>
      </c>
      <c r="D35" s="154">
        <f>VLOOKUP(B35,'Detalhamento - G200'!A:G,5,)</f>
        <v>0</v>
      </c>
      <c r="E35" s="154"/>
      <c r="F35" s="154">
        <f t="shared" si="0"/>
        <v>0</v>
      </c>
      <c r="G35" s="147"/>
    </row>
    <row r="36" spans="2:7">
      <c r="B36" s="146">
        <f>_xlfn.XLOOKUP(C36,'Detalhamento - G200'!B32:B279,'Detalhamento - G200'!A32:A279,0)</f>
        <v>1001004004</v>
      </c>
      <c r="C36" s="147" t="s">
        <v>42</v>
      </c>
      <c r="D36" s="154">
        <f>VLOOKUP(B36,'Detalhamento - G200'!A:G,5,)</f>
        <v>0</v>
      </c>
      <c r="E36" s="154"/>
      <c r="F36" s="154">
        <f t="shared" si="0"/>
        <v>0</v>
      </c>
      <c r="G36" s="147"/>
    </row>
    <row r="37" spans="2:7">
      <c r="B37" s="146">
        <f>_xlfn.XLOOKUP(C37,'Detalhamento - G200'!B33:B280,'Detalhamento - G200'!A33:A280,0)</f>
        <v>1001004005</v>
      </c>
      <c r="C37" s="147" t="s">
        <v>43</v>
      </c>
      <c r="D37" s="154">
        <f>VLOOKUP(B37,'Detalhamento - G200'!A:G,5,)</f>
        <v>0</v>
      </c>
      <c r="E37" s="154"/>
      <c r="F37" s="154">
        <f t="shared" si="0"/>
        <v>0</v>
      </c>
      <c r="G37" s="147"/>
    </row>
    <row r="38" spans="2:7">
      <c r="B38" s="146">
        <f>_xlfn.XLOOKUP(C38,'Detalhamento - G200'!B34:B281,'Detalhamento - G200'!A34:A281,0)</f>
        <v>1001004006</v>
      </c>
      <c r="C38" s="147" t="s">
        <v>44</v>
      </c>
      <c r="D38" s="154">
        <f>VLOOKUP(B38,'Detalhamento - G200'!A:G,5,)</f>
        <v>0</v>
      </c>
      <c r="E38" s="154"/>
      <c r="F38" s="154">
        <f t="shared" si="0"/>
        <v>0</v>
      </c>
      <c r="G38" s="147"/>
    </row>
    <row r="39" spans="2:7" ht="36">
      <c r="B39" s="146">
        <f>_xlfn.XLOOKUP(C39,'Detalhamento - G200'!B35:B282,'Detalhamento - G200'!A35:A282,0)</f>
        <v>1001004007</v>
      </c>
      <c r="C39" s="147" t="s">
        <v>45</v>
      </c>
      <c r="D39" s="154">
        <f>VLOOKUP(B39,'Detalhamento - G200'!A:G,5,)</f>
        <v>0</v>
      </c>
      <c r="E39" s="154"/>
      <c r="F39" s="154">
        <f t="shared" si="0"/>
        <v>0</v>
      </c>
      <c r="G39" s="147"/>
    </row>
    <row r="40" spans="2:7">
      <c r="B40" s="146">
        <f>_xlfn.XLOOKUP(C40,'Detalhamento - G200'!B36:B283,'Detalhamento - G200'!A36:A283,0)</f>
        <v>1001004008</v>
      </c>
      <c r="C40" s="147" t="s">
        <v>46</v>
      </c>
      <c r="D40" s="154">
        <f>VLOOKUP(B40,'Detalhamento - G200'!A:G,5,)</f>
        <v>0</v>
      </c>
      <c r="E40" s="154"/>
      <c r="F40" s="154">
        <f t="shared" si="0"/>
        <v>0</v>
      </c>
      <c r="G40" s="147"/>
    </row>
    <row r="41" spans="2:7">
      <c r="B41" s="146">
        <f>_xlfn.XLOOKUP(C41,'Detalhamento - G200'!B37:B284,'Detalhamento - G200'!A37:A284,0)</f>
        <v>1001004009</v>
      </c>
      <c r="C41" s="147" t="s">
        <v>47</v>
      </c>
      <c r="D41" s="154">
        <f>VLOOKUP(B41,'Detalhamento - G200'!A:G,5,)</f>
        <v>0</v>
      </c>
      <c r="E41" s="154"/>
      <c r="F41" s="154">
        <f t="shared" si="0"/>
        <v>0</v>
      </c>
      <c r="G41" s="147"/>
    </row>
    <row r="42" spans="2:7">
      <c r="B42" s="146">
        <f>_xlfn.XLOOKUP(C42,'Detalhamento - G200'!B38:B285,'Detalhamento - G200'!A38:A285,0)</f>
        <v>1001004010</v>
      </c>
      <c r="C42" s="147" t="s">
        <v>48</v>
      </c>
      <c r="D42" s="154">
        <f>VLOOKUP(B42,'Detalhamento - G200'!A:G,5,)</f>
        <v>0</v>
      </c>
      <c r="E42" s="154"/>
      <c r="F42" s="154">
        <f t="shared" si="0"/>
        <v>0</v>
      </c>
      <c r="G42" s="147"/>
    </row>
    <row r="43" spans="2:7" ht="36">
      <c r="B43" s="146">
        <f>_xlfn.XLOOKUP(C43,'Detalhamento - G200'!B39:B286,'Detalhamento - G200'!A39:A286,0)</f>
        <v>1001005001</v>
      </c>
      <c r="C43" s="147" t="s">
        <v>49</v>
      </c>
      <c r="D43" s="154">
        <f>VLOOKUP(B43,'Detalhamento - G200'!A:G,5,)</f>
        <v>0</v>
      </c>
      <c r="E43" s="154">
        <v>-1067074.46</v>
      </c>
      <c r="F43" s="154">
        <f t="shared" si="0"/>
        <v>-1067074.46</v>
      </c>
      <c r="G43" s="147" t="s">
        <v>924</v>
      </c>
    </row>
    <row r="44" spans="2:7">
      <c r="B44" s="146">
        <f>_xlfn.XLOOKUP(C44,'Detalhamento - G200'!B40:B287,'Detalhamento - G200'!A40:A287,0)</f>
        <v>1001005002</v>
      </c>
      <c r="C44" s="147" t="s">
        <v>50</v>
      </c>
      <c r="D44" s="154">
        <f>VLOOKUP(B44,'Detalhamento - G200'!A:G,5,)</f>
        <v>0</v>
      </c>
      <c r="E44" s="154"/>
      <c r="F44" s="154">
        <f t="shared" si="0"/>
        <v>0</v>
      </c>
      <c r="G44" s="147"/>
    </row>
    <row r="45" spans="2:7">
      <c r="B45" s="146">
        <f>_xlfn.XLOOKUP(C45,'Detalhamento - G200'!B41:B288,'Detalhamento - G200'!A41:A288,0)</f>
        <v>1001006001</v>
      </c>
      <c r="C45" s="147" t="s">
        <v>52</v>
      </c>
      <c r="D45" s="154">
        <f>VLOOKUP(B45,'Detalhamento - G200'!A:G,5,)</f>
        <v>0</v>
      </c>
      <c r="E45" s="154"/>
      <c r="F45" s="154">
        <f t="shared" si="0"/>
        <v>0</v>
      </c>
      <c r="G45" s="147"/>
    </row>
    <row r="46" spans="2:7">
      <c r="B46" s="146">
        <f>_xlfn.XLOOKUP(C46,'Detalhamento - G200'!B42:B289,'Detalhamento - G200'!A42:A289,0)</f>
        <v>1001006002</v>
      </c>
      <c r="C46" s="147" t="s">
        <v>53</v>
      </c>
      <c r="D46" s="154">
        <f>VLOOKUP(B46,'Detalhamento - G200'!A:G,5,)</f>
        <v>0</v>
      </c>
      <c r="E46" s="154"/>
      <c r="F46" s="154">
        <f t="shared" si="0"/>
        <v>0</v>
      </c>
      <c r="G46" s="147"/>
    </row>
    <row r="47" spans="2:7" ht="36">
      <c r="B47" s="146">
        <f>_xlfn.XLOOKUP(C47,'Detalhamento - G200'!B43:B290,'Detalhamento - G200'!A43:A290,0)</f>
        <v>1001006003</v>
      </c>
      <c r="C47" s="147" t="s">
        <v>54</v>
      </c>
      <c r="D47" s="154">
        <f>VLOOKUP(B47,'Detalhamento - G200'!A:G,5,)</f>
        <v>0</v>
      </c>
      <c r="E47" s="154"/>
      <c r="F47" s="154">
        <f t="shared" si="0"/>
        <v>0</v>
      </c>
      <c r="G47" s="147" t="s">
        <v>925</v>
      </c>
    </row>
    <row r="48" spans="2:7">
      <c r="B48" s="146">
        <f>_xlfn.XLOOKUP(C48,'Detalhamento - G200'!B44:B291,'Detalhamento - G200'!A44:A291,0)</f>
        <v>1001006004</v>
      </c>
      <c r="C48" s="147" t="s">
        <v>55</v>
      </c>
      <c r="D48" s="154">
        <f>VLOOKUP(B48,'Detalhamento - G200'!A:G,5,)</f>
        <v>0</v>
      </c>
      <c r="E48" s="154">
        <v>-37000</v>
      </c>
      <c r="F48" s="154">
        <f t="shared" si="0"/>
        <v>-37000</v>
      </c>
      <c r="G48" s="147" t="s">
        <v>926</v>
      </c>
    </row>
    <row r="49" spans="2:7">
      <c r="B49" s="146">
        <f>_xlfn.XLOOKUP(C49,'Detalhamento - G200'!B45:B292,'Detalhamento - G200'!A45:A292,0)</f>
        <v>1001006005</v>
      </c>
      <c r="C49" s="147" t="s">
        <v>56</v>
      </c>
      <c r="D49" s="154">
        <f>VLOOKUP(B49,'Detalhamento - G200'!A:G,5,)</f>
        <v>0</v>
      </c>
      <c r="E49" s="154"/>
      <c r="F49" s="154">
        <f t="shared" si="0"/>
        <v>0</v>
      </c>
      <c r="G49" s="147"/>
    </row>
    <row r="50" spans="2:7">
      <c r="B50" s="146">
        <f>_xlfn.XLOOKUP(C50,'Detalhamento - G200'!B46:B293,'Detalhamento - G200'!A46:A293,0)</f>
        <v>1001006006</v>
      </c>
      <c r="C50" s="147" t="s">
        <v>57</v>
      </c>
      <c r="D50" s="154">
        <f>VLOOKUP(B50,'Detalhamento - G200'!A:G,5,)</f>
        <v>0</v>
      </c>
      <c r="E50" s="154"/>
      <c r="F50" s="154">
        <f t="shared" si="0"/>
        <v>0</v>
      </c>
      <c r="G50" s="147"/>
    </row>
    <row r="51" spans="2:7">
      <c r="B51" s="146">
        <f>_xlfn.XLOOKUP(C51,'Detalhamento - G200'!B47:B294,'Detalhamento - G200'!A47:A294,0)</f>
        <v>1001006007</v>
      </c>
      <c r="C51" s="147" t="s">
        <v>58</v>
      </c>
      <c r="D51" s="154">
        <f>VLOOKUP(B51,'Detalhamento - G200'!A:G,5,)</f>
        <v>0</v>
      </c>
      <c r="E51" s="154"/>
      <c r="F51" s="154">
        <f t="shared" si="0"/>
        <v>0</v>
      </c>
      <c r="G51" s="147"/>
    </row>
    <row r="52" spans="2:7">
      <c r="B52" s="146">
        <f>_xlfn.XLOOKUP(C52,'Detalhamento - G200'!B48:B295,'Detalhamento - G200'!A48:A295,0)</f>
        <v>1002001001</v>
      </c>
      <c r="C52" s="147" t="s">
        <v>61</v>
      </c>
      <c r="D52" s="154">
        <f>VLOOKUP(B52,'Detalhamento - G200'!A:G,5,)</f>
        <v>0</v>
      </c>
      <c r="E52" s="154"/>
      <c r="F52" s="154">
        <f t="shared" si="0"/>
        <v>0</v>
      </c>
      <c r="G52" s="147"/>
    </row>
    <row r="53" spans="2:7">
      <c r="B53" s="146">
        <f>_xlfn.XLOOKUP(C53,'Detalhamento - G200'!B49:B296,'Detalhamento - G200'!A49:A296,0)</f>
        <v>1002001002</v>
      </c>
      <c r="C53" s="147" t="s">
        <v>62</v>
      </c>
      <c r="D53" s="154">
        <f>VLOOKUP(B53,'Detalhamento - G200'!A:G,5,)</f>
        <v>0</v>
      </c>
      <c r="E53" s="154"/>
      <c r="F53" s="154">
        <f t="shared" si="0"/>
        <v>0</v>
      </c>
      <c r="G53" s="147"/>
    </row>
    <row r="54" spans="2:7">
      <c r="B54" s="146">
        <f>_xlfn.XLOOKUP(C54,'Detalhamento - G200'!B50:B297,'Detalhamento - G200'!A50:A297,0)</f>
        <v>1002002001</v>
      </c>
      <c r="C54" s="147" t="s">
        <v>64</v>
      </c>
      <c r="D54" s="154">
        <f>VLOOKUP(B54,'Detalhamento - G200'!A:G,5,)</f>
        <v>0</v>
      </c>
      <c r="E54" s="154"/>
      <c r="F54" s="154">
        <f t="shared" si="0"/>
        <v>0</v>
      </c>
      <c r="G54" s="147"/>
    </row>
    <row r="55" spans="2:7">
      <c r="B55" s="146">
        <f>_xlfn.XLOOKUP(C55,'Detalhamento - G200'!B51:B298,'Detalhamento - G200'!A51:A298,0)</f>
        <v>1002002002</v>
      </c>
      <c r="C55" s="147" t="s">
        <v>65</v>
      </c>
      <c r="D55" s="154">
        <f>VLOOKUP(B55,'Detalhamento - G200'!A:G,5,)</f>
        <v>0</v>
      </c>
      <c r="E55" s="154">
        <v>2472610.8797851</v>
      </c>
      <c r="F55" s="154">
        <f t="shared" si="0"/>
        <v>2472610.8797851</v>
      </c>
      <c r="G55" s="147" t="s">
        <v>922</v>
      </c>
    </row>
    <row r="56" spans="2:7">
      <c r="B56" s="146">
        <f>_xlfn.XLOOKUP(C56,'Detalhamento - G200'!B52:B299,'Detalhamento - G200'!A52:A299,0)</f>
        <v>1002002003</v>
      </c>
      <c r="C56" s="147" t="s">
        <v>66</v>
      </c>
      <c r="D56" s="154">
        <f>VLOOKUP(B56,'Detalhamento - G200'!A:G,5,)</f>
        <v>0</v>
      </c>
      <c r="E56" s="154"/>
      <c r="F56" s="154">
        <f t="shared" si="0"/>
        <v>0</v>
      </c>
      <c r="G56" s="147"/>
    </row>
    <row r="57" spans="2:7">
      <c r="B57" s="146">
        <f>_xlfn.XLOOKUP(C57,'Detalhamento - G200'!B53:B300,'Detalhamento - G200'!A53:A300,0)</f>
        <v>1002002004</v>
      </c>
      <c r="C57" s="147" t="s">
        <v>67</v>
      </c>
      <c r="D57" s="154">
        <f>VLOOKUP(B57,'Detalhamento - G200'!A:G,5,)</f>
        <v>0</v>
      </c>
      <c r="E57" s="154">
        <v>-247851.13</v>
      </c>
      <c r="F57" s="154">
        <f t="shared" si="0"/>
        <v>-247851.13</v>
      </c>
      <c r="G57" s="147" t="s">
        <v>927</v>
      </c>
    </row>
    <row r="58" spans="2:7">
      <c r="B58" s="146">
        <f>_xlfn.XLOOKUP(C58,'Detalhamento - G200'!B54:B301,'Detalhamento - G200'!A54:A301,0)</f>
        <v>1002002005</v>
      </c>
      <c r="C58" s="147" t="s">
        <v>68</v>
      </c>
      <c r="D58" s="154">
        <f>VLOOKUP(B58,'Detalhamento - G200'!A:G,5,)</f>
        <v>0</v>
      </c>
      <c r="E58" s="154"/>
      <c r="F58" s="154">
        <f t="shared" si="0"/>
        <v>0</v>
      </c>
      <c r="G58" s="147"/>
    </row>
    <row r="59" spans="2:7">
      <c r="B59" s="146">
        <f>_xlfn.XLOOKUP(C59,'Detalhamento - G200'!B55:B302,'Detalhamento - G200'!A55:A302,0)</f>
        <v>1002002006</v>
      </c>
      <c r="C59" s="147" t="s">
        <v>69</v>
      </c>
      <c r="D59" s="154">
        <f>VLOOKUP(B59,'Detalhamento - G200'!A:G,5,)</f>
        <v>0</v>
      </c>
      <c r="E59" s="154"/>
      <c r="F59" s="154">
        <f t="shared" si="0"/>
        <v>0</v>
      </c>
      <c r="G59" s="147"/>
    </row>
    <row r="60" spans="2:7">
      <c r="B60" s="146">
        <f>_xlfn.XLOOKUP(C60,'Detalhamento - G200'!B56:B303,'Detalhamento - G200'!A56:A303,0)</f>
        <v>1002003001</v>
      </c>
      <c r="C60" s="147" t="s">
        <v>71</v>
      </c>
      <c r="D60" s="154">
        <f>VLOOKUP(B60,'Detalhamento - G200'!A:G,5,)</f>
        <v>0</v>
      </c>
      <c r="E60" s="154"/>
      <c r="F60" s="154">
        <f t="shared" si="0"/>
        <v>0</v>
      </c>
      <c r="G60" s="147"/>
    </row>
    <row r="61" spans="2:7">
      <c r="B61" s="146">
        <f>_xlfn.XLOOKUP(C61,'Detalhamento - G200'!B57:B304,'Detalhamento - G200'!A57:A304,0)</f>
        <v>1003001001</v>
      </c>
      <c r="C61" s="147" t="s">
        <v>74</v>
      </c>
      <c r="D61" s="154">
        <f>VLOOKUP(B61,'Detalhamento - G200'!A:G,5,)</f>
        <v>0</v>
      </c>
      <c r="E61" s="154">
        <v>-892310.27</v>
      </c>
      <c r="F61" s="154">
        <f t="shared" si="0"/>
        <v>-892310.27</v>
      </c>
      <c r="G61" s="147" t="s">
        <v>928</v>
      </c>
    </row>
    <row r="62" spans="2:7">
      <c r="B62" s="146">
        <f>_xlfn.XLOOKUP(C62,'Detalhamento - G200'!B58:B305,'Detalhamento - G200'!A58:A305,0)</f>
        <v>1003002001</v>
      </c>
      <c r="C62" s="147" t="s">
        <v>76</v>
      </c>
      <c r="D62" s="154">
        <f>VLOOKUP(B62,'Detalhamento - G200'!A:G,5,)</f>
        <v>0</v>
      </c>
      <c r="E62" s="154"/>
      <c r="F62" s="154">
        <f t="shared" si="0"/>
        <v>0</v>
      </c>
      <c r="G62" s="147"/>
    </row>
    <row r="63" spans="2:7">
      <c r="B63" s="146">
        <f>_xlfn.XLOOKUP(C63,'Detalhamento - G200'!B59:B306,'Detalhamento - G200'!A59:A306,0)</f>
        <v>1003002002</v>
      </c>
      <c r="C63" s="147" t="s">
        <v>77</v>
      </c>
      <c r="D63" s="154">
        <f>VLOOKUP(B63,'Detalhamento - G200'!A:G,5,)</f>
        <v>0</v>
      </c>
      <c r="E63" s="154">
        <v>9.9999997764825804E-3</v>
      </c>
      <c r="F63" s="154">
        <f t="shared" si="0"/>
        <v>9.9999997764825804E-3</v>
      </c>
      <c r="G63" s="147"/>
    </row>
    <row r="64" spans="2:7">
      <c r="B64" s="146">
        <f>_xlfn.XLOOKUP(C64,'Detalhamento - G200'!B60:B307,'Detalhamento - G200'!A60:A307,0)</f>
        <v>1003003001</v>
      </c>
      <c r="C64" s="147" t="s">
        <v>79</v>
      </c>
      <c r="D64" s="154">
        <f>VLOOKUP(B64,'Detalhamento - G200'!A:G,5,)</f>
        <v>0</v>
      </c>
      <c r="E64" s="154"/>
      <c r="F64" s="154">
        <f t="shared" si="0"/>
        <v>0</v>
      </c>
      <c r="G64" s="147"/>
    </row>
    <row r="65" spans="2:7">
      <c r="B65" s="146">
        <f>_xlfn.XLOOKUP(C65,'Detalhamento - G200'!B61:B308,'Detalhamento - G200'!A61:A308,0)</f>
        <v>1003003002</v>
      </c>
      <c r="C65" s="147" t="s">
        <v>80</v>
      </c>
      <c r="D65" s="154">
        <f>VLOOKUP(B65,'Detalhamento - G200'!A:G,5,)</f>
        <v>0</v>
      </c>
      <c r="E65" s="154"/>
      <c r="F65" s="154">
        <f t="shared" si="0"/>
        <v>0</v>
      </c>
      <c r="G65" s="147"/>
    </row>
    <row r="66" spans="2:7">
      <c r="B66" s="146">
        <f>_xlfn.XLOOKUP(C66,'Detalhamento - G200'!B62:B309,'Detalhamento - G200'!A62:A309,0)</f>
        <v>1003004001</v>
      </c>
      <c r="C66" s="147" t="s">
        <v>82</v>
      </c>
      <c r="D66" s="154">
        <f>VLOOKUP(B66,'Detalhamento - G200'!A:G,5,)</f>
        <v>0</v>
      </c>
      <c r="E66" s="154">
        <v>236.38000000081999</v>
      </c>
      <c r="F66" s="154">
        <f t="shared" si="0"/>
        <v>236.38000000081999</v>
      </c>
      <c r="G66" s="147" t="s">
        <v>813</v>
      </c>
    </row>
    <row r="67" spans="2:7">
      <c r="B67" s="146">
        <f>_xlfn.XLOOKUP(C67,'Detalhamento - G200'!B63:B310,'Detalhamento - G200'!A63:A310,0)</f>
        <v>1003004002</v>
      </c>
      <c r="C67" s="147" t="s">
        <v>83</v>
      </c>
      <c r="D67" s="154">
        <f>VLOOKUP(B67,'Detalhamento - G200'!A:G,5,)</f>
        <v>0</v>
      </c>
      <c r="E67" s="154">
        <v>-236.38000000012099</v>
      </c>
      <c r="F67" s="154">
        <f t="shared" si="0"/>
        <v>-236.38000000012099</v>
      </c>
      <c r="G67" s="147" t="s">
        <v>813</v>
      </c>
    </row>
    <row r="68" spans="2:7">
      <c r="B68" s="146">
        <f>_xlfn.XLOOKUP(C68,'Detalhamento - G200'!B64:B311,'Detalhamento - G200'!A64:A311,0)</f>
        <v>1003005001</v>
      </c>
      <c r="C68" s="147" t="s">
        <v>85</v>
      </c>
      <c r="D68" s="154">
        <f>VLOOKUP(B68,'Detalhamento - G200'!A:G,5,)</f>
        <v>0</v>
      </c>
      <c r="E68" s="154"/>
      <c r="F68" s="154">
        <f t="shared" si="0"/>
        <v>0</v>
      </c>
      <c r="G68" s="147"/>
    </row>
    <row r="69" spans="2:7">
      <c r="B69" s="146">
        <f>_xlfn.XLOOKUP(C69,'Detalhamento - G200'!B65:B312,'Detalhamento - G200'!A65:A312,0)</f>
        <v>1003006001</v>
      </c>
      <c r="C69" s="147" t="s">
        <v>87</v>
      </c>
      <c r="D69" s="154">
        <f>VLOOKUP(B69,'Detalhamento - G200'!A:G,5,)</f>
        <v>0</v>
      </c>
      <c r="E69" s="154"/>
      <c r="F69" s="154">
        <f t="shared" si="0"/>
        <v>0</v>
      </c>
      <c r="G69" s="147"/>
    </row>
    <row r="70" spans="2:7">
      <c r="B70" s="146">
        <f>_xlfn.XLOOKUP(C70,'Detalhamento - G200'!B66:B313,'Detalhamento - G200'!A66:A313,0)</f>
        <v>1004001001</v>
      </c>
      <c r="C70" s="147" t="s">
        <v>90</v>
      </c>
      <c r="D70" s="154">
        <f>VLOOKUP(B70,'Detalhamento - G200'!A:G,5,)</f>
        <v>0</v>
      </c>
      <c r="E70" s="154"/>
      <c r="F70" s="154">
        <f t="shared" si="0"/>
        <v>0</v>
      </c>
      <c r="G70" s="147"/>
    </row>
    <row r="71" spans="2:7">
      <c r="B71" s="146">
        <f>_xlfn.XLOOKUP(C71,'Detalhamento - G200'!B67:B314,'Detalhamento - G200'!A67:A314,0)</f>
        <v>1004001002</v>
      </c>
      <c r="C71" s="147" t="s">
        <v>91</v>
      </c>
      <c r="D71" s="154">
        <f>VLOOKUP(B71,'Detalhamento - G200'!A:G,5,)</f>
        <v>0</v>
      </c>
      <c r="E71" s="154">
        <v>-9000</v>
      </c>
      <c r="F71" s="154">
        <f t="shared" si="0"/>
        <v>-9000</v>
      </c>
      <c r="G71" s="147" t="s">
        <v>929</v>
      </c>
    </row>
    <row r="72" spans="2:7">
      <c r="B72" s="146">
        <f>_xlfn.XLOOKUP(C72,'Detalhamento - G200'!B68:B315,'Detalhamento - G200'!A68:A315,0)</f>
        <v>1004001003</v>
      </c>
      <c r="C72" s="147" t="s">
        <v>92</v>
      </c>
      <c r="D72" s="154">
        <f>VLOOKUP(B72,'Detalhamento - G200'!A:G,5,)</f>
        <v>0</v>
      </c>
      <c r="E72" s="154"/>
      <c r="F72" s="154">
        <f t="shared" si="0"/>
        <v>0</v>
      </c>
      <c r="G72" s="147"/>
    </row>
    <row r="73" spans="2:7">
      <c r="B73" s="146">
        <f>_xlfn.XLOOKUP(C73,'Detalhamento - G200'!B69:B316,'Detalhamento - G200'!A69:A316,0)</f>
        <v>1004001004</v>
      </c>
      <c r="C73" s="147" t="s">
        <v>93</v>
      </c>
      <c r="D73" s="154">
        <f>VLOOKUP(B73,'Detalhamento - G200'!A:G,5,)</f>
        <v>0</v>
      </c>
      <c r="E73" s="154"/>
      <c r="F73" s="154">
        <f t="shared" si="0"/>
        <v>0</v>
      </c>
      <c r="G73" s="147"/>
    </row>
    <row r="74" spans="2:7">
      <c r="B74" s="146">
        <f>_xlfn.XLOOKUP(C74,'Detalhamento - G200'!B70:B317,'Detalhamento - G200'!A70:A317,0)</f>
        <v>1004001005</v>
      </c>
      <c r="C74" s="147" t="s">
        <v>94</v>
      </c>
      <c r="D74" s="154">
        <f>VLOOKUP(B74,'Detalhamento - G200'!A:G,5,)</f>
        <v>0</v>
      </c>
      <c r="E74" s="154"/>
      <c r="F74" s="154">
        <f t="shared" si="0"/>
        <v>0</v>
      </c>
      <c r="G74" s="147"/>
    </row>
    <row r="75" spans="2:7" ht="36">
      <c r="B75" s="146">
        <f>_xlfn.XLOOKUP(C75,'Detalhamento - G200'!B71:B318,'Detalhamento - G200'!A71:A318,0)</f>
        <v>1004002001</v>
      </c>
      <c r="C75" s="147" t="s">
        <v>96</v>
      </c>
      <c r="D75" s="154">
        <f>VLOOKUP(B75,'Detalhamento - G200'!A:G,5,)</f>
        <v>0</v>
      </c>
      <c r="E75" s="154"/>
      <c r="F75" s="154">
        <f t="shared" ref="F75:F143" si="1">D75+E75</f>
        <v>0</v>
      </c>
      <c r="G75" s="147"/>
    </row>
    <row r="76" spans="2:7" ht="36">
      <c r="B76" s="146">
        <f>_xlfn.XLOOKUP(C76,'Detalhamento - G200'!B72:B319,'Detalhamento - G200'!A72:A319,0)</f>
        <v>1004002002</v>
      </c>
      <c r="C76" s="147" t="s">
        <v>97</v>
      </c>
      <c r="D76" s="154">
        <f>VLOOKUP(B76,'Detalhamento - G200'!A:G,5,)</f>
        <v>0</v>
      </c>
      <c r="E76" s="154"/>
      <c r="F76" s="154">
        <f t="shared" si="1"/>
        <v>0</v>
      </c>
      <c r="G76" s="147"/>
    </row>
    <row r="77" spans="2:7" ht="36">
      <c r="B77" s="146">
        <f>_xlfn.XLOOKUP(C77,'Detalhamento - G200'!B73:B320,'Detalhamento - G200'!A73:A320,0)</f>
        <v>1004002003</v>
      </c>
      <c r="C77" s="147" t="s">
        <v>98</v>
      </c>
      <c r="D77" s="154">
        <f>VLOOKUP(B77,'Detalhamento - G200'!A:G,5,)</f>
        <v>0</v>
      </c>
      <c r="E77" s="154"/>
      <c r="F77" s="154">
        <f t="shared" si="1"/>
        <v>0</v>
      </c>
      <c r="G77" s="147"/>
    </row>
    <row r="78" spans="2:7">
      <c r="B78" s="146">
        <f>_xlfn.XLOOKUP(C78,'Detalhamento - G200'!B74:B321,'Detalhamento - G200'!A74:A321,0)</f>
        <v>1004002004</v>
      </c>
      <c r="C78" s="147" t="s">
        <v>99</v>
      </c>
      <c r="D78" s="154">
        <f>VLOOKUP(B78,'Detalhamento - G200'!A:G,5,)</f>
        <v>0</v>
      </c>
      <c r="E78" s="154"/>
      <c r="F78" s="154">
        <f t="shared" si="1"/>
        <v>0</v>
      </c>
      <c r="G78" s="147"/>
    </row>
    <row r="79" spans="2:7">
      <c r="B79" s="146">
        <f>_xlfn.XLOOKUP(C79,'Detalhamento - G200'!B75:B322,'Detalhamento - G200'!A75:A322,0)</f>
        <v>1004002005</v>
      </c>
      <c r="C79" s="147" t="s">
        <v>100</v>
      </c>
      <c r="D79" s="154">
        <f>VLOOKUP(B79,'Detalhamento - G200'!A:G,5,)</f>
        <v>0</v>
      </c>
      <c r="E79" s="154"/>
      <c r="F79" s="154">
        <f t="shared" si="1"/>
        <v>0</v>
      </c>
      <c r="G79" s="147"/>
    </row>
    <row r="80" spans="2:7" ht="36">
      <c r="B80" s="146">
        <f>_xlfn.XLOOKUP(C80,'Detalhamento - G200'!B76:B323,'Detalhamento - G200'!A76:A323,0)</f>
        <v>1004002006</v>
      </c>
      <c r="C80" s="147" t="s">
        <v>101</v>
      </c>
      <c r="D80" s="154">
        <f>VLOOKUP(B80,'Detalhamento - G200'!A:G,5,)</f>
        <v>0</v>
      </c>
      <c r="E80" s="154"/>
      <c r="F80" s="154">
        <f t="shared" si="1"/>
        <v>0</v>
      </c>
      <c r="G80" s="147"/>
    </row>
    <row r="81" spans="2:7">
      <c r="B81" s="146">
        <f>_xlfn.XLOOKUP(C81,'Detalhamento - G200'!B77:B324,'Detalhamento - G200'!A77:A324,0)</f>
        <v>1004002007</v>
      </c>
      <c r="C81" s="147" t="s">
        <v>102</v>
      </c>
      <c r="D81" s="154">
        <f>VLOOKUP(B81,'Detalhamento - G200'!A:G,5,)</f>
        <v>0</v>
      </c>
      <c r="E81" s="154"/>
      <c r="F81" s="154">
        <f t="shared" si="1"/>
        <v>0</v>
      </c>
      <c r="G81" s="147"/>
    </row>
    <row r="82" spans="2:7" ht="36">
      <c r="B82" s="146">
        <f>_xlfn.XLOOKUP(C82,'Detalhamento - G200'!B78:B325,'Detalhamento - G200'!A78:A325,0)</f>
        <v>1004002008</v>
      </c>
      <c r="C82" s="147" t="s">
        <v>103</v>
      </c>
      <c r="D82" s="154">
        <f>VLOOKUP(B82,'Detalhamento - G200'!A:G,5,)</f>
        <v>0</v>
      </c>
      <c r="E82" s="154"/>
      <c r="F82" s="154">
        <f t="shared" si="1"/>
        <v>0</v>
      </c>
      <c r="G82" s="147"/>
    </row>
    <row r="83" spans="2:7" ht="36">
      <c r="B83" s="146">
        <f>_xlfn.XLOOKUP(C83,'Detalhamento - G200'!B79:B326,'Detalhamento - G200'!A79:A326,0)</f>
        <v>1004002009</v>
      </c>
      <c r="C83" s="147" t="s">
        <v>104</v>
      </c>
      <c r="D83" s="154">
        <f>VLOOKUP(B83,'Detalhamento - G200'!A:G,5,)</f>
        <v>0</v>
      </c>
      <c r="E83" s="154"/>
      <c r="F83" s="154">
        <f t="shared" si="1"/>
        <v>0</v>
      </c>
      <c r="G83" s="147"/>
    </row>
    <row r="84" spans="2:7" ht="54">
      <c r="B84" s="146">
        <f>_xlfn.XLOOKUP(C84,'Detalhamento - G200'!B80:B327,'Detalhamento - G200'!A80:A327,0)</f>
        <v>1004002010</v>
      </c>
      <c r="C84" s="147" t="s">
        <v>105</v>
      </c>
      <c r="D84" s="154">
        <f>VLOOKUP(B84,'Detalhamento - G200'!A:G,5,)</f>
        <v>0</v>
      </c>
      <c r="E84" s="154"/>
      <c r="F84" s="154">
        <f t="shared" si="1"/>
        <v>0</v>
      </c>
      <c r="G84" s="147"/>
    </row>
    <row r="85" spans="2:7" ht="36">
      <c r="B85" s="146">
        <f>_xlfn.XLOOKUP(C85,'Detalhamento - G200'!B81:B328,'Detalhamento - G200'!A81:A328,0)</f>
        <v>1004002011</v>
      </c>
      <c r="C85" s="147" t="s">
        <v>106</v>
      </c>
      <c r="D85" s="154">
        <f>VLOOKUP(B85,'Detalhamento - G200'!A:G,5,)</f>
        <v>0</v>
      </c>
      <c r="E85" s="154"/>
      <c r="F85" s="154">
        <f t="shared" si="1"/>
        <v>0</v>
      </c>
      <c r="G85" s="147"/>
    </row>
    <row r="86" spans="2:7">
      <c r="B86" s="146">
        <f>_xlfn.XLOOKUP(C86,'Detalhamento - G200'!B82:B329,'Detalhamento - G200'!A82:A329,0)</f>
        <v>1005001001</v>
      </c>
      <c r="C86" s="147" t="s">
        <v>961</v>
      </c>
      <c r="D86" s="154">
        <f>VLOOKUP(B86,'Detalhamento - G200'!A:G,5,)</f>
        <v>0</v>
      </c>
      <c r="E86" s="154"/>
      <c r="F86" s="154">
        <f t="shared" si="1"/>
        <v>0</v>
      </c>
      <c r="G86" s="147"/>
    </row>
    <row r="87" spans="2:7">
      <c r="B87" s="146">
        <f>_xlfn.XLOOKUP(C87,'Detalhamento - G200'!B83:B330,'Detalhamento - G200'!A83:A330,0)</f>
        <v>1005001002</v>
      </c>
      <c r="C87" s="147" t="s">
        <v>962</v>
      </c>
      <c r="D87" s="154">
        <f>VLOOKUP(B87,'Detalhamento - G200'!A:G,5,)</f>
        <v>0</v>
      </c>
      <c r="E87" s="154"/>
      <c r="F87" s="154">
        <f t="shared" si="1"/>
        <v>0</v>
      </c>
      <c r="G87" s="147"/>
    </row>
    <row r="88" spans="2:7" ht="36">
      <c r="B88" s="146">
        <f>_xlfn.XLOOKUP(C88,'Detalhamento - G200'!B84:B331,'Detalhamento - G200'!A84:A331,0)</f>
        <v>1005001003</v>
      </c>
      <c r="C88" s="147" t="s">
        <v>963</v>
      </c>
      <c r="D88" s="154">
        <f>VLOOKUP(B88,'Detalhamento - G200'!A:G,5,)</f>
        <v>0</v>
      </c>
      <c r="E88" s="154"/>
      <c r="F88" s="154">
        <f t="shared" si="1"/>
        <v>0</v>
      </c>
      <c r="G88" s="147"/>
    </row>
    <row r="89" spans="2:7">
      <c r="B89" s="146">
        <f>_xlfn.XLOOKUP(C89,'Detalhamento - G200'!B82:B329,'Detalhamento - G200'!A82:A329,0)</f>
        <v>2001001001</v>
      </c>
      <c r="C89" s="147" t="s">
        <v>110</v>
      </c>
      <c r="D89" s="154">
        <f>VLOOKUP(B89,'Detalhamento - G200'!A:G,5,)</f>
        <v>0</v>
      </c>
      <c r="E89" s="154"/>
      <c r="F89" s="154">
        <f t="shared" si="1"/>
        <v>0</v>
      </c>
      <c r="G89" s="147"/>
    </row>
    <row r="90" spans="2:7">
      <c r="B90" s="146">
        <f>_xlfn.XLOOKUP(C90,'Detalhamento - G200'!B83:B330,'Detalhamento - G200'!A83:A330,0)</f>
        <v>2001001002</v>
      </c>
      <c r="C90" s="147" t="s">
        <v>111</v>
      </c>
      <c r="D90" s="154">
        <f>VLOOKUP(B90,'Detalhamento - G200'!A:G,5,)</f>
        <v>0</v>
      </c>
      <c r="E90" s="154">
        <v>0</v>
      </c>
      <c r="F90" s="154">
        <f t="shared" si="1"/>
        <v>0</v>
      </c>
      <c r="G90" s="147"/>
    </row>
    <row r="91" spans="2:7">
      <c r="B91" s="146">
        <f>_xlfn.XLOOKUP(C91,'Detalhamento - G200'!B84:B331,'Detalhamento - G200'!A84:A331,0)</f>
        <v>2001001003</v>
      </c>
      <c r="C91" s="147" t="s">
        <v>112</v>
      </c>
      <c r="D91" s="154">
        <f>VLOOKUP(B91,'Detalhamento - G200'!A:G,5,)</f>
        <v>0</v>
      </c>
      <c r="E91" s="154"/>
      <c r="F91" s="154">
        <f t="shared" si="1"/>
        <v>0</v>
      </c>
      <c r="G91" s="147"/>
    </row>
    <row r="92" spans="2:7">
      <c r="B92" s="146">
        <f>_xlfn.XLOOKUP(C92,'Detalhamento - G200'!B85:B332,'Detalhamento - G200'!A85:A332,0)</f>
        <v>2001001004</v>
      </c>
      <c r="C92" s="147" t="s">
        <v>113</v>
      </c>
      <c r="D92" s="154">
        <f>VLOOKUP(B92,'Detalhamento - G200'!A:G,5,)</f>
        <v>0</v>
      </c>
      <c r="E92" s="154"/>
      <c r="F92" s="154">
        <f t="shared" si="1"/>
        <v>0</v>
      </c>
      <c r="G92" s="147"/>
    </row>
    <row r="93" spans="2:7">
      <c r="B93" s="146">
        <f>_xlfn.XLOOKUP(C93,'Detalhamento - G200'!B86:B333,'Detalhamento - G200'!A86:A333,0)</f>
        <v>2001001005</v>
      </c>
      <c r="C93" s="147" t="s">
        <v>114</v>
      </c>
      <c r="D93" s="154">
        <f>VLOOKUP(B93,'Detalhamento - G200'!A:G,5,)</f>
        <v>0</v>
      </c>
      <c r="E93" s="154"/>
      <c r="F93" s="154">
        <f t="shared" si="1"/>
        <v>0</v>
      </c>
      <c r="G93" s="147"/>
    </row>
    <row r="94" spans="2:7">
      <c r="B94" s="146">
        <f>_xlfn.XLOOKUP(C94,'Detalhamento - G200'!B87:B334,'Detalhamento - G200'!A87:A334,0)</f>
        <v>2001001006</v>
      </c>
      <c r="C94" s="147" t="s">
        <v>115</v>
      </c>
      <c r="D94" s="154">
        <f>VLOOKUP(B94,'Detalhamento - G200'!A:G,5,)</f>
        <v>0</v>
      </c>
      <c r="E94" s="154"/>
      <c r="F94" s="154">
        <f t="shared" si="1"/>
        <v>0</v>
      </c>
      <c r="G94" s="147"/>
    </row>
    <row r="95" spans="2:7">
      <c r="B95" s="146">
        <f>_xlfn.XLOOKUP(C95,'Detalhamento - G200'!B88:B335,'Detalhamento - G200'!A88:A335,0)</f>
        <v>2001001007</v>
      </c>
      <c r="C95" s="147" t="s">
        <v>116</v>
      </c>
      <c r="D95" s="154">
        <f>VLOOKUP(B95,'Detalhamento - G200'!A:G,5,)</f>
        <v>0</v>
      </c>
      <c r="E95" s="154"/>
      <c r="F95" s="154">
        <f t="shared" si="1"/>
        <v>0</v>
      </c>
      <c r="G95" s="147"/>
    </row>
    <row r="96" spans="2:7">
      <c r="B96" s="146">
        <f>_xlfn.XLOOKUP(C96,'Detalhamento - G200'!B89:B336,'Detalhamento - G200'!A89:A336,0)</f>
        <v>2001001008</v>
      </c>
      <c r="C96" s="147" t="s">
        <v>117</v>
      </c>
      <c r="D96" s="154">
        <f>VLOOKUP(B96,'Detalhamento - G200'!A:G,5,)</f>
        <v>0</v>
      </c>
      <c r="E96" s="154"/>
      <c r="F96" s="154">
        <f t="shared" si="1"/>
        <v>0</v>
      </c>
      <c r="G96" s="147"/>
    </row>
    <row r="97" spans="2:11">
      <c r="B97" s="146">
        <f>_xlfn.XLOOKUP(C97,'Detalhamento - G200'!B90:B337,'Detalhamento - G200'!A90:A337,0)</f>
        <v>2001001009</v>
      </c>
      <c r="C97" s="147" t="s">
        <v>118</v>
      </c>
      <c r="D97" s="154">
        <f>VLOOKUP(B97,'Detalhamento - G200'!A:G,5,)</f>
        <v>0</v>
      </c>
      <c r="E97" s="154"/>
      <c r="F97" s="154">
        <f t="shared" si="1"/>
        <v>0</v>
      </c>
      <c r="G97" s="147"/>
    </row>
    <row r="98" spans="2:11">
      <c r="B98" s="146">
        <f>_xlfn.XLOOKUP(C98,'Detalhamento - G200'!B91:B338,'Detalhamento - G200'!A91:A338,0)</f>
        <v>2001001010</v>
      </c>
      <c r="C98" s="147" t="s">
        <v>119</v>
      </c>
      <c r="D98" s="154">
        <f>VLOOKUP(B98,'Detalhamento - G200'!A:G,5,)</f>
        <v>0</v>
      </c>
      <c r="E98" s="154"/>
      <c r="F98" s="154">
        <f t="shared" si="1"/>
        <v>0</v>
      </c>
      <c r="G98" s="147"/>
    </row>
    <row r="99" spans="2:11">
      <c r="B99" s="146">
        <f>_xlfn.XLOOKUP(C99,'Detalhamento - G200'!B92:B339,'Detalhamento - G200'!A92:A339,0)</f>
        <v>2001002001</v>
      </c>
      <c r="C99" s="147" t="s">
        <v>121</v>
      </c>
      <c r="D99" s="154">
        <f>VLOOKUP(B99,'Detalhamento - G200'!A:G,5,)</f>
        <v>0</v>
      </c>
      <c r="E99" s="154"/>
      <c r="F99" s="154">
        <f t="shared" si="1"/>
        <v>0</v>
      </c>
      <c r="G99" s="147"/>
    </row>
    <row r="100" spans="2:11">
      <c r="B100" s="146">
        <f>_xlfn.XLOOKUP(C100,'Detalhamento - G200'!B93:B340,'Detalhamento - G200'!A93:A340,0)</f>
        <v>2001002002</v>
      </c>
      <c r="C100" s="147" t="s">
        <v>122</v>
      </c>
      <c r="D100" s="154">
        <f>VLOOKUP(B100,'Detalhamento - G200'!A:G,5,)</f>
        <v>0</v>
      </c>
      <c r="E100" s="154"/>
      <c r="F100" s="154">
        <f t="shared" si="1"/>
        <v>0</v>
      </c>
      <c r="G100" s="147"/>
    </row>
    <row r="101" spans="2:11">
      <c r="B101" s="146">
        <f>_xlfn.XLOOKUP(C101,'Detalhamento - G200'!B94:B341,'Detalhamento - G200'!A94:A341,0)</f>
        <v>2001002003</v>
      </c>
      <c r="C101" s="147" t="s">
        <v>123</v>
      </c>
      <c r="D101" s="154">
        <f>VLOOKUP(B101,'Detalhamento - G200'!A:G,5,)</f>
        <v>0</v>
      </c>
      <c r="E101" s="154"/>
      <c r="F101" s="154">
        <f t="shared" si="1"/>
        <v>0</v>
      </c>
      <c r="G101" s="147"/>
    </row>
    <row r="102" spans="2:11">
      <c r="B102" s="146">
        <f>_xlfn.XLOOKUP(C102,'Detalhamento - G200'!B95:B342,'Detalhamento - G200'!A95:A342,0)</f>
        <v>2001003001</v>
      </c>
      <c r="C102" s="147" t="s">
        <v>125</v>
      </c>
      <c r="D102" s="154">
        <f>VLOOKUP(B102,'Detalhamento - G200'!A:G,5,)</f>
        <v>0</v>
      </c>
      <c r="E102" s="154"/>
      <c r="F102" s="154">
        <f t="shared" si="1"/>
        <v>0</v>
      </c>
      <c r="G102" s="147"/>
    </row>
    <row r="103" spans="2:11">
      <c r="B103" s="146">
        <f>_xlfn.XLOOKUP(C103,'Detalhamento - G200'!B96:B343,'Detalhamento - G200'!A96:A343,0)</f>
        <v>2001003002</v>
      </c>
      <c r="C103" s="147" t="s">
        <v>126</v>
      </c>
      <c r="D103" s="154">
        <f>VLOOKUP(B103,'Detalhamento - G200'!A:G,5,)</f>
        <v>0</v>
      </c>
      <c r="E103" s="154"/>
      <c r="F103" s="154">
        <f t="shared" si="1"/>
        <v>0</v>
      </c>
      <c r="G103" s="147"/>
    </row>
    <row r="104" spans="2:11">
      <c r="B104" s="146">
        <f>_xlfn.XLOOKUP(C104,'Detalhamento - G200'!B97:B344,'Detalhamento - G200'!A97:A344,0)</f>
        <v>2001003003</v>
      </c>
      <c r="C104" s="147" t="s">
        <v>127</v>
      </c>
      <c r="D104" s="154">
        <f>VLOOKUP(B104,'Detalhamento - G200'!A:G,5,)</f>
        <v>0</v>
      </c>
      <c r="E104" s="154"/>
      <c r="F104" s="154">
        <f t="shared" si="1"/>
        <v>0</v>
      </c>
      <c r="G104" s="147"/>
    </row>
    <row r="105" spans="2:11">
      <c r="B105" s="146">
        <f>_xlfn.XLOOKUP(C105,'Detalhamento - G200'!B98:B345,'Detalhamento - G200'!A98:A345,0)</f>
        <v>2001004001</v>
      </c>
      <c r="C105" s="147" t="s">
        <v>129</v>
      </c>
      <c r="D105" s="154">
        <f>VLOOKUP(B105,'Detalhamento - G200'!A:G,5,)</f>
        <v>0</v>
      </c>
      <c r="E105" s="154"/>
      <c r="F105" s="154">
        <f t="shared" si="1"/>
        <v>0</v>
      </c>
      <c r="G105" s="147"/>
      <c r="I105" s="259"/>
      <c r="K105" s="260"/>
    </row>
    <row r="106" spans="2:11" ht="36">
      <c r="B106" s="146">
        <f>_xlfn.XLOOKUP(C106,'Detalhamento - G200'!B99:B346,'Detalhamento - G200'!A99:A346,0)</f>
        <v>2001004002</v>
      </c>
      <c r="C106" s="147" t="s">
        <v>130</v>
      </c>
      <c r="D106" s="154">
        <f>VLOOKUP(B106,'Detalhamento - G200'!A:G,5,)</f>
        <v>0</v>
      </c>
      <c r="E106" s="154">
        <v>213.5</v>
      </c>
      <c r="F106" s="154">
        <f t="shared" si="1"/>
        <v>213.5</v>
      </c>
      <c r="G106" s="147" t="s">
        <v>1050</v>
      </c>
      <c r="I106" s="259"/>
    </row>
    <row r="107" spans="2:11">
      <c r="B107" s="146">
        <f>_xlfn.XLOOKUP(C107,'Detalhamento - G200'!B100:B347,'Detalhamento - G200'!A100:A347,0)</f>
        <v>2001004003</v>
      </c>
      <c r="C107" s="147" t="s">
        <v>131</v>
      </c>
      <c r="D107" s="154">
        <f>VLOOKUP(B107,'Detalhamento - G200'!A:G,5,)</f>
        <v>0</v>
      </c>
      <c r="E107" s="154"/>
      <c r="F107" s="154">
        <f t="shared" si="1"/>
        <v>0</v>
      </c>
      <c r="G107" s="147"/>
    </row>
    <row r="108" spans="2:11">
      <c r="B108" s="146">
        <f>_xlfn.XLOOKUP(C108,'Detalhamento - G200'!B101:B348,'Detalhamento - G200'!A101:A348,0)</f>
        <v>2001004004</v>
      </c>
      <c r="C108" s="147" t="s">
        <v>132</v>
      </c>
      <c r="D108" s="154">
        <f>VLOOKUP(B108,'Detalhamento - G200'!A:G,5,)</f>
        <v>0</v>
      </c>
      <c r="E108" s="154"/>
      <c r="F108" s="154">
        <f t="shared" si="1"/>
        <v>0</v>
      </c>
      <c r="G108" s="147"/>
    </row>
    <row r="109" spans="2:11">
      <c r="B109" s="146">
        <f>_xlfn.XLOOKUP(C109,'Detalhamento - G200'!B102:B349,'Detalhamento - G200'!A102:A349,0)</f>
        <v>2001005001</v>
      </c>
      <c r="C109" s="147" t="s">
        <v>134</v>
      </c>
      <c r="D109" s="154">
        <f>VLOOKUP(B109,'Detalhamento - G200'!A:G,5,)</f>
        <v>0</v>
      </c>
      <c r="E109" s="154"/>
      <c r="F109" s="154">
        <f t="shared" si="1"/>
        <v>0</v>
      </c>
      <c r="G109" s="147"/>
    </row>
    <row r="110" spans="2:11">
      <c r="B110" s="146">
        <f>_xlfn.XLOOKUP(C110,'Detalhamento - G200'!B103:B350,'Detalhamento - G200'!A103:A350,0)</f>
        <v>2001005002</v>
      </c>
      <c r="C110" s="147" t="s">
        <v>135</v>
      </c>
      <c r="D110" s="154">
        <f>VLOOKUP(B110,'Detalhamento - G200'!A:G,5,)</f>
        <v>0</v>
      </c>
      <c r="E110" s="154"/>
      <c r="F110" s="154">
        <f t="shared" si="1"/>
        <v>0</v>
      </c>
      <c r="G110" s="147"/>
    </row>
    <row r="111" spans="2:11">
      <c r="B111" s="146">
        <f>_xlfn.XLOOKUP(C111,'Detalhamento - G200'!B104:B351,'Detalhamento - G200'!A104:A351,0)</f>
        <v>2001006001</v>
      </c>
      <c r="C111" s="147" t="s">
        <v>137</v>
      </c>
      <c r="D111" s="154">
        <f>VLOOKUP(B111,'Detalhamento - G200'!A:G,5,)</f>
        <v>0</v>
      </c>
      <c r="E111" s="154"/>
      <c r="F111" s="154">
        <f t="shared" si="1"/>
        <v>0</v>
      </c>
      <c r="G111" s="147"/>
    </row>
    <row r="112" spans="2:11">
      <c r="B112" s="146">
        <f>_xlfn.XLOOKUP(C112,'Detalhamento - G200'!B110:B352,'Detalhamento - G200'!A110:A352,0)</f>
        <v>2001006002</v>
      </c>
      <c r="C112" s="147" t="s">
        <v>138</v>
      </c>
      <c r="D112" s="154">
        <f>VLOOKUP(B112,'Detalhamento - G200'!A:G,5,)</f>
        <v>0</v>
      </c>
      <c r="E112" s="154">
        <v>160150</v>
      </c>
      <c r="F112" s="154">
        <f t="shared" si="1"/>
        <v>160150</v>
      </c>
      <c r="G112" s="147" t="s">
        <v>930</v>
      </c>
    </row>
    <row r="113" spans="2:10" ht="36">
      <c r="B113" s="146">
        <f>_xlfn.XLOOKUP(C113,'Detalhamento - G200'!B111:B353,'Detalhamento - G200'!A111:A353,0)</f>
        <v>2001006003</v>
      </c>
      <c r="C113" s="147" t="s">
        <v>139</v>
      </c>
      <c r="D113" s="154">
        <f>VLOOKUP(B113,'Detalhamento - G200'!A:G,5,)</f>
        <v>0</v>
      </c>
      <c r="E113" s="154"/>
      <c r="F113" s="154">
        <f t="shared" si="1"/>
        <v>0</v>
      </c>
      <c r="G113" s="147"/>
    </row>
    <row r="114" spans="2:10">
      <c r="B114" s="146">
        <f>_xlfn.XLOOKUP(C114,'Detalhamento - G200'!B112:B354,'Detalhamento - G200'!A112:A354,0)</f>
        <v>2001006004</v>
      </c>
      <c r="C114" s="147" t="s">
        <v>140</v>
      </c>
      <c r="D114" s="154">
        <f>VLOOKUP(B114,'Detalhamento - G200'!A:G,5,)</f>
        <v>0</v>
      </c>
      <c r="E114" s="154"/>
      <c r="F114" s="154">
        <f t="shared" si="1"/>
        <v>0</v>
      </c>
      <c r="G114" s="147"/>
    </row>
    <row r="115" spans="2:10">
      <c r="B115" s="146">
        <f>_xlfn.XLOOKUP(C115,'Detalhamento - G200'!B113:B355,'Detalhamento - G200'!A113:A355,0)</f>
        <v>2001006005</v>
      </c>
      <c r="C115" s="147" t="s">
        <v>141</v>
      </c>
      <c r="D115" s="154">
        <f>VLOOKUP(B115,'Detalhamento - G200'!A:G,5,)</f>
        <v>0</v>
      </c>
      <c r="E115" s="154"/>
      <c r="F115" s="154">
        <f t="shared" si="1"/>
        <v>0</v>
      </c>
      <c r="G115" s="147"/>
    </row>
    <row r="116" spans="2:10">
      <c r="B116" s="146">
        <f>_xlfn.XLOOKUP(C116,'Detalhamento - G200'!B114:B356,'Detalhamento - G200'!A114:A356,0)</f>
        <v>2001006006</v>
      </c>
      <c r="C116" s="147" t="s">
        <v>142</v>
      </c>
      <c r="D116" s="154">
        <f>VLOOKUP(B116,'Detalhamento - G200'!A:G,5,)</f>
        <v>0</v>
      </c>
      <c r="E116" s="154"/>
      <c r="F116" s="154">
        <f t="shared" si="1"/>
        <v>0</v>
      </c>
      <c r="G116" s="147"/>
    </row>
    <row r="117" spans="2:10">
      <c r="B117" s="146">
        <f>_xlfn.XLOOKUP(C117,'Detalhamento - G200'!B115:B357,'Detalhamento - G200'!A115:A357,0)</f>
        <v>2001006007</v>
      </c>
      <c r="C117" s="147" t="s">
        <v>143</v>
      </c>
      <c r="D117" s="154">
        <f>VLOOKUP(B117,'Detalhamento - G200'!A:G,5,)</f>
        <v>0</v>
      </c>
      <c r="E117" s="154"/>
      <c r="F117" s="154">
        <f t="shared" si="1"/>
        <v>0</v>
      </c>
      <c r="G117" s="147"/>
    </row>
    <row r="118" spans="2:10">
      <c r="B118" s="146">
        <f>_xlfn.XLOOKUP(C118,'Detalhamento - G200'!B116:B358,'Detalhamento - G200'!A116:A358,0)</f>
        <v>2001006008</v>
      </c>
      <c r="C118" s="147" t="s">
        <v>144</v>
      </c>
      <c r="D118" s="154">
        <f>VLOOKUP(B118,'Detalhamento - G200'!A:G,5,)</f>
        <v>0</v>
      </c>
      <c r="E118" s="154"/>
      <c r="F118" s="154">
        <f t="shared" si="1"/>
        <v>0</v>
      </c>
      <c r="G118" s="147"/>
    </row>
    <row r="119" spans="2:10">
      <c r="B119" s="146">
        <f>_xlfn.XLOOKUP(C119,'Detalhamento - G200'!B117:B359,'Detalhamento - G200'!A117:A359,0)</f>
        <v>2001006009</v>
      </c>
      <c r="C119" s="147" t="s">
        <v>145</v>
      </c>
      <c r="D119" s="154">
        <f>VLOOKUP(B119,'Detalhamento - G200'!A:G,5,)</f>
        <v>0</v>
      </c>
      <c r="E119" s="154"/>
      <c r="F119" s="154">
        <f t="shared" si="1"/>
        <v>0</v>
      </c>
      <c r="G119" s="147"/>
      <c r="J119" s="154"/>
    </row>
    <row r="120" spans="2:10">
      <c r="B120" s="146">
        <f>_xlfn.XLOOKUP(C120,'Detalhamento - G200'!B118:B360,'Detalhamento - G200'!A118:A360,0)</f>
        <v>2001006010</v>
      </c>
      <c r="C120" s="147" t="s">
        <v>146</v>
      </c>
      <c r="D120" s="154">
        <f>VLOOKUP(B120,'Detalhamento - G200'!A:G,5,)</f>
        <v>0</v>
      </c>
      <c r="E120" s="154"/>
      <c r="F120" s="154">
        <f t="shared" si="1"/>
        <v>0</v>
      </c>
      <c r="G120" s="147"/>
    </row>
    <row r="121" spans="2:10" ht="36">
      <c r="B121" s="146">
        <f>_xlfn.XLOOKUP(C121,'Detalhamento - G200'!B119:B361,'Detalhamento - G200'!A119:A361,0)</f>
        <v>2001006011</v>
      </c>
      <c r="C121" s="147" t="s">
        <v>147</v>
      </c>
      <c r="D121" s="154">
        <f>VLOOKUP(B121,'Detalhamento - G200'!A:G,5,)</f>
        <v>0</v>
      </c>
      <c r="E121" s="154"/>
      <c r="F121" s="154">
        <f t="shared" si="1"/>
        <v>0</v>
      </c>
      <c r="G121" s="147"/>
    </row>
    <row r="122" spans="2:10">
      <c r="B122" s="146">
        <f>_xlfn.XLOOKUP(C122,'Detalhamento - G200'!B120:B362,'Detalhamento - G200'!A120:A362,0)</f>
        <v>2001006012</v>
      </c>
      <c r="C122" s="147" t="s">
        <v>148</v>
      </c>
      <c r="D122" s="154">
        <f>VLOOKUP(B122,'Detalhamento - G200'!A:G,5,)</f>
        <v>0</v>
      </c>
      <c r="E122" s="154"/>
      <c r="F122" s="154">
        <f t="shared" si="1"/>
        <v>0</v>
      </c>
      <c r="G122" s="147"/>
    </row>
    <row r="123" spans="2:10">
      <c r="B123" s="146">
        <f>_xlfn.XLOOKUP(C123,'Detalhamento - G200'!B121:B363,'Detalhamento - G200'!A121:A363,0)</f>
        <v>2001006013</v>
      </c>
      <c r="C123" s="147" t="s">
        <v>149</v>
      </c>
      <c r="D123" s="154">
        <f>VLOOKUP(B123,'Detalhamento - G200'!A:G,5,)</f>
        <v>0</v>
      </c>
      <c r="E123" s="154"/>
      <c r="F123" s="154">
        <f t="shared" si="1"/>
        <v>0</v>
      </c>
      <c r="G123" s="147"/>
    </row>
    <row r="124" spans="2:10" ht="36">
      <c r="B124" s="146">
        <f>_xlfn.XLOOKUP(C124,'Detalhamento - G200'!B122:B364,'Detalhamento - G200'!A122:A364,0)</f>
        <v>2001006014</v>
      </c>
      <c r="C124" s="147" t="s">
        <v>150</v>
      </c>
      <c r="D124" s="154">
        <f>VLOOKUP(B124,'Detalhamento - G200'!A:G,5,)</f>
        <v>0</v>
      </c>
      <c r="E124" s="154"/>
      <c r="F124" s="154">
        <f t="shared" si="1"/>
        <v>0</v>
      </c>
      <c r="G124" s="147"/>
    </row>
    <row r="125" spans="2:10" ht="36">
      <c r="B125" s="146">
        <f>_xlfn.XLOOKUP(C125,'Detalhamento - G200'!B123:B365,'Detalhamento - G200'!A123:A365,0)</f>
        <v>2001006015</v>
      </c>
      <c r="C125" s="147" t="s">
        <v>151</v>
      </c>
      <c r="D125" s="154">
        <f>VLOOKUP(B125,'Detalhamento - G200'!A:G,5,)</f>
        <v>0</v>
      </c>
      <c r="E125" s="154"/>
      <c r="F125" s="154">
        <f t="shared" si="1"/>
        <v>0</v>
      </c>
      <c r="G125" s="147"/>
    </row>
    <row r="126" spans="2:10">
      <c r="B126" s="146">
        <f>_xlfn.XLOOKUP(C126,'Detalhamento - G200'!B124:B366,'Detalhamento - G200'!A124:A366,0)</f>
        <v>2001006016</v>
      </c>
      <c r="C126" s="147" t="s">
        <v>152</v>
      </c>
      <c r="D126" s="154">
        <f>VLOOKUP(B126,'Detalhamento - G200'!A:G,5,)</f>
        <v>0</v>
      </c>
      <c r="E126" s="154"/>
      <c r="F126" s="154">
        <f t="shared" si="1"/>
        <v>0</v>
      </c>
      <c r="G126" s="147"/>
    </row>
    <row r="127" spans="2:10">
      <c r="B127" s="146">
        <f>_xlfn.XLOOKUP(C127,'Detalhamento - G200'!B125:B367,'Detalhamento - G200'!A125:A367,0)</f>
        <v>2001006017</v>
      </c>
      <c r="C127" s="147" t="s">
        <v>153</v>
      </c>
      <c r="D127" s="154">
        <f>VLOOKUP(B127,'Detalhamento - G200'!A:G,5,)</f>
        <v>0</v>
      </c>
      <c r="E127" s="154"/>
      <c r="F127" s="154">
        <f t="shared" si="1"/>
        <v>0</v>
      </c>
      <c r="G127" s="147"/>
    </row>
    <row r="128" spans="2:10">
      <c r="B128" s="146">
        <f>_xlfn.XLOOKUP(C128,'Detalhamento - G200'!B126:B368,'Detalhamento - G200'!A126:A368,0)</f>
        <v>2001006018</v>
      </c>
      <c r="C128" s="147" t="s">
        <v>154</v>
      </c>
      <c r="D128" s="154">
        <f>VLOOKUP(B128,'Detalhamento - G200'!A:G,5,)</f>
        <v>0</v>
      </c>
      <c r="E128" s="154"/>
      <c r="F128" s="154">
        <f t="shared" si="1"/>
        <v>0</v>
      </c>
      <c r="G128" s="147"/>
    </row>
    <row r="129" spans="2:7">
      <c r="B129" s="146">
        <f>_xlfn.XLOOKUP(C129,'Detalhamento - G200'!B127:B369,'Detalhamento - G200'!A127:A369,0)</f>
        <v>2001006019</v>
      </c>
      <c r="C129" s="147" t="s">
        <v>155</v>
      </c>
      <c r="D129" s="154">
        <f>VLOOKUP(B129,'Detalhamento - G200'!A:G,5,)</f>
        <v>0</v>
      </c>
      <c r="E129" s="154"/>
      <c r="F129" s="154">
        <f t="shared" si="1"/>
        <v>0</v>
      </c>
      <c r="G129" s="147"/>
    </row>
    <row r="130" spans="2:7">
      <c r="B130" s="146">
        <f>_xlfn.XLOOKUP(C130,'Detalhamento - G200'!B128:B370,'Detalhamento - G200'!A128:A370,0)</f>
        <v>2001006020</v>
      </c>
      <c r="C130" s="147" t="s">
        <v>156</v>
      </c>
      <c r="D130" s="154">
        <f>VLOOKUP(B130,'Detalhamento - G200'!A:G,5,)</f>
        <v>0</v>
      </c>
      <c r="E130" s="154"/>
      <c r="F130" s="154">
        <f t="shared" si="1"/>
        <v>0</v>
      </c>
      <c r="G130" s="147"/>
    </row>
    <row r="131" spans="2:7">
      <c r="B131" s="146">
        <f>_xlfn.XLOOKUP(C131,'Detalhamento - G200'!B129:B371,'Detalhamento - G200'!A129:A371,0)</f>
        <v>2001007001</v>
      </c>
      <c r="C131" s="147" t="s">
        <v>158</v>
      </c>
      <c r="D131" s="154">
        <f>VLOOKUP(B131,'Detalhamento - G200'!A:G,5,)</f>
        <v>0</v>
      </c>
      <c r="E131" s="154"/>
      <c r="F131" s="154">
        <f t="shared" si="1"/>
        <v>0</v>
      </c>
      <c r="G131" s="147"/>
    </row>
    <row r="132" spans="2:7">
      <c r="B132" s="146">
        <f>_xlfn.XLOOKUP(C132,'Detalhamento - G200'!B130:B372,'Detalhamento - G200'!A130:A372,0)</f>
        <v>2001007002</v>
      </c>
      <c r="C132" s="147" t="s">
        <v>159</v>
      </c>
      <c r="D132" s="154">
        <f>VLOOKUP(B132,'Detalhamento - G200'!A:G,5,)</f>
        <v>0</v>
      </c>
      <c r="E132" s="154"/>
      <c r="F132" s="154">
        <f t="shared" si="1"/>
        <v>0</v>
      </c>
      <c r="G132" s="147"/>
    </row>
    <row r="133" spans="2:7">
      <c r="B133" s="146">
        <f>_xlfn.XLOOKUP(C133,'Detalhamento - G200'!B131:B373,'Detalhamento - G200'!A131:A373,0)</f>
        <v>2001007003</v>
      </c>
      <c r="C133" s="147" t="s">
        <v>160</v>
      </c>
      <c r="D133" s="154">
        <f>VLOOKUP(B133,'Detalhamento - G200'!A:G,5,)</f>
        <v>0</v>
      </c>
      <c r="E133" s="154"/>
      <c r="F133" s="154">
        <f t="shared" si="1"/>
        <v>0</v>
      </c>
      <c r="G133" s="147"/>
    </row>
    <row r="134" spans="2:7">
      <c r="B134" s="146">
        <f>_xlfn.XLOOKUP(C134,'Detalhamento - G200'!B132:B374,'Detalhamento - G200'!A132:A374,0)</f>
        <v>2001008001</v>
      </c>
      <c r="C134" s="147" t="s">
        <v>162</v>
      </c>
      <c r="D134" s="154">
        <f>VLOOKUP(B134,'Detalhamento - G200'!A:G,5,)</f>
        <v>0</v>
      </c>
      <c r="E134" s="154">
        <v>0</v>
      </c>
      <c r="F134" s="154">
        <f t="shared" si="1"/>
        <v>0</v>
      </c>
      <c r="G134" s="147"/>
    </row>
    <row r="135" spans="2:7">
      <c r="B135" s="146">
        <f>_xlfn.XLOOKUP(C135,'Detalhamento - G200'!B133:B375,'Detalhamento - G200'!A133:A375,0)</f>
        <v>2001008002</v>
      </c>
      <c r="C135" s="147" t="s">
        <v>163</v>
      </c>
      <c r="D135" s="154">
        <f>VLOOKUP(B135,'Detalhamento - G200'!A:G,5,)</f>
        <v>0</v>
      </c>
      <c r="E135" s="154"/>
      <c r="F135" s="154">
        <f t="shared" si="1"/>
        <v>0</v>
      </c>
      <c r="G135" s="147"/>
    </row>
    <row r="136" spans="2:7">
      <c r="B136" s="146">
        <f>_xlfn.XLOOKUP(C136,'Detalhamento - G200'!B134:B376,'Detalhamento - G200'!A134:A376,0)</f>
        <v>2001008003</v>
      </c>
      <c r="C136" s="147" t="s">
        <v>164</v>
      </c>
      <c r="D136" s="154">
        <f>VLOOKUP(B136,'Detalhamento - G200'!A:G,5,)</f>
        <v>0</v>
      </c>
      <c r="E136" s="154"/>
      <c r="F136" s="154">
        <f t="shared" si="1"/>
        <v>0</v>
      </c>
      <c r="G136" s="147"/>
    </row>
    <row r="137" spans="2:7">
      <c r="B137" s="146">
        <f>_xlfn.XLOOKUP(C137,'Detalhamento - G200'!B135:B377,'Detalhamento - G200'!A135:A377,0)</f>
        <v>2001009001</v>
      </c>
      <c r="C137" s="147" t="s">
        <v>166</v>
      </c>
      <c r="D137" s="154">
        <f>VLOOKUP(B137,'Detalhamento - G200'!A:G,5,)</f>
        <v>0</v>
      </c>
      <c r="E137" s="154"/>
      <c r="F137" s="154">
        <f t="shared" si="1"/>
        <v>0</v>
      </c>
      <c r="G137" s="147"/>
    </row>
    <row r="138" spans="2:7">
      <c r="B138" s="146">
        <f>_xlfn.XLOOKUP(C138,'Detalhamento - G200'!B136:B378,'Detalhamento - G200'!A136:A378,0)</f>
        <v>2001009002</v>
      </c>
      <c r="C138" s="147" t="s">
        <v>167</v>
      </c>
      <c r="D138" s="154">
        <f>VLOOKUP(B138,'Detalhamento - G200'!A:G,5,)</f>
        <v>0</v>
      </c>
      <c r="E138" s="154"/>
      <c r="F138" s="154">
        <f t="shared" si="1"/>
        <v>0</v>
      </c>
      <c r="G138" s="147"/>
    </row>
    <row r="139" spans="2:7">
      <c r="B139" s="146">
        <f>_xlfn.XLOOKUP(C139,'Detalhamento - G200'!B137:B379,'Detalhamento - G200'!A137:A379,0)</f>
        <v>2001009003</v>
      </c>
      <c r="C139" s="147" t="s">
        <v>168</v>
      </c>
      <c r="D139" s="154">
        <f>VLOOKUP(B139,'Detalhamento - G200'!A:G,5,)</f>
        <v>0</v>
      </c>
      <c r="E139" s="154"/>
      <c r="F139" s="154">
        <f t="shared" si="1"/>
        <v>0</v>
      </c>
      <c r="G139" s="147"/>
    </row>
    <row r="140" spans="2:7">
      <c r="B140" s="146">
        <f>_xlfn.XLOOKUP(C140,'Detalhamento - G200'!B138:B380,'Detalhamento - G200'!A138:A380,0)</f>
        <v>2001010001</v>
      </c>
      <c r="C140" s="147" t="s">
        <v>170</v>
      </c>
      <c r="D140" s="154">
        <f>VLOOKUP(B140,'Detalhamento - G200'!A:G,5,)</f>
        <v>0</v>
      </c>
      <c r="E140" s="154"/>
      <c r="F140" s="154">
        <f t="shared" si="1"/>
        <v>0</v>
      </c>
      <c r="G140" s="147"/>
    </row>
    <row r="141" spans="2:7">
      <c r="B141" s="146">
        <f>_xlfn.XLOOKUP(C141,'Detalhamento - G200'!B139:B381,'Detalhamento - G200'!A139:A381,0)</f>
        <v>2001011001</v>
      </c>
      <c r="C141" s="147" t="s">
        <v>172</v>
      </c>
      <c r="D141" s="154">
        <f>VLOOKUP(B141,'Detalhamento - G200'!A:G,5,)</f>
        <v>0</v>
      </c>
      <c r="E141" s="154"/>
      <c r="F141" s="154">
        <f t="shared" si="1"/>
        <v>0</v>
      </c>
      <c r="G141" s="147"/>
    </row>
    <row r="142" spans="2:7">
      <c r="B142" s="146">
        <f>_xlfn.XLOOKUP(C142,'Detalhamento - G200'!B140:B382,'Detalhamento - G200'!A140:A382,0)</f>
        <v>2001011002</v>
      </c>
      <c r="C142" s="147" t="s">
        <v>173</v>
      </c>
      <c r="D142" s="154">
        <f>VLOOKUP(B142,'Detalhamento - G200'!A:G,5,)</f>
        <v>0</v>
      </c>
      <c r="E142" s="154"/>
      <c r="F142" s="154">
        <f t="shared" si="1"/>
        <v>0</v>
      </c>
      <c r="G142" s="147"/>
    </row>
    <row r="143" spans="2:7">
      <c r="B143" s="146">
        <f>_xlfn.XLOOKUP(C143,'Detalhamento - G200'!B141:B383,'Detalhamento - G200'!A141:A383,0)</f>
        <v>2001011003</v>
      </c>
      <c r="C143" s="147" t="s">
        <v>174</v>
      </c>
      <c r="D143" s="154">
        <f>VLOOKUP(B143,'Detalhamento - G200'!A:G,5,)</f>
        <v>0</v>
      </c>
      <c r="E143" s="154"/>
      <c r="F143" s="154">
        <f t="shared" si="1"/>
        <v>0</v>
      </c>
      <c r="G143" s="147"/>
    </row>
    <row r="144" spans="2:7">
      <c r="B144" s="146">
        <f>_xlfn.XLOOKUP(C144,'Detalhamento - G200'!B142:B384,'Detalhamento - G200'!A142:A384,0)</f>
        <v>2001011004</v>
      </c>
      <c r="C144" s="147" t="s">
        <v>175</v>
      </c>
      <c r="D144" s="154">
        <f>VLOOKUP(B144,'Detalhamento - G200'!A:G,5,)</f>
        <v>0</v>
      </c>
      <c r="E144" s="154"/>
      <c r="F144" s="154">
        <f t="shared" ref="F144:F201" si="2">D144+E144</f>
        <v>0</v>
      </c>
      <c r="G144" s="147"/>
    </row>
    <row r="145" spans="2:7">
      <c r="B145" s="146">
        <f>_xlfn.XLOOKUP(C145,'Detalhamento - G200'!B143:B385,'Detalhamento - G200'!A143:A385,0)</f>
        <v>2001011005</v>
      </c>
      <c r="C145" s="147" t="s">
        <v>176</v>
      </c>
      <c r="D145" s="154">
        <f>VLOOKUP(B145,'Detalhamento - G200'!A:G,5,)</f>
        <v>0</v>
      </c>
      <c r="E145" s="154"/>
      <c r="F145" s="154">
        <f t="shared" si="2"/>
        <v>0</v>
      </c>
      <c r="G145" s="147"/>
    </row>
    <row r="146" spans="2:7">
      <c r="B146" s="146">
        <f>_xlfn.XLOOKUP(C146,'Detalhamento - G200'!B144:B386,'Detalhamento - G200'!A144:A386,0)</f>
        <v>2001011006</v>
      </c>
      <c r="C146" s="147" t="s">
        <v>177</v>
      </c>
      <c r="D146" s="154">
        <f>VLOOKUP(B146,'Detalhamento - G200'!A:G,5,)</f>
        <v>0</v>
      </c>
      <c r="E146" s="154"/>
      <c r="F146" s="154">
        <f t="shared" si="2"/>
        <v>0</v>
      </c>
      <c r="G146" s="147"/>
    </row>
    <row r="147" spans="2:7">
      <c r="B147" s="146">
        <f>_xlfn.XLOOKUP(C147,'Detalhamento - G200'!B145:B387,'Detalhamento - G200'!A145:A387,0)</f>
        <v>2001011007</v>
      </c>
      <c r="C147" s="147" t="s">
        <v>178</v>
      </c>
      <c r="D147" s="154">
        <f>VLOOKUP(B147,'Detalhamento - G200'!A:G,5,)</f>
        <v>0</v>
      </c>
      <c r="E147" s="154"/>
      <c r="F147" s="154">
        <f t="shared" si="2"/>
        <v>0</v>
      </c>
      <c r="G147" s="147"/>
    </row>
    <row r="148" spans="2:7">
      <c r="B148" s="146">
        <f>_xlfn.XLOOKUP(C148,'Detalhamento - G200'!B146:B388,'Detalhamento - G200'!A146:A388,0)</f>
        <v>2001011008</v>
      </c>
      <c r="C148" s="147" t="s">
        <v>179</v>
      </c>
      <c r="D148" s="154">
        <f>VLOOKUP(B148,'Detalhamento - G200'!A:G,5,)</f>
        <v>0</v>
      </c>
      <c r="E148" s="154"/>
      <c r="F148" s="154">
        <f t="shared" si="2"/>
        <v>0</v>
      </c>
      <c r="G148" s="147"/>
    </row>
    <row r="149" spans="2:7">
      <c r="B149" s="146">
        <f>_xlfn.XLOOKUP(C149,'Detalhamento - G200'!B147:B389,'Detalhamento - G200'!A147:A389,0)</f>
        <v>2001011009</v>
      </c>
      <c r="C149" s="147" t="s">
        <v>180</v>
      </c>
      <c r="D149" s="154">
        <f>VLOOKUP(B149,'Detalhamento - G200'!A:G,5,)</f>
        <v>0</v>
      </c>
      <c r="E149" s="154"/>
      <c r="F149" s="154">
        <f t="shared" si="2"/>
        <v>0</v>
      </c>
      <c r="G149" s="147"/>
    </row>
    <row r="150" spans="2:7">
      <c r="B150" s="146">
        <f>_xlfn.XLOOKUP(C150,'Detalhamento - G200'!B148:B390,'Detalhamento - G200'!A148:A390,0)</f>
        <v>2001012001</v>
      </c>
      <c r="C150" s="147" t="s">
        <v>182</v>
      </c>
      <c r="D150" s="154">
        <f>VLOOKUP(B150,'Detalhamento - G200'!A:G,5,)</f>
        <v>0</v>
      </c>
      <c r="E150" s="154"/>
      <c r="F150" s="154">
        <f t="shared" si="2"/>
        <v>0</v>
      </c>
      <c r="G150" s="147"/>
    </row>
    <row r="151" spans="2:7">
      <c r="B151" s="146">
        <f>_xlfn.XLOOKUP(C151,'Detalhamento - G200'!B149:B391,'Detalhamento - G200'!A149:A391,0)</f>
        <v>2001012002</v>
      </c>
      <c r="C151" s="147" t="s">
        <v>183</v>
      </c>
      <c r="D151" s="154">
        <f>VLOOKUP(B151,'Detalhamento - G200'!A:G,5,)</f>
        <v>0</v>
      </c>
      <c r="E151" s="154"/>
      <c r="F151" s="154">
        <f t="shared" si="2"/>
        <v>0</v>
      </c>
      <c r="G151" s="147"/>
    </row>
    <row r="152" spans="2:7">
      <c r="B152" s="146">
        <f>_xlfn.XLOOKUP(C152,'Detalhamento - G200'!B150:B392,'Detalhamento - G200'!A150:A392,0)</f>
        <v>2001012003</v>
      </c>
      <c r="C152" s="147" t="s">
        <v>184</v>
      </c>
      <c r="D152" s="154">
        <f>VLOOKUP(B152,'Detalhamento - G200'!A:G,5,)</f>
        <v>0</v>
      </c>
      <c r="E152" s="154"/>
      <c r="F152" s="154">
        <f t="shared" si="2"/>
        <v>0</v>
      </c>
      <c r="G152" s="147"/>
    </row>
    <row r="153" spans="2:7">
      <c r="B153" s="146">
        <f>_xlfn.XLOOKUP(C153,'Detalhamento - G200'!B151:B393,'Detalhamento - G200'!A151:A393,0)</f>
        <v>2001012004</v>
      </c>
      <c r="C153" s="147" t="s">
        <v>185</v>
      </c>
      <c r="D153" s="154">
        <f>VLOOKUP(B153,'Detalhamento - G200'!A:G,5,)</f>
        <v>0</v>
      </c>
      <c r="E153" s="154"/>
      <c r="F153" s="154">
        <f t="shared" si="2"/>
        <v>0</v>
      </c>
      <c r="G153" s="147"/>
    </row>
    <row r="154" spans="2:7">
      <c r="B154" s="146">
        <f>_xlfn.XLOOKUP(C154,'Detalhamento - G200'!B152:B394,'Detalhamento - G200'!A152:A394,0)</f>
        <v>2001012005</v>
      </c>
      <c r="C154" s="147" t="s">
        <v>186</v>
      </c>
      <c r="D154" s="154">
        <f>VLOOKUP(B154,'Detalhamento - G200'!A:G,5,)</f>
        <v>0</v>
      </c>
      <c r="E154" s="154"/>
      <c r="F154" s="154">
        <f t="shared" si="2"/>
        <v>0</v>
      </c>
      <c r="G154" s="147"/>
    </row>
    <row r="155" spans="2:7">
      <c r="B155" s="146">
        <f>_xlfn.XLOOKUP(C155,'Detalhamento - G200'!B153:B395,'Detalhamento - G200'!A153:A395,0)</f>
        <v>2001012006</v>
      </c>
      <c r="C155" s="147" t="s">
        <v>187</v>
      </c>
      <c r="D155" s="154">
        <f>VLOOKUP(B155,'Detalhamento - G200'!A:G,5,)</f>
        <v>0</v>
      </c>
      <c r="E155" s="154"/>
      <c r="F155" s="154">
        <f t="shared" si="2"/>
        <v>0</v>
      </c>
      <c r="G155" s="147"/>
    </row>
    <row r="156" spans="2:7">
      <c r="B156" s="146">
        <f>_xlfn.XLOOKUP(C156,'Detalhamento - G200'!B154:B396,'Detalhamento - G200'!A154:A396,0)</f>
        <v>2001012007</v>
      </c>
      <c r="C156" s="147" t="s">
        <v>188</v>
      </c>
      <c r="D156" s="154">
        <f>VLOOKUP(B156,'Detalhamento - G200'!A:G,5,)</f>
        <v>0</v>
      </c>
      <c r="E156" s="154"/>
      <c r="F156" s="154">
        <f t="shared" si="2"/>
        <v>0</v>
      </c>
      <c r="G156" s="147"/>
    </row>
    <row r="157" spans="2:7">
      <c r="B157" s="146">
        <f>_xlfn.XLOOKUP(C157,'Detalhamento - G200'!B155:B397,'Detalhamento - G200'!A155:A397,0)</f>
        <v>2001012008</v>
      </c>
      <c r="C157" s="147" t="s">
        <v>189</v>
      </c>
      <c r="D157" s="154">
        <f>VLOOKUP(B157,'Detalhamento - G200'!A:G,5,)</f>
        <v>0</v>
      </c>
      <c r="E157" s="154"/>
      <c r="F157" s="154">
        <f t="shared" si="2"/>
        <v>0</v>
      </c>
      <c r="G157" s="147"/>
    </row>
    <row r="158" spans="2:7">
      <c r="B158" s="146">
        <f>_xlfn.XLOOKUP(C158,'Detalhamento - G200'!B156:B398,'Detalhamento - G200'!A156:A398,0)</f>
        <v>2001012009</v>
      </c>
      <c r="C158" s="147" t="s">
        <v>190</v>
      </c>
      <c r="D158" s="154">
        <f>VLOOKUP(B158,'Detalhamento - G200'!A:G,5,)</f>
        <v>0</v>
      </c>
      <c r="E158" s="154"/>
      <c r="F158" s="154">
        <f t="shared" si="2"/>
        <v>0</v>
      </c>
      <c r="G158" s="147"/>
    </row>
    <row r="159" spans="2:7">
      <c r="B159" s="146">
        <f>_xlfn.XLOOKUP(C159,'Detalhamento - G200'!B157:B399,'Detalhamento - G200'!A157:A399,0)</f>
        <v>2001012010</v>
      </c>
      <c r="C159" s="147" t="s">
        <v>191</v>
      </c>
      <c r="D159" s="154">
        <f>VLOOKUP(B159,'Detalhamento - G200'!A:G,5,)</f>
        <v>0</v>
      </c>
      <c r="E159" s="154"/>
      <c r="F159" s="154">
        <f t="shared" si="2"/>
        <v>0</v>
      </c>
      <c r="G159" s="147"/>
    </row>
    <row r="160" spans="2:7">
      <c r="B160" s="146">
        <f>_xlfn.XLOOKUP(C160,'Detalhamento - G200'!B158:B400,'Detalhamento - G200'!A158:A400,0)</f>
        <v>2001012011</v>
      </c>
      <c r="C160" s="147" t="s">
        <v>192</v>
      </c>
      <c r="D160" s="154">
        <f>VLOOKUP(B160,'Detalhamento - G200'!A:G,5,)</f>
        <v>0</v>
      </c>
      <c r="E160" s="154"/>
      <c r="F160" s="154">
        <f t="shared" si="2"/>
        <v>0</v>
      </c>
      <c r="G160" s="147"/>
    </row>
    <row r="161" spans="2:7">
      <c r="B161" s="146">
        <f>_xlfn.XLOOKUP(C161,'Detalhamento - G200'!B159:B401,'Detalhamento - G200'!A159:A401,0)</f>
        <v>2001013001</v>
      </c>
      <c r="C161" s="147" t="s">
        <v>194</v>
      </c>
      <c r="D161" s="154">
        <f>VLOOKUP(B161,'Detalhamento - G200'!A:G,5,)</f>
        <v>0</v>
      </c>
      <c r="E161" s="154"/>
      <c r="F161" s="154">
        <f t="shared" si="2"/>
        <v>0</v>
      </c>
      <c r="G161" s="147"/>
    </row>
    <row r="162" spans="2:7">
      <c r="B162" s="146">
        <f>_xlfn.XLOOKUP(C162,'Detalhamento - G200'!B160:B402,'Detalhamento - G200'!A160:A402,0)</f>
        <v>2001014001</v>
      </c>
      <c r="C162" s="147" t="s">
        <v>196</v>
      </c>
      <c r="D162" s="154">
        <f>VLOOKUP(B162,'Detalhamento - G200'!A:G,5,)</f>
        <v>0</v>
      </c>
      <c r="E162" s="154"/>
      <c r="F162" s="154">
        <f t="shared" si="2"/>
        <v>0</v>
      </c>
      <c r="G162" s="147"/>
    </row>
    <row r="163" spans="2:7">
      <c r="B163" s="146">
        <f>_xlfn.XLOOKUP(C163,'Detalhamento - G200'!B161:B403,'Detalhamento - G200'!A161:A403,0)</f>
        <v>2001014002</v>
      </c>
      <c r="C163" s="147" t="s">
        <v>197</v>
      </c>
      <c r="D163" s="154">
        <f>VLOOKUP(B163,'Detalhamento - G200'!A:G,5,)</f>
        <v>0</v>
      </c>
      <c r="E163" s="154"/>
      <c r="F163" s="154">
        <f t="shared" si="2"/>
        <v>0</v>
      </c>
      <c r="G163" s="147"/>
    </row>
    <row r="164" spans="2:7">
      <c r="B164" s="146">
        <f>_xlfn.XLOOKUP(C164,'Detalhamento - G200'!B162:B404,'Detalhamento - G200'!A162:A404,0)</f>
        <v>2001015001</v>
      </c>
      <c r="C164" s="147" t="s">
        <v>199</v>
      </c>
      <c r="D164" s="154">
        <f>VLOOKUP(B164,'Detalhamento - G200'!A:G,5,)</f>
        <v>0</v>
      </c>
      <c r="E164" s="154"/>
      <c r="F164" s="154">
        <f t="shared" si="2"/>
        <v>0</v>
      </c>
      <c r="G164" s="147"/>
    </row>
    <row r="165" spans="2:7">
      <c r="B165" s="146">
        <f>_xlfn.XLOOKUP(C165,'Detalhamento - G200'!B163:B405,'Detalhamento - G200'!A163:A405,0)</f>
        <v>2001015002</v>
      </c>
      <c r="C165" s="147" t="s">
        <v>200</v>
      </c>
      <c r="D165" s="154">
        <f>VLOOKUP(B165,'Detalhamento - G200'!A:G,5,)</f>
        <v>0</v>
      </c>
      <c r="E165" s="154"/>
      <c r="F165" s="154">
        <f t="shared" si="2"/>
        <v>0</v>
      </c>
      <c r="G165" s="147"/>
    </row>
    <row r="166" spans="2:7" ht="36">
      <c r="B166" s="146">
        <f>_xlfn.XLOOKUP(C166,'Detalhamento - G200'!B164:B406,'Detalhamento - G200'!A164:A406,0)</f>
        <v>2001016001</v>
      </c>
      <c r="C166" s="147" t="s">
        <v>202</v>
      </c>
      <c r="D166" s="154">
        <f>VLOOKUP(B166,'Detalhamento - G200'!A:G,5,)</f>
        <v>0</v>
      </c>
      <c r="E166" s="154"/>
      <c r="F166" s="154">
        <f t="shared" si="2"/>
        <v>0</v>
      </c>
      <c r="G166" s="147"/>
    </row>
    <row r="167" spans="2:7">
      <c r="B167" s="146">
        <f>_xlfn.XLOOKUP(C167,'Detalhamento - G200'!B165:B407,'Detalhamento - G200'!A165:A407,0)</f>
        <v>2001017001</v>
      </c>
      <c r="C167" s="147" t="s">
        <v>204</v>
      </c>
      <c r="D167" s="154">
        <f>VLOOKUP(B167,'Detalhamento - G200'!A:G,5,)</f>
        <v>0</v>
      </c>
      <c r="E167" s="154"/>
      <c r="F167" s="154">
        <f t="shared" si="2"/>
        <v>0</v>
      </c>
      <c r="G167" s="147"/>
    </row>
    <row r="168" spans="2:7">
      <c r="B168" s="146">
        <f>_xlfn.XLOOKUP(C168,'Detalhamento - G200'!B166:B408,'Detalhamento - G200'!A166:A408,0)</f>
        <v>2001017002</v>
      </c>
      <c r="C168" s="147" t="s">
        <v>205</v>
      </c>
      <c r="D168" s="154">
        <f>VLOOKUP(B168,'Detalhamento - G200'!A:G,5,)</f>
        <v>0</v>
      </c>
      <c r="E168" s="154"/>
      <c r="F168" s="154">
        <f t="shared" si="2"/>
        <v>0</v>
      </c>
      <c r="G168" s="147"/>
    </row>
    <row r="169" spans="2:7">
      <c r="B169" s="146">
        <f>_xlfn.XLOOKUP(C169,'Detalhamento - G200'!B167:B409,'Detalhamento - G200'!A167:A409,0)</f>
        <v>2001017003</v>
      </c>
      <c r="C169" s="147" t="s">
        <v>206</v>
      </c>
      <c r="D169" s="154">
        <f>VLOOKUP(B169,'Detalhamento - G200'!A:G,5,)</f>
        <v>0</v>
      </c>
      <c r="E169" s="154"/>
      <c r="F169" s="154">
        <f t="shared" si="2"/>
        <v>0</v>
      </c>
      <c r="G169" s="147"/>
    </row>
    <row r="170" spans="2:7">
      <c r="B170" s="146">
        <f>_xlfn.XLOOKUP(C170,'Detalhamento - G200'!B168:B410,'Detalhamento - G200'!A168:A410,0)</f>
        <v>2001017004</v>
      </c>
      <c r="C170" s="147" t="s">
        <v>207</v>
      </c>
      <c r="D170" s="154">
        <f>VLOOKUP(B170,'Detalhamento - G200'!A:G,5,)</f>
        <v>0</v>
      </c>
      <c r="E170" s="154"/>
      <c r="F170" s="154">
        <f t="shared" si="2"/>
        <v>0</v>
      </c>
      <c r="G170" s="147"/>
    </row>
    <row r="171" spans="2:7">
      <c r="B171" s="146">
        <f>_xlfn.XLOOKUP(C171,'Detalhamento - G200'!B169:B411,'Detalhamento - G200'!A169:A411,0)</f>
        <v>2001017005</v>
      </c>
      <c r="C171" s="147" t="s">
        <v>208</v>
      </c>
      <c r="D171" s="154">
        <f>VLOOKUP(B171,'Detalhamento - G200'!A:G,5,)</f>
        <v>0</v>
      </c>
      <c r="E171" s="154"/>
      <c r="F171" s="154">
        <f t="shared" si="2"/>
        <v>0</v>
      </c>
      <c r="G171" s="147"/>
    </row>
    <row r="172" spans="2:7">
      <c r="B172" s="146">
        <f>_xlfn.XLOOKUP(C172,'Detalhamento - G200'!B170:B412,'Detalhamento - G200'!A170:A412,0)</f>
        <v>2001018001</v>
      </c>
      <c r="C172" s="147" t="s">
        <v>210</v>
      </c>
      <c r="D172" s="154">
        <f>VLOOKUP(B172,'Detalhamento - G200'!A:G,5,)</f>
        <v>0</v>
      </c>
      <c r="E172" s="154"/>
      <c r="F172" s="154">
        <f t="shared" si="2"/>
        <v>0</v>
      </c>
      <c r="G172" s="147"/>
    </row>
    <row r="173" spans="2:7">
      <c r="B173" s="146">
        <f>_xlfn.XLOOKUP(C173,'Detalhamento - G200'!B171:B413,'Detalhamento - G200'!A171:A413,0)</f>
        <v>2001018002</v>
      </c>
      <c r="C173" s="147" t="s">
        <v>211</v>
      </c>
      <c r="D173" s="154">
        <f>VLOOKUP(B173,'Detalhamento - G200'!A:G,5,)</f>
        <v>0</v>
      </c>
      <c r="E173" s="154"/>
      <c r="F173" s="154">
        <f t="shared" si="2"/>
        <v>0</v>
      </c>
      <c r="G173" s="147"/>
    </row>
    <row r="174" spans="2:7">
      <c r="B174" s="146">
        <f>_xlfn.XLOOKUP(C174,'Detalhamento - G200'!B172:B414,'Detalhamento - G200'!A172:A414,0)</f>
        <v>2001018003</v>
      </c>
      <c r="C174" s="147" t="s">
        <v>212</v>
      </c>
      <c r="D174" s="154">
        <f>VLOOKUP(B174,'Detalhamento - G200'!A:G,5,)</f>
        <v>0</v>
      </c>
      <c r="E174" s="154"/>
      <c r="F174" s="154">
        <f t="shared" si="2"/>
        <v>0</v>
      </c>
      <c r="G174" s="147"/>
    </row>
    <row r="175" spans="2:7">
      <c r="B175" s="146">
        <f>_xlfn.XLOOKUP(C175,'Detalhamento - G200'!B173:B415,'Detalhamento - G200'!A173:A415,0)</f>
        <v>2001019001</v>
      </c>
      <c r="C175" s="147" t="s">
        <v>214</v>
      </c>
      <c r="D175" s="154">
        <f>VLOOKUP(B175,'Detalhamento - G200'!A:G,5,)</f>
        <v>0</v>
      </c>
      <c r="E175" s="154"/>
      <c r="F175" s="154">
        <f t="shared" si="2"/>
        <v>0</v>
      </c>
      <c r="G175" s="147"/>
    </row>
    <row r="176" spans="2:7" ht="36">
      <c r="B176" s="146">
        <f>_xlfn.XLOOKUP(C176,'Detalhamento - G200'!B174:B416,'Detalhamento - G200'!A174:A416,0)</f>
        <v>2001019002</v>
      </c>
      <c r="C176" s="147" t="s">
        <v>215</v>
      </c>
      <c r="D176" s="154">
        <f>VLOOKUP(B176,'Detalhamento - G200'!A:G,5,)</f>
        <v>0</v>
      </c>
      <c r="E176" s="154"/>
      <c r="F176" s="154">
        <f t="shared" si="2"/>
        <v>0</v>
      </c>
      <c r="G176" s="147"/>
    </row>
    <row r="177" spans="2:7">
      <c r="B177" s="146">
        <f>_xlfn.XLOOKUP(C177,'Detalhamento - G200'!B175:B417,'Detalhamento - G200'!A175:A417,0)</f>
        <v>2001020001</v>
      </c>
      <c r="C177" s="147" t="s">
        <v>217</v>
      </c>
      <c r="D177" s="154">
        <f>VLOOKUP(B177,'Detalhamento - G200'!A:G,5,)</f>
        <v>0</v>
      </c>
      <c r="E177" s="154"/>
      <c r="F177" s="154">
        <f t="shared" si="2"/>
        <v>0</v>
      </c>
      <c r="G177" s="147"/>
    </row>
    <row r="178" spans="2:7">
      <c r="B178" s="146">
        <f>_xlfn.XLOOKUP(C178,'Detalhamento - G200'!B176:B418,'Detalhamento - G200'!A176:A418,0)</f>
        <v>2001020002</v>
      </c>
      <c r="C178" s="147" t="s">
        <v>218</v>
      </c>
      <c r="D178" s="154">
        <f>VLOOKUP(B178,'Detalhamento - G200'!A:G,5,)</f>
        <v>0</v>
      </c>
      <c r="E178" s="154"/>
      <c r="F178" s="154">
        <f t="shared" si="2"/>
        <v>0</v>
      </c>
      <c r="G178" s="147"/>
    </row>
    <row r="179" spans="2:7">
      <c r="B179" s="146">
        <f>_xlfn.XLOOKUP(C179,'Detalhamento - G200'!B177:B419,'Detalhamento - G200'!A177:A419,0)</f>
        <v>2001021001</v>
      </c>
      <c r="C179" s="147" t="s">
        <v>220</v>
      </c>
      <c r="D179" s="154">
        <f>VLOOKUP(B179,'Detalhamento - G200'!A:G,5,)</f>
        <v>0</v>
      </c>
      <c r="E179" s="154"/>
      <c r="F179" s="154">
        <f t="shared" si="2"/>
        <v>0</v>
      </c>
      <c r="G179" s="147"/>
    </row>
    <row r="180" spans="2:7">
      <c r="B180" s="146">
        <f>_xlfn.XLOOKUP(C180,'Detalhamento - G200'!B178:B420,'Detalhamento - G200'!A178:A420,0)</f>
        <v>2001022001</v>
      </c>
      <c r="C180" s="147" t="s">
        <v>222</v>
      </c>
      <c r="D180" s="154">
        <f>VLOOKUP(B180,'Detalhamento - G200'!A:G,5,)</f>
        <v>0</v>
      </c>
      <c r="E180" s="154"/>
      <c r="F180" s="154">
        <f t="shared" si="2"/>
        <v>0</v>
      </c>
      <c r="G180" s="147"/>
    </row>
    <row r="181" spans="2:7">
      <c r="B181" s="146">
        <f>_xlfn.XLOOKUP(C181,'Detalhamento - G200'!B179:B421,'Detalhamento - G200'!A179:A421,0)</f>
        <v>2001023001</v>
      </c>
      <c r="C181" s="147" t="s">
        <v>224</v>
      </c>
      <c r="D181" s="154">
        <f>VLOOKUP(B181,'Detalhamento - G200'!A:G,5,)</f>
        <v>0</v>
      </c>
      <c r="E181" s="154"/>
      <c r="F181" s="154">
        <f t="shared" si="2"/>
        <v>0</v>
      </c>
      <c r="G181" s="147"/>
    </row>
    <row r="182" spans="2:7">
      <c r="B182" s="146">
        <f>_xlfn.XLOOKUP(C182,'Detalhamento - G200'!B180:B422,'Detalhamento - G200'!A180:A422,0)</f>
        <v>2001024001</v>
      </c>
      <c r="C182" s="147" t="s">
        <v>226</v>
      </c>
      <c r="D182" s="154">
        <f>VLOOKUP(B182,'Detalhamento - G200'!A:G,5,)</f>
        <v>0</v>
      </c>
      <c r="E182" s="154"/>
      <c r="F182" s="154">
        <f t="shared" si="2"/>
        <v>0</v>
      </c>
      <c r="G182" s="147"/>
    </row>
    <row r="183" spans="2:7">
      <c r="B183" s="146">
        <f>_xlfn.XLOOKUP(C183,'Detalhamento - G200'!B181:B423,'Detalhamento - G200'!A181:A423,0)</f>
        <v>2001024002</v>
      </c>
      <c r="C183" s="147" t="s">
        <v>227</v>
      </c>
      <c r="D183" s="154">
        <f>VLOOKUP(B183,'Detalhamento - G200'!A:G,5,)</f>
        <v>0</v>
      </c>
      <c r="E183" s="154"/>
      <c r="F183" s="154">
        <f t="shared" si="2"/>
        <v>0</v>
      </c>
      <c r="G183" s="147"/>
    </row>
    <row r="184" spans="2:7">
      <c r="B184" s="146">
        <f>_xlfn.XLOOKUP(C184,'Detalhamento - G200'!B182:B424,'Detalhamento - G200'!A182:A424,0)</f>
        <v>2001024003</v>
      </c>
      <c r="C184" s="147" t="s">
        <v>228</v>
      </c>
      <c r="D184" s="154">
        <f>VLOOKUP(B184,'Detalhamento - G200'!A:G,5,)</f>
        <v>0</v>
      </c>
      <c r="E184" s="154"/>
      <c r="F184" s="154">
        <f t="shared" si="2"/>
        <v>0</v>
      </c>
      <c r="G184" s="147"/>
    </row>
    <row r="185" spans="2:7">
      <c r="B185" s="146">
        <f>_xlfn.XLOOKUP(C185,'Detalhamento - G200'!B183:B425,'Detalhamento - G200'!A183:A425,0)</f>
        <v>2001024004</v>
      </c>
      <c r="C185" s="147" t="s">
        <v>229</v>
      </c>
      <c r="D185" s="154">
        <f>VLOOKUP(B185,'Detalhamento - G200'!A:G,5,)</f>
        <v>0</v>
      </c>
      <c r="E185" s="154">
        <v>0</v>
      </c>
      <c r="F185" s="154">
        <f t="shared" si="2"/>
        <v>0</v>
      </c>
      <c r="G185" s="147"/>
    </row>
    <row r="186" spans="2:7">
      <c r="B186" s="146">
        <f>_xlfn.XLOOKUP(C186,'Detalhamento - G200'!B184:B426,'Detalhamento - G200'!A184:A426,0)</f>
        <v>2001024005</v>
      </c>
      <c r="C186" s="147" t="s">
        <v>230</v>
      </c>
      <c r="D186" s="154">
        <f>VLOOKUP(B186,'Detalhamento - G200'!A:G,5,)</f>
        <v>0</v>
      </c>
      <c r="E186" s="154"/>
      <c r="F186" s="154">
        <f t="shared" si="2"/>
        <v>0</v>
      </c>
      <c r="G186" s="147"/>
    </row>
    <row r="187" spans="2:7">
      <c r="B187" s="146">
        <f>_xlfn.XLOOKUP(C187,'Detalhamento - G200'!B185:B427,'Detalhamento - G200'!A185:A427,0)</f>
        <v>2001024006</v>
      </c>
      <c r="C187" s="147" t="s">
        <v>231</v>
      </c>
      <c r="D187" s="154">
        <f>VLOOKUP(B187,'Detalhamento - G200'!A:G,5,)</f>
        <v>0</v>
      </c>
      <c r="E187" s="154"/>
      <c r="F187" s="154">
        <f t="shared" si="2"/>
        <v>0</v>
      </c>
      <c r="G187" s="147"/>
    </row>
    <row r="188" spans="2:7">
      <c r="B188" s="146">
        <f>_xlfn.XLOOKUP(C188,'Detalhamento - G200'!B186:B428,'Detalhamento - G200'!A186:A428,0)</f>
        <v>2001024007</v>
      </c>
      <c r="C188" s="147" t="s">
        <v>232</v>
      </c>
      <c r="D188" s="154">
        <f>VLOOKUP(B188,'Detalhamento - G200'!A:G,5,)</f>
        <v>0</v>
      </c>
      <c r="E188" s="154"/>
      <c r="F188" s="154">
        <f t="shared" si="2"/>
        <v>0</v>
      </c>
      <c r="G188" s="147"/>
    </row>
    <row r="189" spans="2:7">
      <c r="B189" s="146">
        <f>_xlfn.XLOOKUP(C189,'Detalhamento - G200'!B187:B429,'Detalhamento - G200'!A187:A429,0)</f>
        <v>2001024008</v>
      </c>
      <c r="C189" s="147" t="s">
        <v>233</v>
      </c>
      <c r="D189" s="154">
        <f>VLOOKUP(B189,'Detalhamento - G200'!A:G,5,)</f>
        <v>0</v>
      </c>
      <c r="E189" s="154"/>
      <c r="F189" s="154">
        <f t="shared" si="2"/>
        <v>0</v>
      </c>
      <c r="G189" s="147"/>
    </row>
    <row r="190" spans="2:7">
      <c r="B190" s="146">
        <f>_xlfn.XLOOKUP(C190,'Detalhamento - G200'!B188:B430,'Detalhamento - G200'!A188:A430,0)</f>
        <v>2001024009</v>
      </c>
      <c r="C190" s="147" t="s">
        <v>234</v>
      </c>
      <c r="D190" s="154">
        <f>VLOOKUP(B190,'Detalhamento - G200'!A:G,5,)</f>
        <v>0</v>
      </c>
      <c r="E190" s="154"/>
      <c r="F190" s="154">
        <f t="shared" si="2"/>
        <v>0</v>
      </c>
      <c r="G190" s="147"/>
    </row>
    <row r="191" spans="2:7">
      <c r="B191" s="146">
        <f>_xlfn.XLOOKUP(C191,'Detalhamento - G200'!B189:B431,'Detalhamento - G200'!A189:A431,0)</f>
        <v>2001024010</v>
      </c>
      <c r="C191" s="147" t="s">
        <v>235</v>
      </c>
      <c r="D191" s="154">
        <f>VLOOKUP(B191,'Detalhamento - G200'!A:G,5,)</f>
        <v>0</v>
      </c>
      <c r="E191" s="154"/>
      <c r="F191" s="154">
        <f t="shared" si="2"/>
        <v>0</v>
      </c>
      <c r="G191" s="147"/>
    </row>
    <row r="192" spans="2:7">
      <c r="B192" s="146">
        <f>_xlfn.XLOOKUP(C192,'Detalhamento - G200'!B190:B432,'Detalhamento - G200'!A190:A432,0)</f>
        <v>2001024011</v>
      </c>
      <c r="C192" s="147" t="s">
        <v>236</v>
      </c>
      <c r="D192" s="154">
        <f>VLOOKUP(B192,'Detalhamento - G200'!A:G,5,)</f>
        <v>0</v>
      </c>
      <c r="E192" s="154"/>
      <c r="F192" s="154">
        <f t="shared" si="2"/>
        <v>0</v>
      </c>
      <c r="G192" s="147"/>
    </row>
    <row r="193" spans="2:7">
      <c r="B193" s="146">
        <f>_xlfn.XLOOKUP(C193,'Detalhamento - G200'!B191:B433,'Detalhamento - G200'!A191:A433,0)</f>
        <v>2001024012</v>
      </c>
      <c r="C193" s="147" t="s">
        <v>237</v>
      </c>
      <c r="D193" s="154">
        <f>VLOOKUP(B193,'Detalhamento - G200'!A:G,5,)</f>
        <v>0</v>
      </c>
      <c r="E193" s="154"/>
      <c r="F193" s="154">
        <f t="shared" si="2"/>
        <v>0</v>
      </c>
      <c r="G193" s="147"/>
    </row>
    <row r="194" spans="2:7">
      <c r="B194" s="146">
        <f>_xlfn.XLOOKUP(C194,'Detalhamento - G200'!B192:B434,'Detalhamento - G200'!A192:A434,0)</f>
        <v>2001024013</v>
      </c>
      <c r="C194" s="147" t="s">
        <v>238</v>
      </c>
      <c r="D194" s="154">
        <f>VLOOKUP(B194,'Detalhamento - G200'!A:G,5,)</f>
        <v>0</v>
      </c>
      <c r="E194" s="154"/>
      <c r="F194" s="154">
        <f t="shared" si="2"/>
        <v>0</v>
      </c>
      <c r="G194" s="147"/>
    </row>
    <row r="195" spans="2:7">
      <c r="B195" s="146">
        <f>_xlfn.XLOOKUP(C195,'Detalhamento - G200'!B193:B435,'Detalhamento - G200'!A193:A435,0)</f>
        <v>2001024014</v>
      </c>
      <c r="C195" s="147" t="s">
        <v>239</v>
      </c>
      <c r="D195" s="154">
        <f>VLOOKUP(B195,'Detalhamento - G200'!A:G,5,)</f>
        <v>0</v>
      </c>
      <c r="E195" s="154"/>
      <c r="F195" s="154">
        <f t="shared" si="2"/>
        <v>0</v>
      </c>
      <c r="G195" s="147"/>
    </row>
    <row r="196" spans="2:7">
      <c r="B196" s="146">
        <f>_xlfn.XLOOKUP(C196,'Detalhamento - G200'!B194:B436,'Detalhamento - G200'!A194:A436,0)</f>
        <v>2001024015</v>
      </c>
      <c r="C196" s="147" t="s">
        <v>240</v>
      </c>
      <c r="D196" s="154">
        <f>VLOOKUP(B196,'Detalhamento - G200'!A:G,5,)</f>
        <v>0</v>
      </c>
      <c r="E196" s="154"/>
      <c r="F196" s="154">
        <f t="shared" si="2"/>
        <v>0</v>
      </c>
      <c r="G196" s="147"/>
    </row>
    <row r="197" spans="2:7">
      <c r="B197" s="146">
        <f>_xlfn.XLOOKUP(C197,'Detalhamento - G200'!B195:B437,'Detalhamento - G200'!A195:A437,0)</f>
        <v>2001024016</v>
      </c>
      <c r="C197" s="147" t="s">
        <v>241</v>
      </c>
      <c r="D197" s="154">
        <f>VLOOKUP(B197,'Detalhamento - G200'!A:G,5,)</f>
        <v>0</v>
      </c>
      <c r="E197" s="154"/>
      <c r="F197" s="154">
        <f t="shared" si="2"/>
        <v>0</v>
      </c>
      <c r="G197" s="147"/>
    </row>
    <row r="198" spans="2:7" ht="36">
      <c r="B198" s="146">
        <f>_xlfn.XLOOKUP(C198,'Detalhamento - G200'!B196:B438,'Detalhamento - G200'!A196:A438,0)</f>
        <v>2001025001</v>
      </c>
      <c r="C198" s="147" t="s">
        <v>243</v>
      </c>
      <c r="D198" s="154">
        <f>VLOOKUP(B198,'Detalhamento - G200'!A:G,5,)</f>
        <v>0</v>
      </c>
      <c r="E198" s="154"/>
      <c r="F198" s="154">
        <f t="shared" si="2"/>
        <v>0</v>
      </c>
      <c r="G198" s="147"/>
    </row>
    <row r="199" spans="2:7" ht="36">
      <c r="B199" s="146">
        <f>_xlfn.XLOOKUP(C199,'Detalhamento - G200'!B197:B439,'Detalhamento - G200'!A197:A439,0)</f>
        <v>2001025002</v>
      </c>
      <c r="C199" s="147" t="s">
        <v>244</v>
      </c>
      <c r="D199" s="154">
        <f>VLOOKUP(B199,'Detalhamento - G200'!A:G,5,)</f>
        <v>0</v>
      </c>
      <c r="E199" s="154"/>
      <c r="F199" s="154">
        <f t="shared" si="2"/>
        <v>0</v>
      </c>
      <c r="G199" s="147"/>
    </row>
    <row r="200" spans="2:7">
      <c r="B200" s="146">
        <f>_xlfn.XLOOKUP(C200,'Detalhamento - G200'!B198:B440,'Detalhamento - G200'!A198:A440,0)</f>
        <v>2002001001</v>
      </c>
      <c r="C200" s="147" t="s">
        <v>247</v>
      </c>
      <c r="D200" s="154">
        <f>VLOOKUP(B200,'Detalhamento - G200'!A:G,5,)</f>
        <v>0</v>
      </c>
      <c r="E200" s="154">
        <v>1.00000016391277E-2</v>
      </c>
      <c r="F200" s="154">
        <f t="shared" si="2"/>
        <v>1.00000016391277E-2</v>
      </c>
      <c r="G200" s="147"/>
    </row>
    <row r="201" spans="2:7">
      <c r="B201" s="146">
        <v>2003001001</v>
      </c>
      <c r="C201" s="147" t="s">
        <v>248</v>
      </c>
      <c r="D201" s="154">
        <f>VLOOKUP(B201,'Detalhamento - G200'!A:G,5,)</f>
        <v>0</v>
      </c>
      <c r="E201" s="154"/>
      <c r="F201" s="154">
        <f t="shared" si="2"/>
        <v>0</v>
      </c>
      <c r="G201" s="147"/>
    </row>
  </sheetData>
  <autoFilter ref="B9:G201" xr:uid="{1AA6E938-0875-429C-9BE9-340922C436E4}"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7775-D57F-47B6-B7E5-9ABCD1AE42E9}">
  <sheetPr>
    <tabColor theme="1"/>
  </sheetPr>
  <dimension ref="B1:AA439"/>
  <sheetViews>
    <sheetView showGridLines="0" zoomScale="55" zoomScaleNormal="55" workbookViewId="0">
      <pane xSplit="7" ySplit="8" topLeftCell="H271" activePane="bottomRight" state="frozen"/>
      <selection activeCell="F143" sqref="F143"/>
      <selection pane="topRight" activeCell="F143" sqref="F143"/>
      <selection pane="bottomLeft" activeCell="F143" sqref="F143"/>
      <selection pane="bottomRight" sqref="A1:XFD1048576"/>
    </sheetView>
  </sheetViews>
  <sheetFormatPr defaultColWidth="8.85546875" defaultRowHeight="18" outlineLevelCol="1"/>
  <cols>
    <col min="1" max="1" width="2.28515625" style="172" customWidth="1"/>
    <col min="2" max="2" width="23.85546875" style="146" customWidth="1"/>
    <col min="3" max="3" width="16" style="172" hidden="1" customWidth="1" outlineLevel="1"/>
    <col min="4" max="4" width="15.5703125" style="146" bestFit="1" customWidth="1" collapsed="1"/>
    <col min="5" max="5" width="40.28515625" style="146" customWidth="1" outlineLevel="1"/>
    <col min="6" max="6" width="14.28515625" style="175" customWidth="1"/>
    <col min="7" max="7" width="26.7109375" style="175" bestFit="1" customWidth="1"/>
    <col min="8" max="8" width="28.7109375" style="139" customWidth="1"/>
    <col min="9" max="9" width="19.140625" style="173" customWidth="1"/>
    <col min="10" max="10" width="17.28515625" style="173" customWidth="1"/>
    <col min="11" max="11" width="26.28515625" style="146" customWidth="1"/>
    <col min="12" max="12" width="56.140625" style="146" customWidth="1"/>
    <col min="13" max="13" width="24" style="154" bestFit="1" customWidth="1"/>
    <col min="14" max="14" width="21.28515625" style="154" bestFit="1" customWidth="1"/>
    <col min="15" max="15" width="21.140625" style="154" bestFit="1" customWidth="1"/>
    <col min="16" max="16" width="27.7109375" style="154" bestFit="1" customWidth="1"/>
    <col min="17" max="18" width="27.7109375" style="154" customWidth="1"/>
    <col min="19" max="20" width="24.5703125" style="154" bestFit="1" customWidth="1"/>
    <col min="21" max="21" width="28" style="146" bestFit="1" customWidth="1"/>
    <col min="22" max="22" width="22" style="146" customWidth="1"/>
    <col min="23" max="23" width="20.42578125" style="146" customWidth="1"/>
    <col min="24" max="16384" width="8.85546875" style="172"/>
  </cols>
  <sheetData>
    <row r="1" spans="2:27">
      <c r="B1" s="171"/>
      <c r="D1" s="171"/>
      <c r="E1" s="139"/>
      <c r="F1" s="139"/>
      <c r="G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</row>
    <row r="2" spans="2:27">
      <c r="B2" s="171"/>
      <c r="D2" s="171"/>
      <c r="E2" s="139"/>
      <c r="F2" s="139"/>
      <c r="G2" s="139"/>
      <c r="H2" s="127" t="s">
        <v>249</v>
      </c>
      <c r="I2" s="127" t="s">
        <v>250</v>
      </c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</row>
    <row r="3" spans="2:27">
      <c r="B3" s="171"/>
      <c r="D3" s="171"/>
      <c r="E3" s="139"/>
      <c r="F3" s="139"/>
      <c r="G3" s="139"/>
      <c r="H3" s="127" t="s">
        <v>251</v>
      </c>
      <c r="I3" s="127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</row>
    <row r="4" spans="2:27">
      <c r="B4" s="171"/>
      <c r="D4" s="171"/>
      <c r="E4" s="139"/>
      <c r="F4" s="139"/>
      <c r="G4" s="139"/>
      <c r="H4" s="127" t="s">
        <v>252</v>
      </c>
      <c r="I4" s="127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</row>
    <row r="5" spans="2:27">
      <c r="B5" s="171"/>
      <c r="D5" s="171"/>
      <c r="E5" s="139"/>
      <c r="F5" s="139"/>
      <c r="G5" s="139"/>
      <c r="H5" s="127" t="s">
        <v>253</v>
      </c>
      <c r="I5" s="127" t="s">
        <v>254</v>
      </c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</row>
    <row r="6" spans="2:27" ht="54">
      <c r="B6" s="146" t="s">
        <v>653</v>
      </c>
      <c r="D6" s="171"/>
      <c r="E6" s="139"/>
      <c r="F6" s="139"/>
      <c r="G6" s="139"/>
      <c r="I6" s="139"/>
      <c r="J6" s="139"/>
      <c r="K6" s="139"/>
      <c r="L6" s="139"/>
      <c r="M6" s="130">
        <f t="shared" ref="M6:T6" si="0">SUBTOTAL(9,M9:M4953)</f>
        <v>113490715.36000009</v>
      </c>
      <c r="N6" s="130">
        <f t="shared" si="0"/>
        <v>1568703.9899999998</v>
      </c>
      <c r="O6" s="130">
        <f t="shared" si="0"/>
        <v>212666.26</v>
      </c>
      <c r="P6" s="130">
        <f t="shared" si="0"/>
        <v>6528698.3500000006</v>
      </c>
      <c r="Q6" s="130">
        <f t="shared" si="0"/>
        <v>0</v>
      </c>
      <c r="R6" s="130">
        <f t="shared" si="0"/>
        <v>25.2</v>
      </c>
      <c r="S6" s="130">
        <f t="shared" si="0"/>
        <v>105180621.56</v>
      </c>
      <c r="T6" s="130">
        <f t="shared" si="0"/>
        <v>106749325.55000004</v>
      </c>
      <c r="U6" s="139"/>
      <c r="V6" s="139"/>
      <c r="W6" s="139"/>
    </row>
    <row r="7" spans="2:27">
      <c r="B7" s="171"/>
      <c r="D7" s="171"/>
      <c r="E7" s="139"/>
      <c r="F7" s="139"/>
      <c r="G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</row>
    <row r="8" spans="2:27" s="131" customFormat="1" ht="36">
      <c r="B8" s="127" t="s">
        <v>391</v>
      </c>
      <c r="C8" s="127" t="s">
        <v>773</v>
      </c>
      <c r="D8" s="127" t="s">
        <v>392</v>
      </c>
      <c r="E8" s="127" t="s">
        <v>752</v>
      </c>
      <c r="F8" s="126" t="s">
        <v>612</v>
      </c>
      <c r="G8" s="126" t="s">
        <v>393</v>
      </c>
      <c r="H8" s="127" t="s">
        <v>394</v>
      </c>
      <c r="I8" s="127" t="s">
        <v>395</v>
      </c>
      <c r="J8" s="127" t="s">
        <v>623</v>
      </c>
      <c r="K8" s="127" t="s">
        <v>396</v>
      </c>
      <c r="L8" s="127" t="s">
        <v>397</v>
      </c>
      <c r="M8" s="130" t="s">
        <v>398</v>
      </c>
      <c r="N8" s="130" t="s">
        <v>399</v>
      </c>
      <c r="O8" s="130" t="s">
        <v>400</v>
      </c>
      <c r="P8" s="130" t="s">
        <v>401</v>
      </c>
      <c r="Q8" s="130" t="s">
        <v>402</v>
      </c>
      <c r="R8" s="130" t="s">
        <v>793</v>
      </c>
      <c r="S8" s="130" t="s">
        <v>403</v>
      </c>
      <c r="T8" s="130" t="s">
        <v>782</v>
      </c>
      <c r="U8" s="127" t="s">
        <v>404</v>
      </c>
      <c r="V8" s="127" t="s">
        <v>405</v>
      </c>
      <c r="W8" s="127" t="s">
        <v>934</v>
      </c>
    </row>
    <row r="9" spans="2:27" ht="36">
      <c r="B9" s="146" t="s">
        <v>406</v>
      </c>
      <c r="C9" s="174"/>
      <c r="D9" s="146">
        <v>2003001001</v>
      </c>
      <c r="E9" s="146" t="str">
        <f>_xlfn.XLOOKUP(D9,'Detalhamento - G200'!A:A,'Detalhamento - G200'!B:B,0)</f>
        <v>FEE</v>
      </c>
      <c r="F9" s="175" t="s">
        <v>626</v>
      </c>
      <c r="G9" s="175" t="s">
        <v>407</v>
      </c>
      <c r="H9" s="176" t="s">
        <v>814</v>
      </c>
      <c r="I9" s="173">
        <v>46091</v>
      </c>
      <c r="J9" s="173">
        <v>46094</v>
      </c>
      <c r="K9" s="146" t="s">
        <v>408</v>
      </c>
      <c r="L9" s="146" t="s">
        <v>409</v>
      </c>
      <c r="M9" s="154">
        <v>5000000</v>
      </c>
      <c r="N9" s="154">
        <v>0</v>
      </c>
      <c r="O9" s="154">
        <v>0</v>
      </c>
      <c r="P9" s="154">
        <v>0</v>
      </c>
      <c r="Q9" s="154">
        <v>0</v>
      </c>
      <c r="S9" s="154">
        <f t="shared" ref="S9:S41" si="1">M9-SUM(N9:Q9)</f>
        <v>5000000</v>
      </c>
      <c r="T9" s="154">
        <f t="shared" ref="T9:T70" si="2">N9+S9</f>
        <v>5000000</v>
      </c>
      <c r="V9" s="146" t="s">
        <v>314</v>
      </c>
      <c r="W9" s="146" t="s">
        <v>314</v>
      </c>
    </row>
    <row r="10" spans="2:27" ht="36">
      <c r="B10" s="146" t="s">
        <v>410</v>
      </c>
      <c r="C10" s="174"/>
      <c r="D10" s="146">
        <v>2003001001</v>
      </c>
      <c r="E10" s="146" t="str">
        <f>_xlfn.XLOOKUP(D10,'Detalhamento - G200'!A:A,'Detalhamento - G200'!B:B,0)</f>
        <v>FEE</v>
      </c>
      <c r="F10" s="175">
        <v>90328</v>
      </c>
      <c r="G10" s="175" t="s">
        <v>411</v>
      </c>
      <c r="H10" s="146" t="s">
        <v>814</v>
      </c>
      <c r="I10" s="173">
        <v>46093</v>
      </c>
      <c r="J10" s="173">
        <v>46094</v>
      </c>
      <c r="K10" s="146" t="s">
        <v>408</v>
      </c>
      <c r="L10" s="146" t="s">
        <v>409</v>
      </c>
      <c r="M10" s="154">
        <v>4285792.01</v>
      </c>
      <c r="N10" s="154">
        <v>0</v>
      </c>
      <c r="O10" s="154">
        <v>0</v>
      </c>
      <c r="P10" s="154">
        <v>0</v>
      </c>
      <c r="Q10" s="154">
        <v>0</v>
      </c>
      <c r="S10" s="154">
        <f t="shared" si="1"/>
        <v>4285792.01</v>
      </c>
      <c r="T10" s="154">
        <f t="shared" si="2"/>
        <v>4285792.01</v>
      </c>
      <c r="V10" s="146" t="s">
        <v>314</v>
      </c>
      <c r="W10" s="146" t="s">
        <v>314</v>
      </c>
    </row>
    <row r="11" spans="2:27" ht="36">
      <c r="B11" s="146" t="s">
        <v>410</v>
      </c>
      <c r="C11" s="174"/>
      <c r="D11" s="146">
        <v>2002001001</v>
      </c>
      <c r="E11" s="146" t="str">
        <f>_xlfn.XLOOKUP(D11,'Detalhamento - G200'!A:A,'Detalhamento - G200'!B:B,0)</f>
        <v>SALÁRIOS, DISSÍDIO/REAJUSTE E AJUDA DE CUSTO</v>
      </c>
      <c r="F11" s="175">
        <v>90328</v>
      </c>
      <c r="G11" s="175" t="s">
        <v>411</v>
      </c>
      <c r="H11" s="146" t="s">
        <v>814</v>
      </c>
      <c r="I11" s="173">
        <v>46093</v>
      </c>
      <c r="J11" s="173">
        <v>46095</v>
      </c>
      <c r="K11" s="146" t="s">
        <v>408</v>
      </c>
      <c r="L11" s="146" t="s">
        <v>409</v>
      </c>
      <c r="M11" s="154">
        <v>2427480.4300000002</v>
      </c>
      <c r="N11" s="154">
        <v>0</v>
      </c>
      <c r="O11" s="154">
        <v>0</v>
      </c>
      <c r="P11" s="154">
        <v>0</v>
      </c>
      <c r="Q11" s="154">
        <v>0</v>
      </c>
      <c r="S11" s="154">
        <f t="shared" si="1"/>
        <v>2427480.4300000002</v>
      </c>
      <c r="T11" s="154">
        <f t="shared" si="2"/>
        <v>2427480.4300000002</v>
      </c>
      <c r="V11" s="146" t="s">
        <v>314</v>
      </c>
      <c r="W11" s="146" t="s">
        <v>314</v>
      </c>
    </row>
    <row r="12" spans="2:27">
      <c r="B12" s="146" t="s">
        <v>412</v>
      </c>
      <c r="C12" s="174"/>
      <c r="D12" s="146">
        <v>1001003001</v>
      </c>
      <c r="E12" s="146" t="str">
        <f>_xlfn.XLOOKUP(D12,'Detalhamento - G200'!A:A,'Detalhamento - G200'!B:B,0)</f>
        <v>FUNDAÇÃO GALPÃO</v>
      </c>
      <c r="F12" s="175" t="s">
        <v>613</v>
      </c>
      <c r="G12" s="175">
        <v>474</v>
      </c>
      <c r="H12" s="146" t="s">
        <v>792</v>
      </c>
      <c r="I12" s="173">
        <v>46092</v>
      </c>
      <c r="J12" s="173">
        <v>46113</v>
      </c>
      <c r="K12" s="146" t="s">
        <v>413</v>
      </c>
      <c r="L12" s="146" t="s">
        <v>344</v>
      </c>
      <c r="M12" s="154">
        <v>550000</v>
      </c>
      <c r="N12" s="154">
        <v>33825</v>
      </c>
      <c r="O12" s="154">
        <v>0</v>
      </c>
      <c r="P12" s="154">
        <v>0</v>
      </c>
      <c r="Q12" s="154">
        <v>0</v>
      </c>
      <c r="S12" s="154">
        <f t="shared" si="1"/>
        <v>516175</v>
      </c>
      <c r="T12" s="154">
        <f t="shared" si="2"/>
        <v>550000</v>
      </c>
      <c r="V12" s="146" t="s">
        <v>343</v>
      </c>
      <c r="W12" s="146" t="s">
        <v>343</v>
      </c>
    </row>
    <row r="13" spans="2:27" ht="36">
      <c r="B13" s="146" t="s">
        <v>412</v>
      </c>
      <c r="C13" s="174"/>
      <c r="D13" s="146">
        <v>1001001001</v>
      </c>
      <c r="E13" s="146" t="str">
        <f>_xlfn.XLOOKUP(D13,'Detalhamento - G200'!A:A,'Detalhamento - G200'!B:B,0)</f>
        <v>PROJETOS</v>
      </c>
      <c r="F13" s="175">
        <v>90332</v>
      </c>
      <c r="G13" s="175">
        <v>830</v>
      </c>
      <c r="H13" s="146" t="s">
        <v>792</v>
      </c>
      <c r="I13" s="173">
        <v>46092</v>
      </c>
      <c r="J13" s="173">
        <v>46122</v>
      </c>
      <c r="K13" s="146" t="s">
        <v>414</v>
      </c>
      <c r="L13" s="146" t="s">
        <v>415</v>
      </c>
      <c r="M13" s="154">
        <v>43500</v>
      </c>
      <c r="N13" s="154">
        <v>2675.25</v>
      </c>
      <c r="O13" s="154">
        <v>0</v>
      </c>
      <c r="P13" s="154">
        <v>0</v>
      </c>
      <c r="Q13" s="154">
        <v>0</v>
      </c>
      <c r="S13" s="154">
        <f t="shared" si="1"/>
        <v>40824.75</v>
      </c>
      <c r="T13" s="154">
        <f t="shared" si="2"/>
        <v>43500</v>
      </c>
      <c r="V13" s="146" t="s">
        <v>346</v>
      </c>
      <c r="W13" s="146" t="s">
        <v>346</v>
      </c>
    </row>
    <row r="14" spans="2:27" ht="36">
      <c r="B14" s="146" t="s">
        <v>412</v>
      </c>
      <c r="C14" s="174"/>
      <c r="D14" s="146">
        <v>1001001001</v>
      </c>
      <c r="E14" s="146" t="str">
        <f>_xlfn.XLOOKUP(D14,'Detalhamento - G200'!A:A,'Detalhamento - G200'!B:B,0)</f>
        <v>PROJETOS</v>
      </c>
      <c r="F14" s="175">
        <v>90333</v>
      </c>
      <c r="G14" s="175">
        <v>2145</v>
      </c>
      <c r="H14" s="146" t="s">
        <v>792</v>
      </c>
      <c r="I14" s="173">
        <v>46092</v>
      </c>
      <c r="J14" s="173">
        <v>46122</v>
      </c>
      <c r="K14" s="146" t="s">
        <v>416</v>
      </c>
      <c r="L14" s="146" t="s">
        <v>336</v>
      </c>
      <c r="M14" s="154">
        <v>13500</v>
      </c>
      <c r="N14" s="154">
        <v>830.25</v>
      </c>
      <c r="O14" s="154">
        <v>0</v>
      </c>
      <c r="P14" s="154">
        <v>0</v>
      </c>
      <c r="Q14" s="154">
        <v>0</v>
      </c>
      <c r="S14" s="154">
        <f t="shared" si="1"/>
        <v>12669.75</v>
      </c>
      <c r="T14" s="154">
        <f t="shared" si="2"/>
        <v>13500</v>
      </c>
      <c r="V14" s="146" t="s">
        <v>335</v>
      </c>
      <c r="W14" s="146" t="s">
        <v>335</v>
      </c>
    </row>
    <row r="15" spans="2:27" ht="36">
      <c r="B15" s="146" t="s">
        <v>412</v>
      </c>
      <c r="C15" s="174"/>
      <c r="D15" s="146">
        <v>1001001001</v>
      </c>
      <c r="E15" s="146" t="str">
        <f>_xlfn.XLOOKUP(D15,'Detalhamento - G200'!A:A,'Detalhamento - G200'!B:B,0)</f>
        <v>PROJETOS</v>
      </c>
      <c r="F15" s="175">
        <v>90335</v>
      </c>
      <c r="G15" s="175">
        <v>653</v>
      </c>
      <c r="H15" s="146" t="s">
        <v>792</v>
      </c>
      <c r="I15" s="173">
        <v>46093</v>
      </c>
      <c r="J15" s="173">
        <v>46113</v>
      </c>
      <c r="K15" s="146" t="s">
        <v>417</v>
      </c>
      <c r="L15" s="146" t="s">
        <v>418</v>
      </c>
      <c r="M15" s="154">
        <v>113731.45</v>
      </c>
      <c r="N15" s="154">
        <v>6994.4700000000012</v>
      </c>
      <c r="O15" s="154">
        <v>0</v>
      </c>
      <c r="P15" s="154">
        <v>0</v>
      </c>
      <c r="Q15" s="154">
        <v>0</v>
      </c>
      <c r="S15" s="154">
        <f t="shared" si="1"/>
        <v>106736.98</v>
      </c>
      <c r="T15" s="154">
        <f t="shared" si="2"/>
        <v>113731.45</v>
      </c>
      <c r="V15" s="146" t="s">
        <v>320</v>
      </c>
      <c r="W15" s="146" t="s">
        <v>320</v>
      </c>
    </row>
    <row r="16" spans="2:27">
      <c r="B16" s="146" t="s">
        <v>412</v>
      </c>
      <c r="C16" s="174"/>
      <c r="D16" s="146">
        <v>1001001001</v>
      </c>
      <c r="E16" s="146" t="str">
        <f>_xlfn.XLOOKUP(D16,'Detalhamento - G200'!A:A,'Detalhamento - G200'!B:B,0)</f>
        <v>PROJETOS</v>
      </c>
      <c r="F16" s="175">
        <v>90337</v>
      </c>
      <c r="G16" s="175">
        <v>1322</v>
      </c>
      <c r="H16" s="146" t="s">
        <v>792</v>
      </c>
      <c r="I16" s="173">
        <v>46093</v>
      </c>
      <c r="J16" s="173">
        <v>46122</v>
      </c>
      <c r="K16" s="146" t="s">
        <v>419</v>
      </c>
      <c r="L16" s="146" t="s">
        <v>318</v>
      </c>
      <c r="M16" s="154">
        <v>90000</v>
      </c>
      <c r="N16" s="154">
        <v>5535</v>
      </c>
      <c r="O16" s="154">
        <v>0</v>
      </c>
      <c r="P16" s="154">
        <v>0</v>
      </c>
      <c r="Q16" s="154">
        <v>0</v>
      </c>
      <c r="S16" s="154">
        <f t="shared" si="1"/>
        <v>84465</v>
      </c>
      <c r="T16" s="154">
        <f t="shared" si="2"/>
        <v>90000</v>
      </c>
      <c r="V16" s="146" t="s">
        <v>317</v>
      </c>
      <c r="W16" s="146" t="s">
        <v>317</v>
      </c>
    </row>
    <row r="17" spans="2:23">
      <c r="B17" s="146" t="s">
        <v>412</v>
      </c>
      <c r="C17" s="174"/>
      <c r="D17" s="146">
        <v>1001001001</v>
      </c>
      <c r="E17" s="146" t="str">
        <f>_xlfn.XLOOKUP(D17,'Detalhamento - G200'!A:A,'Detalhamento - G200'!B:B,0)</f>
        <v>PROJETOS</v>
      </c>
      <c r="F17" s="175">
        <v>90338</v>
      </c>
      <c r="G17" s="175">
        <v>8932</v>
      </c>
      <c r="H17" s="146" t="s">
        <v>792</v>
      </c>
      <c r="I17" s="173">
        <v>46093</v>
      </c>
      <c r="J17" s="173">
        <v>46122</v>
      </c>
      <c r="K17" s="146" t="s">
        <v>420</v>
      </c>
      <c r="L17" s="146" t="s">
        <v>327</v>
      </c>
      <c r="M17" s="154">
        <v>73200</v>
      </c>
      <c r="N17" s="154">
        <v>4501.8000000000029</v>
      </c>
      <c r="O17" s="154">
        <v>0</v>
      </c>
      <c r="P17" s="154">
        <v>0</v>
      </c>
      <c r="Q17" s="154">
        <v>0</v>
      </c>
      <c r="S17" s="154">
        <f t="shared" si="1"/>
        <v>68698.2</v>
      </c>
      <c r="T17" s="154">
        <f t="shared" si="2"/>
        <v>73200</v>
      </c>
      <c r="V17" s="146" t="s">
        <v>326</v>
      </c>
      <c r="W17" s="146" t="s">
        <v>326</v>
      </c>
    </row>
    <row r="18" spans="2:23" ht="36">
      <c r="B18" s="146" t="s">
        <v>412</v>
      </c>
      <c r="C18" s="174"/>
      <c r="D18" s="146">
        <v>1001001001</v>
      </c>
      <c r="E18" s="146" t="str">
        <f>_xlfn.XLOOKUP(D18,'Detalhamento - G200'!A:A,'Detalhamento - G200'!B:B,0)</f>
        <v>PROJETOS</v>
      </c>
      <c r="F18" s="175">
        <v>90348</v>
      </c>
      <c r="G18" s="175">
        <v>20262415</v>
      </c>
      <c r="H18" s="146" t="s">
        <v>792</v>
      </c>
      <c r="I18" s="173">
        <v>46093</v>
      </c>
      <c r="J18" s="173">
        <v>46122</v>
      </c>
      <c r="K18" s="146" t="s">
        <v>421</v>
      </c>
      <c r="L18" s="146" t="s">
        <v>349</v>
      </c>
      <c r="M18" s="154">
        <v>75000</v>
      </c>
      <c r="N18" s="154">
        <v>4612.5</v>
      </c>
      <c r="O18" s="154">
        <v>0</v>
      </c>
      <c r="P18" s="154">
        <v>0</v>
      </c>
      <c r="Q18" s="154">
        <v>0</v>
      </c>
      <c r="S18" s="154">
        <f t="shared" si="1"/>
        <v>70387.5</v>
      </c>
      <c r="T18" s="154">
        <f t="shared" si="2"/>
        <v>75000</v>
      </c>
      <c r="V18" s="146" t="s">
        <v>348</v>
      </c>
      <c r="W18" s="146" t="s">
        <v>348</v>
      </c>
    </row>
    <row r="19" spans="2:23">
      <c r="B19" s="146" t="s">
        <v>412</v>
      </c>
      <c r="C19" s="174"/>
      <c r="D19" s="146">
        <v>1001001001</v>
      </c>
      <c r="E19" s="146" t="str">
        <f>_xlfn.XLOOKUP(D19,'Detalhamento - G200'!A:A,'Detalhamento - G200'!B:B,0)</f>
        <v>PROJETOS</v>
      </c>
      <c r="F19" s="175">
        <v>90381</v>
      </c>
      <c r="G19" s="175">
        <v>1309</v>
      </c>
      <c r="H19" s="146" t="s">
        <v>792</v>
      </c>
      <c r="I19" s="173">
        <v>46094</v>
      </c>
      <c r="J19" s="173">
        <v>46122</v>
      </c>
      <c r="K19" s="146" t="s">
        <v>422</v>
      </c>
      <c r="L19" s="146" t="s">
        <v>333</v>
      </c>
      <c r="M19" s="154">
        <v>5920.95</v>
      </c>
      <c r="N19" s="154">
        <v>0</v>
      </c>
      <c r="O19" s="154">
        <v>0</v>
      </c>
      <c r="P19" s="154">
        <v>0</v>
      </c>
      <c r="Q19" s="154">
        <v>0</v>
      </c>
      <c r="S19" s="154">
        <f t="shared" si="1"/>
        <v>5920.95</v>
      </c>
      <c r="T19" s="154">
        <f t="shared" si="2"/>
        <v>5920.95</v>
      </c>
      <c r="V19" s="146" t="s">
        <v>332</v>
      </c>
      <c r="W19" s="146" t="s">
        <v>332</v>
      </c>
    </row>
    <row r="20" spans="2:23" ht="36">
      <c r="B20" s="146" t="s">
        <v>423</v>
      </c>
      <c r="C20" s="174"/>
      <c r="D20" s="146">
        <v>1001002003</v>
      </c>
      <c r="E20" s="146" t="str">
        <f>_xlfn.XLOOKUP(D20,'Detalhamento - G200'!A:A,'Detalhamento - G200'!B:B,0)</f>
        <v>MOVIMENTAÇÃO DE TERRA</v>
      </c>
      <c r="F20" s="175">
        <v>89426</v>
      </c>
      <c r="G20" s="175" t="s">
        <v>424</v>
      </c>
      <c r="H20" s="146" t="s">
        <v>814</v>
      </c>
      <c r="I20" s="173">
        <v>46083</v>
      </c>
      <c r="J20" s="173">
        <v>46101</v>
      </c>
      <c r="K20" s="146" t="s">
        <v>425</v>
      </c>
      <c r="L20" s="146" t="s">
        <v>356</v>
      </c>
      <c r="M20" s="154">
        <v>2992666.85</v>
      </c>
      <c r="N20" s="154">
        <v>0</v>
      </c>
      <c r="O20" s="154">
        <v>0</v>
      </c>
      <c r="P20" s="154">
        <v>0</v>
      </c>
      <c r="Q20" s="154">
        <v>0</v>
      </c>
      <c r="S20" s="154">
        <f t="shared" si="1"/>
        <v>2992666.85</v>
      </c>
      <c r="T20" s="154">
        <f t="shared" si="2"/>
        <v>2992666.85</v>
      </c>
      <c r="V20" s="146" t="s">
        <v>295</v>
      </c>
      <c r="W20" s="146" t="s">
        <v>295</v>
      </c>
    </row>
    <row r="21" spans="2:23" ht="36">
      <c r="B21" s="146" t="s">
        <v>423</v>
      </c>
      <c r="C21" s="174"/>
      <c r="D21" s="146">
        <v>1001002007</v>
      </c>
      <c r="E21" s="146" t="str">
        <f>_xlfn.XLOOKUP(D21,'Detalhamento - G200'!A:A,'Detalhamento - G200'!B:B,0)</f>
        <v>ESCAVAÇÃO NO TARDOZ</v>
      </c>
      <c r="F21" s="175">
        <v>89426</v>
      </c>
      <c r="G21" s="175" t="s">
        <v>424</v>
      </c>
      <c r="H21" s="146" t="s">
        <v>814</v>
      </c>
      <c r="I21" s="173">
        <v>46083</v>
      </c>
      <c r="J21" s="173">
        <v>46101</v>
      </c>
      <c r="K21" s="146" t="s">
        <v>425</v>
      </c>
      <c r="L21" s="146" t="s">
        <v>356</v>
      </c>
      <c r="M21" s="154">
        <v>136068.71</v>
      </c>
      <c r="N21" s="154">
        <v>0</v>
      </c>
      <c r="O21" s="154">
        <v>0</v>
      </c>
      <c r="P21" s="154">
        <v>0</v>
      </c>
      <c r="Q21" s="154">
        <v>0</v>
      </c>
      <c r="S21" s="154">
        <f t="shared" si="1"/>
        <v>136068.71</v>
      </c>
      <c r="T21" s="154">
        <f t="shared" si="2"/>
        <v>136068.71</v>
      </c>
      <c r="V21" s="146" t="s">
        <v>295</v>
      </c>
      <c r="W21" s="146" t="s">
        <v>295</v>
      </c>
    </row>
    <row r="22" spans="2:23" ht="36">
      <c r="B22" s="146" t="s">
        <v>426</v>
      </c>
      <c r="C22" s="174"/>
      <c r="D22" s="146">
        <v>1001001001</v>
      </c>
      <c r="E22" s="146" t="str">
        <f>_xlfn.XLOOKUP(D22,'Detalhamento - G200'!A:A,'Detalhamento - G200'!B:B,0)</f>
        <v>PROJETOS</v>
      </c>
      <c r="F22" s="175">
        <v>91165</v>
      </c>
      <c r="G22" s="175">
        <v>31</v>
      </c>
      <c r="H22" s="146" t="s">
        <v>792</v>
      </c>
      <c r="I22" s="173">
        <v>46105</v>
      </c>
      <c r="J22" s="173">
        <v>46117</v>
      </c>
      <c r="K22" s="146" t="s">
        <v>427</v>
      </c>
      <c r="L22" s="146" t="s">
        <v>275</v>
      </c>
      <c r="M22" s="154">
        <v>7000</v>
      </c>
      <c r="N22" s="154">
        <v>0</v>
      </c>
      <c r="O22" s="154">
        <v>0</v>
      </c>
      <c r="P22" s="154">
        <v>0</v>
      </c>
      <c r="Q22" s="154">
        <v>0</v>
      </c>
      <c r="S22" s="154">
        <f t="shared" si="1"/>
        <v>7000</v>
      </c>
      <c r="T22" s="154">
        <f t="shared" si="2"/>
        <v>7000</v>
      </c>
      <c r="V22" s="146" t="s">
        <v>636</v>
      </c>
      <c r="W22" s="146" t="s">
        <v>935</v>
      </c>
    </row>
    <row r="23" spans="2:23" ht="36">
      <c r="B23" s="146" t="s">
        <v>426</v>
      </c>
      <c r="C23" s="174"/>
      <c r="D23" s="146">
        <v>2001001006</v>
      </c>
      <c r="E23" s="146" t="str">
        <f>_xlfn.XLOOKUP(D23,'Detalhamento - G200'!A:A,'Detalhamento - G200'!B:B,0)</f>
        <v>IMPLANTAÇÃO DE CANTEIRO - CIVIL</v>
      </c>
      <c r="F23" s="175">
        <v>91079</v>
      </c>
      <c r="G23" s="175">
        <v>6653</v>
      </c>
      <c r="H23" s="146" t="s">
        <v>790</v>
      </c>
      <c r="I23" s="173">
        <v>46104</v>
      </c>
      <c r="J23" s="173">
        <v>46134</v>
      </c>
      <c r="K23" s="146" t="s">
        <v>428</v>
      </c>
      <c r="L23" s="146" t="s">
        <v>429</v>
      </c>
      <c r="M23" s="154">
        <v>11921</v>
      </c>
      <c r="N23" s="154">
        <v>0</v>
      </c>
      <c r="O23" s="154">
        <v>0</v>
      </c>
      <c r="P23" s="154">
        <v>0</v>
      </c>
      <c r="Q23" s="154">
        <v>0</v>
      </c>
      <c r="S23" s="154">
        <f t="shared" si="1"/>
        <v>11921</v>
      </c>
      <c r="T23" s="154">
        <f t="shared" si="2"/>
        <v>11921</v>
      </c>
      <c r="V23" s="146" t="s">
        <v>635</v>
      </c>
      <c r="W23" s="146" t="s">
        <v>935</v>
      </c>
    </row>
    <row r="24" spans="2:23">
      <c r="B24" s="146" t="s">
        <v>426</v>
      </c>
      <c r="C24" s="174"/>
      <c r="D24" s="146">
        <v>1001001001</v>
      </c>
      <c r="E24" s="146" t="str">
        <f>_xlfn.XLOOKUP(D24,'Detalhamento - G200'!A:A,'Detalhamento - G200'!B:B,0)</f>
        <v>PROJETOS</v>
      </c>
      <c r="F24" s="175">
        <v>91268</v>
      </c>
      <c r="G24" s="175">
        <v>47</v>
      </c>
      <c r="H24" s="146" t="s">
        <v>790</v>
      </c>
      <c r="I24" s="173">
        <v>46106</v>
      </c>
      <c r="J24" s="173">
        <v>46118</v>
      </c>
      <c r="K24" s="146" t="s">
        <v>753</v>
      </c>
      <c r="L24" s="146" t="s">
        <v>339</v>
      </c>
      <c r="M24" s="154">
        <v>9787.5</v>
      </c>
      <c r="N24" s="154">
        <v>0</v>
      </c>
      <c r="O24" s="154">
        <v>0</v>
      </c>
      <c r="P24" s="154">
        <v>0</v>
      </c>
      <c r="Q24" s="154">
        <v>0</v>
      </c>
      <c r="S24" s="154">
        <f t="shared" si="1"/>
        <v>9787.5</v>
      </c>
      <c r="T24" s="154">
        <f t="shared" si="2"/>
        <v>9787.5</v>
      </c>
      <c r="V24" s="146" t="s">
        <v>341</v>
      </c>
      <c r="W24" s="146" t="s">
        <v>341</v>
      </c>
    </row>
    <row r="25" spans="2:23" ht="36">
      <c r="B25" s="146" t="s">
        <v>426</v>
      </c>
      <c r="C25" s="174"/>
      <c r="D25" s="146">
        <v>2002001001</v>
      </c>
      <c r="E25" s="146" t="str">
        <f>_xlfn.XLOOKUP(D25,'Detalhamento - G200'!A:A,'Detalhamento - G200'!B:B,0)</f>
        <v>SALÁRIOS, DISSÍDIO/REAJUSTE E AJUDA DE CUSTO</v>
      </c>
      <c r="F25" s="175">
        <v>91371</v>
      </c>
      <c r="G25" s="175">
        <v>175</v>
      </c>
      <c r="H25" s="146" t="s">
        <v>792</v>
      </c>
      <c r="I25" s="173">
        <v>46107</v>
      </c>
      <c r="J25" s="173">
        <v>46117</v>
      </c>
      <c r="K25" s="146" t="s">
        <v>408</v>
      </c>
      <c r="L25" s="146" t="s">
        <v>315</v>
      </c>
      <c r="M25" s="154">
        <v>1636689.17</v>
      </c>
      <c r="N25" s="154">
        <v>144846.99237234867</v>
      </c>
      <c r="O25" s="154">
        <v>0</v>
      </c>
      <c r="P25" s="154">
        <v>301288.23370558157</v>
      </c>
      <c r="Q25" s="154">
        <v>0</v>
      </c>
      <c r="S25" s="154">
        <f t="shared" si="1"/>
        <v>1190553.9439220696</v>
      </c>
      <c r="T25" s="154">
        <f t="shared" si="2"/>
        <v>1335400.9362944183</v>
      </c>
      <c r="V25" s="146" t="s">
        <v>314</v>
      </c>
      <c r="W25" s="146" t="s">
        <v>314</v>
      </c>
    </row>
    <row r="26" spans="2:23">
      <c r="B26" s="146" t="s">
        <v>426</v>
      </c>
      <c r="C26" s="174"/>
      <c r="D26" s="146">
        <v>2003001001</v>
      </c>
      <c r="E26" s="146" t="str">
        <f>_xlfn.XLOOKUP(D26,'Detalhamento - G200'!A:A,'Detalhamento - G200'!B:B,0)</f>
        <v>FEE</v>
      </c>
      <c r="F26" s="175">
        <v>91371</v>
      </c>
      <c r="G26" s="175">
        <v>175</v>
      </c>
      <c r="H26" s="146" t="s">
        <v>792</v>
      </c>
      <c r="I26" s="173">
        <v>46107</v>
      </c>
      <c r="J26" s="173">
        <v>46118</v>
      </c>
      <c r="K26" s="146" t="s">
        <v>408</v>
      </c>
      <c r="L26" s="146" t="s">
        <v>315</v>
      </c>
      <c r="M26" s="154">
        <v>344282.89</v>
      </c>
      <c r="N26" s="154">
        <v>30469.035599443461</v>
      </c>
      <c r="O26" s="154">
        <v>0</v>
      </c>
      <c r="P26" s="154">
        <v>63376.959149213668</v>
      </c>
      <c r="Q26" s="154">
        <v>0</v>
      </c>
      <c r="S26" s="154">
        <f t="shared" si="1"/>
        <v>250436.89525134288</v>
      </c>
      <c r="T26" s="154">
        <f t="shared" si="2"/>
        <v>280905.93085078633</v>
      </c>
      <c r="V26" s="146" t="s">
        <v>314</v>
      </c>
      <c r="W26" s="146" t="s">
        <v>314</v>
      </c>
    </row>
    <row r="27" spans="2:23" ht="72">
      <c r="B27" s="146" t="s">
        <v>426</v>
      </c>
      <c r="C27" s="174"/>
      <c r="D27" s="146">
        <v>2001025001</v>
      </c>
      <c r="E27" s="146" t="str">
        <f>_xlfn.XLOOKUP(D27,'Detalhamento - G200'!A:A,'Detalhamento - G200'!B:B,0)</f>
        <v>DESPESAS INDIRETAS DE OBRA, CANTEIRO, INSTALAÇÕES PROVISÓRIAS - FATURAMENTO QPC</v>
      </c>
      <c r="F27" s="175">
        <v>91371</v>
      </c>
      <c r="G27" s="175">
        <v>175</v>
      </c>
      <c r="H27" s="146" t="s">
        <v>792</v>
      </c>
      <c r="I27" s="173">
        <v>46107</v>
      </c>
      <c r="J27" s="173">
        <v>46119</v>
      </c>
      <c r="K27" s="146" t="s">
        <v>408</v>
      </c>
      <c r="L27" s="146" t="s">
        <v>315</v>
      </c>
      <c r="M27" s="154">
        <v>472563.43</v>
      </c>
      <c r="N27" s="154">
        <v>41821.863532625837</v>
      </c>
      <c r="O27" s="154">
        <v>0</v>
      </c>
      <c r="P27" s="154">
        <v>86991.349890300786</v>
      </c>
      <c r="Q27" s="154">
        <v>0</v>
      </c>
      <c r="S27" s="154">
        <f t="shared" si="1"/>
        <v>343750.21657707338</v>
      </c>
      <c r="T27" s="154">
        <f t="shared" si="2"/>
        <v>385572.08010969922</v>
      </c>
      <c r="V27" s="146" t="s">
        <v>314</v>
      </c>
      <c r="W27" s="146" t="s">
        <v>314</v>
      </c>
    </row>
    <row r="28" spans="2:23" ht="54">
      <c r="B28" s="146" t="s">
        <v>426</v>
      </c>
      <c r="C28" s="174"/>
      <c r="D28" s="146">
        <v>2001025002</v>
      </c>
      <c r="E28" s="146" t="str">
        <f>_xlfn.XLOOKUP(D28,'Detalhamento - G200'!A:A,'Detalhamento - G200'!B:B,0)</f>
        <v xml:space="preserve">	DESPESAS INDIRETAS DE OBRA - DESEMBOLSO CANTEIRO DE OBRAS</v>
      </c>
      <c r="F28" s="175">
        <v>91371</v>
      </c>
      <c r="G28" s="175">
        <v>175</v>
      </c>
      <c r="H28" s="146" t="s">
        <v>792</v>
      </c>
      <c r="I28" s="173">
        <v>46107</v>
      </c>
      <c r="J28" s="173">
        <v>46120</v>
      </c>
      <c r="K28" s="146" t="s">
        <v>408</v>
      </c>
      <c r="L28" s="146" t="s">
        <v>315</v>
      </c>
      <c r="M28" s="154">
        <v>212653.54</v>
      </c>
      <c r="N28" s="154">
        <v>18819.838495582037</v>
      </c>
      <c r="O28" s="154">
        <v>0</v>
      </c>
      <c r="P28" s="154">
        <v>39146.107254903989</v>
      </c>
      <c r="Q28" s="154">
        <v>0</v>
      </c>
      <c r="S28" s="154">
        <f t="shared" si="1"/>
        <v>154687.59424951399</v>
      </c>
      <c r="T28" s="154">
        <f t="shared" si="2"/>
        <v>173507.43274509604</v>
      </c>
      <c r="V28" s="146" t="s">
        <v>314</v>
      </c>
      <c r="W28" s="146" t="s">
        <v>314</v>
      </c>
    </row>
    <row r="29" spans="2:23">
      <c r="B29" s="146" t="s">
        <v>426</v>
      </c>
      <c r="C29" s="174"/>
      <c r="D29" s="146">
        <v>2003001001</v>
      </c>
      <c r="E29" s="146" t="str">
        <f>_xlfn.XLOOKUP(D29,'Detalhamento - G200'!A:A,'Detalhamento - G200'!B:B,0)</f>
        <v>FEE</v>
      </c>
      <c r="F29" s="175">
        <v>91286</v>
      </c>
      <c r="G29" s="175">
        <v>168</v>
      </c>
      <c r="H29" s="146" t="s">
        <v>792</v>
      </c>
      <c r="I29" s="173">
        <v>46106</v>
      </c>
      <c r="J29" s="173">
        <v>46117</v>
      </c>
      <c r="K29" s="146" t="s">
        <v>408</v>
      </c>
      <c r="L29" s="146" t="s">
        <v>315</v>
      </c>
      <c r="M29" s="154">
        <v>77368.62</v>
      </c>
      <c r="N29" s="154">
        <v>3868.43</v>
      </c>
      <c r="O29" s="154">
        <v>3868.43</v>
      </c>
      <c r="P29" s="154">
        <v>17672.16</v>
      </c>
      <c r="Q29" s="154">
        <v>0</v>
      </c>
      <c r="S29" s="154">
        <f t="shared" si="1"/>
        <v>51959.599999999991</v>
      </c>
      <c r="T29" s="154">
        <f t="shared" si="2"/>
        <v>55828.029999999992</v>
      </c>
      <c r="V29" s="146" t="s">
        <v>314</v>
      </c>
      <c r="W29" s="146" t="s">
        <v>314</v>
      </c>
    </row>
    <row r="30" spans="2:23" ht="36">
      <c r="B30" s="146" t="s">
        <v>426</v>
      </c>
      <c r="C30" s="174"/>
      <c r="D30" s="146">
        <v>2002001001</v>
      </c>
      <c r="E30" s="146" t="str">
        <f>_xlfn.XLOOKUP(D30,'Detalhamento - G200'!A:A,'Detalhamento - G200'!B:B,0)</f>
        <v>SALÁRIOS, DISSÍDIO/REAJUSTE E AJUDA DE CUSTO</v>
      </c>
      <c r="F30" s="175">
        <v>91289</v>
      </c>
      <c r="G30" s="175">
        <v>169</v>
      </c>
      <c r="H30" s="146" t="s">
        <v>792</v>
      </c>
      <c r="I30" s="173">
        <v>46106</v>
      </c>
      <c r="J30" s="173">
        <v>46117</v>
      </c>
      <c r="K30" s="146" t="s">
        <v>408</v>
      </c>
      <c r="L30" s="146" t="s">
        <v>315</v>
      </c>
      <c r="M30" s="154">
        <v>975618.35</v>
      </c>
      <c r="N30" s="154">
        <v>86342.217520596707</v>
      </c>
      <c r="O30" s="154">
        <v>0</v>
      </c>
      <c r="P30" s="154">
        <v>161335.8545139312</v>
      </c>
      <c r="Q30" s="154">
        <v>0</v>
      </c>
      <c r="S30" s="154">
        <f t="shared" si="1"/>
        <v>727940.27796547208</v>
      </c>
      <c r="T30" s="154">
        <f t="shared" si="2"/>
        <v>814282.49548606877</v>
      </c>
      <c r="V30" s="146" t="s">
        <v>314</v>
      </c>
      <c r="W30" s="146" t="s">
        <v>314</v>
      </c>
    </row>
    <row r="31" spans="2:23">
      <c r="B31" s="146" t="s">
        <v>426</v>
      </c>
      <c r="C31" s="174"/>
      <c r="D31" s="146">
        <v>2003001001</v>
      </c>
      <c r="E31" s="146" t="str">
        <f>_xlfn.XLOOKUP(D31,'Detalhamento - G200'!A:A,'Detalhamento - G200'!B:B,0)</f>
        <v>FEE</v>
      </c>
      <c r="F31" s="175">
        <v>91289</v>
      </c>
      <c r="G31" s="175">
        <v>169</v>
      </c>
      <c r="H31" s="146" t="s">
        <v>792</v>
      </c>
      <c r="I31" s="173">
        <v>46106</v>
      </c>
      <c r="J31" s="173">
        <v>46117</v>
      </c>
      <c r="K31" s="146" t="s">
        <v>408</v>
      </c>
      <c r="L31" s="146" t="s">
        <v>315</v>
      </c>
      <c r="M31" s="154">
        <v>180053.71</v>
      </c>
      <c r="N31" s="154">
        <v>15934.752479403298</v>
      </c>
      <c r="O31" s="154">
        <v>0</v>
      </c>
      <c r="P31" s="154">
        <v>29775.085486068809</v>
      </c>
      <c r="Q31" s="154">
        <v>0</v>
      </c>
      <c r="S31" s="154">
        <f t="shared" si="1"/>
        <v>134343.87203452789</v>
      </c>
      <c r="T31" s="154">
        <f t="shared" si="2"/>
        <v>150278.62451393119</v>
      </c>
      <c r="V31" s="146" t="s">
        <v>314</v>
      </c>
      <c r="W31" s="146" t="s">
        <v>314</v>
      </c>
    </row>
    <row r="32" spans="2:23">
      <c r="B32" s="146" t="s">
        <v>426</v>
      </c>
      <c r="C32" s="174"/>
      <c r="D32" s="146">
        <v>2003001001</v>
      </c>
      <c r="E32" s="146" t="str">
        <f>_xlfn.XLOOKUP(D32,'Detalhamento - G200'!A:A,'Detalhamento - G200'!B:B,0)</f>
        <v>FEE</v>
      </c>
      <c r="F32" s="175">
        <v>91297</v>
      </c>
      <c r="G32" s="175">
        <v>170</v>
      </c>
      <c r="H32" s="146" t="s">
        <v>792</v>
      </c>
      <c r="I32" s="173">
        <v>46106</v>
      </c>
      <c r="J32" s="173">
        <v>46108</v>
      </c>
      <c r="K32" s="146" t="s">
        <v>408</v>
      </c>
      <c r="L32" s="146" t="s">
        <v>315</v>
      </c>
      <c r="M32" s="154">
        <v>259763.55</v>
      </c>
      <c r="N32" s="154">
        <v>12988.18</v>
      </c>
      <c r="O32" s="154">
        <v>12988.18</v>
      </c>
      <c r="P32" s="154">
        <v>59333.91</v>
      </c>
      <c r="Q32" s="154">
        <v>0</v>
      </c>
      <c r="S32" s="154">
        <f t="shared" si="1"/>
        <v>174453.27999999997</v>
      </c>
      <c r="T32" s="154">
        <f t="shared" si="2"/>
        <v>187441.45999999996</v>
      </c>
      <c r="V32" s="146" t="s">
        <v>314</v>
      </c>
      <c r="W32" s="146" t="s">
        <v>314</v>
      </c>
    </row>
    <row r="33" spans="2:23" ht="36">
      <c r="B33" s="146" t="s">
        <v>426</v>
      </c>
      <c r="C33" s="174"/>
      <c r="D33" s="146">
        <v>2002001001</v>
      </c>
      <c r="E33" s="146" t="str">
        <f>_xlfn.XLOOKUP(D33,'Detalhamento - G200'!A:A,'Detalhamento - G200'!B:B,0)</f>
        <v>SALÁRIOS, DISSÍDIO/REAJUSTE E AJUDA DE CUSTO</v>
      </c>
      <c r="F33" s="175">
        <v>91370</v>
      </c>
      <c r="G33" s="175">
        <v>174</v>
      </c>
      <c r="H33" s="146" t="s">
        <v>792</v>
      </c>
      <c r="I33" s="173">
        <v>46106</v>
      </c>
      <c r="J33" s="173">
        <v>46117</v>
      </c>
      <c r="K33" s="146" t="s">
        <v>408</v>
      </c>
      <c r="L33" s="146" t="s">
        <v>315</v>
      </c>
      <c r="M33" s="154">
        <v>672262.50651266985</v>
      </c>
      <c r="N33" s="154">
        <v>33613.125018699298</v>
      </c>
      <c r="O33" s="154">
        <v>0</v>
      </c>
      <c r="P33" s="154">
        <v>80538.022957124194</v>
      </c>
      <c r="Q33" s="154">
        <v>0</v>
      </c>
      <c r="S33" s="154">
        <f t="shared" si="1"/>
        <v>558111.35853684635</v>
      </c>
      <c r="T33" s="154">
        <f t="shared" si="2"/>
        <v>591724.48355554568</v>
      </c>
      <c r="V33" s="146" t="s">
        <v>314</v>
      </c>
      <c r="W33" s="146" t="s">
        <v>314</v>
      </c>
    </row>
    <row r="34" spans="2:23">
      <c r="B34" s="146" t="s">
        <v>426</v>
      </c>
      <c r="C34" s="174"/>
      <c r="D34" s="146">
        <v>2003001001</v>
      </c>
      <c r="E34" s="146" t="str">
        <f>_xlfn.XLOOKUP(D34,'Detalhamento - G200'!A:A,'Detalhamento - G200'!B:B,0)</f>
        <v>FEE</v>
      </c>
      <c r="F34" s="175">
        <v>91370</v>
      </c>
      <c r="G34" s="175">
        <v>174</v>
      </c>
      <c r="H34" s="146" t="s">
        <v>792</v>
      </c>
      <c r="I34" s="173">
        <v>46106</v>
      </c>
      <c r="J34" s="173">
        <v>46108</v>
      </c>
      <c r="K34" s="146" t="s">
        <v>408</v>
      </c>
      <c r="L34" s="146" t="s">
        <v>315</v>
      </c>
      <c r="M34" s="154">
        <v>141412.60310363112</v>
      </c>
      <c r="N34" s="154">
        <v>7070.6300906169499</v>
      </c>
      <c r="O34" s="154">
        <v>0</v>
      </c>
      <c r="P34" s="154">
        <v>16941.434878269964</v>
      </c>
      <c r="Q34" s="154">
        <v>0</v>
      </c>
      <c r="S34" s="154">
        <f t="shared" si="1"/>
        <v>117400.5381347442</v>
      </c>
      <c r="T34" s="154">
        <f t="shared" si="2"/>
        <v>124471.16822536115</v>
      </c>
      <c r="V34" s="146" t="s">
        <v>314</v>
      </c>
      <c r="W34" s="146" t="s">
        <v>314</v>
      </c>
    </row>
    <row r="35" spans="2:23" ht="72">
      <c r="B35" s="146" t="s">
        <v>426</v>
      </c>
      <c r="C35" s="174"/>
      <c r="D35" s="146">
        <v>2001025001</v>
      </c>
      <c r="E35" s="146" t="str">
        <f>_xlfn.XLOOKUP(D35,'Detalhamento - G200'!A:A,'Detalhamento - G200'!B:B,0)</f>
        <v>DESPESAS INDIRETAS DE OBRA, CANTEIRO, INSTALAÇÕES PROVISÓRIAS - FATURAMENTO QPC</v>
      </c>
      <c r="F35" s="175">
        <v>91370</v>
      </c>
      <c r="G35" s="175">
        <v>174</v>
      </c>
      <c r="H35" s="146" t="s">
        <v>792</v>
      </c>
      <c r="I35" s="173">
        <v>46106</v>
      </c>
      <c r="J35" s="173">
        <v>46108</v>
      </c>
      <c r="K35" s="146" t="s">
        <v>408</v>
      </c>
      <c r="L35" s="146" t="s">
        <v>315</v>
      </c>
      <c r="M35" s="154">
        <v>194103.24194512633</v>
      </c>
      <c r="N35" s="154">
        <v>9705.1620086347993</v>
      </c>
      <c r="O35" s="154">
        <v>0</v>
      </c>
      <c r="P35" s="154">
        <v>23253.849804777405</v>
      </c>
      <c r="Q35" s="154">
        <v>0</v>
      </c>
      <c r="S35" s="154">
        <f t="shared" si="1"/>
        <v>161144.23013171414</v>
      </c>
      <c r="T35" s="154">
        <f t="shared" si="2"/>
        <v>170849.39214034894</v>
      </c>
      <c r="V35" s="146" t="s">
        <v>314</v>
      </c>
      <c r="W35" s="146" t="s">
        <v>314</v>
      </c>
    </row>
    <row r="36" spans="2:23" ht="72">
      <c r="B36" s="146" t="s">
        <v>426</v>
      </c>
      <c r="C36" s="174"/>
      <c r="D36" s="146">
        <v>2001025001</v>
      </c>
      <c r="E36" s="146" t="str">
        <f>_xlfn.XLOOKUP(D36,'Detalhamento - G200'!A:A,'Detalhamento - G200'!B:B,0)</f>
        <v>DESPESAS INDIRETAS DE OBRA, CANTEIRO, INSTALAÇÕES PROVISÓRIAS - FATURAMENTO QPC</v>
      </c>
      <c r="F36" s="175">
        <v>91370</v>
      </c>
      <c r="G36" s="175">
        <v>174</v>
      </c>
      <c r="H36" s="146" t="s">
        <v>792</v>
      </c>
      <c r="I36" s="173">
        <v>46106</v>
      </c>
      <c r="J36" s="173">
        <v>46108</v>
      </c>
      <c r="K36" s="146" t="s">
        <v>408</v>
      </c>
      <c r="L36" s="146" t="s">
        <v>315</v>
      </c>
      <c r="M36" s="154">
        <v>87346.458438572721</v>
      </c>
      <c r="N36" s="154">
        <v>4367.3228820489539</v>
      </c>
      <c r="O36" s="154">
        <v>0</v>
      </c>
      <c r="P36" s="154">
        <v>10464.232359828449</v>
      </c>
      <c r="Q36" s="154">
        <v>0</v>
      </c>
      <c r="S36" s="154">
        <f t="shared" si="1"/>
        <v>72514.903196695319</v>
      </c>
      <c r="T36" s="154">
        <f t="shared" si="2"/>
        <v>76882.226078744279</v>
      </c>
      <c r="V36" s="146" t="s">
        <v>314</v>
      </c>
      <c r="W36" s="146" t="s">
        <v>314</v>
      </c>
    </row>
    <row r="37" spans="2:23">
      <c r="B37" s="146" t="s">
        <v>426</v>
      </c>
      <c r="C37" s="174"/>
      <c r="D37" s="146">
        <v>1001001002</v>
      </c>
      <c r="E37" s="146" t="str">
        <f>_xlfn.XLOOKUP(D37,'Detalhamento - G200'!A:A,'Detalhamento - G200'!B:B,0)</f>
        <v>ENSAIOS E CONSULTORIAS</v>
      </c>
      <c r="F37" s="175">
        <v>91326</v>
      </c>
      <c r="G37" s="175">
        <v>2026376</v>
      </c>
      <c r="H37" s="146" t="s">
        <v>792</v>
      </c>
      <c r="I37" s="173">
        <v>46106</v>
      </c>
      <c r="J37" s="173">
        <v>46117</v>
      </c>
      <c r="K37" s="146" t="s">
        <v>430</v>
      </c>
      <c r="L37" s="146" t="s">
        <v>354</v>
      </c>
      <c r="M37" s="154">
        <v>36576.339999999997</v>
      </c>
      <c r="N37" s="154">
        <v>1828.82</v>
      </c>
      <c r="O37" s="154">
        <v>1828.82</v>
      </c>
      <c r="P37" s="154">
        <v>0</v>
      </c>
      <c r="Q37" s="154">
        <v>0</v>
      </c>
      <c r="S37" s="154">
        <f t="shared" si="1"/>
        <v>32918.699999999997</v>
      </c>
      <c r="T37" s="154">
        <f t="shared" si="2"/>
        <v>34747.519999999997</v>
      </c>
      <c r="V37" s="146" t="s">
        <v>353</v>
      </c>
      <c r="W37" s="146" t="s">
        <v>353</v>
      </c>
    </row>
    <row r="38" spans="2:23">
      <c r="B38" s="146" t="s">
        <v>426</v>
      </c>
      <c r="C38" s="174"/>
      <c r="D38" s="146">
        <v>1001002003</v>
      </c>
      <c r="E38" s="146" t="str">
        <f>_xlfn.XLOOKUP(D38,'Detalhamento - G200'!A:A,'Detalhamento - G200'!B:B,0)</f>
        <v>MOVIMENTAÇÃO DE TERRA</v>
      </c>
      <c r="F38" s="175" t="s">
        <v>625</v>
      </c>
      <c r="G38" s="175">
        <v>1441</v>
      </c>
      <c r="H38" s="146" t="s">
        <v>792</v>
      </c>
      <c r="I38" s="173">
        <v>46106</v>
      </c>
      <c r="J38" s="173">
        <v>46117</v>
      </c>
      <c r="K38" s="146" t="s">
        <v>431</v>
      </c>
      <c r="L38" s="146" t="s">
        <v>432</v>
      </c>
      <c r="M38" s="154">
        <v>2176885.6800000002</v>
      </c>
      <c r="N38" s="154">
        <v>144762.89000000001</v>
      </c>
      <c r="O38" s="154">
        <v>0</v>
      </c>
      <c r="P38" s="154">
        <v>0</v>
      </c>
      <c r="Q38" s="154">
        <v>0</v>
      </c>
      <c r="S38" s="154">
        <f t="shared" si="1"/>
        <v>2032122.79</v>
      </c>
      <c r="T38" s="154">
        <f t="shared" si="2"/>
        <v>2176885.6800000002</v>
      </c>
      <c r="V38" s="146" t="s">
        <v>637</v>
      </c>
      <c r="W38" s="146" t="s">
        <v>935</v>
      </c>
    </row>
    <row r="39" spans="2:23" ht="36">
      <c r="B39" s="146" t="s">
        <v>426</v>
      </c>
      <c r="C39" s="174"/>
      <c r="D39" s="146">
        <v>1001002003</v>
      </c>
      <c r="E39" s="146" t="str">
        <f>_xlfn.XLOOKUP(D39,'Detalhamento - G200'!A:A,'Detalhamento - G200'!B:B,0)</f>
        <v>MOVIMENTAÇÃO DE TERRA</v>
      </c>
      <c r="F39" s="175">
        <v>91399</v>
      </c>
      <c r="G39" s="175">
        <v>20261156</v>
      </c>
      <c r="H39" s="146" t="s">
        <v>792</v>
      </c>
      <c r="I39" s="173">
        <v>46106</v>
      </c>
      <c r="J39" s="173">
        <v>46118</v>
      </c>
      <c r="K39" s="146" t="s">
        <v>425</v>
      </c>
      <c r="L39" s="146" t="s">
        <v>356</v>
      </c>
      <c r="M39" s="154">
        <v>1434897.95</v>
      </c>
      <c r="N39" s="154">
        <v>95420.72</v>
      </c>
      <c r="O39" s="154">
        <v>71744.899999999994</v>
      </c>
      <c r="P39" s="154">
        <v>286979.59000000003</v>
      </c>
      <c r="Q39" s="154">
        <v>0</v>
      </c>
      <c r="S39" s="154">
        <f t="shared" si="1"/>
        <v>980752.74</v>
      </c>
      <c r="T39" s="154">
        <f t="shared" si="2"/>
        <v>1076173.46</v>
      </c>
      <c r="V39" s="146" t="s">
        <v>295</v>
      </c>
      <c r="W39" s="146" t="s">
        <v>295</v>
      </c>
    </row>
    <row r="40" spans="2:23" ht="36">
      <c r="B40" s="146" t="s">
        <v>654</v>
      </c>
      <c r="D40" s="146">
        <v>2001002002</v>
      </c>
      <c r="E40" s="146" t="str">
        <f>_xlfn.XLOOKUP(D40,'Detalhamento - G200'!A:A,'Detalhamento - G200'!B:B,0)</f>
        <v>MONITORAMENTO TIME LAPSE</v>
      </c>
      <c r="F40" s="175">
        <v>91931</v>
      </c>
      <c r="G40" s="175">
        <v>2995</v>
      </c>
      <c r="H40" s="146" t="s">
        <v>792</v>
      </c>
      <c r="I40" s="173">
        <v>46114</v>
      </c>
      <c r="J40" s="173">
        <v>46147</v>
      </c>
      <c r="K40" s="146" t="s">
        <v>614</v>
      </c>
      <c r="L40" s="146" t="s">
        <v>375</v>
      </c>
      <c r="M40" s="154">
        <v>2300</v>
      </c>
      <c r="N40" s="154">
        <v>0</v>
      </c>
      <c r="O40" s="154">
        <v>0</v>
      </c>
      <c r="P40" s="154">
        <v>0</v>
      </c>
      <c r="Q40" s="154">
        <v>0</v>
      </c>
      <c r="S40" s="154">
        <f t="shared" si="1"/>
        <v>2300</v>
      </c>
      <c r="T40" s="154">
        <f t="shared" si="2"/>
        <v>2300</v>
      </c>
      <c r="V40" s="146" t="s">
        <v>374</v>
      </c>
      <c r="W40" s="146" t="s">
        <v>374</v>
      </c>
    </row>
    <row r="41" spans="2:23" ht="36">
      <c r="B41" s="146" t="s">
        <v>654</v>
      </c>
      <c r="D41" s="146">
        <v>1004001002</v>
      </c>
      <c r="E41" s="146" t="str">
        <f>_xlfn.XLOOKUP(D41,'Detalhamento - G200'!A:A,'Detalhamento - G200'!B:B,0)</f>
        <v>ELEVADOR MEZANINO</v>
      </c>
      <c r="F41" s="175">
        <v>91938</v>
      </c>
      <c r="G41" s="175" t="s">
        <v>627</v>
      </c>
      <c r="H41" s="146" t="s">
        <v>814</v>
      </c>
      <c r="I41" s="173">
        <v>46112</v>
      </c>
      <c r="J41" s="173">
        <v>46132</v>
      </c>
      <c r="K41" s="146" t="s">
        <v>615</v>
      </c>
      <c r="L41" s="146" t="s">
        <v>601</v>
      </c>
      <c r="M41" s="154">
        <v>58140</v>
      </c>
      <c r="N41" s="154">
        <v>0</v>
      </c>
      <c r="O41" s="154">
        <v>0</v>
      </c>
      <c r="P41" s="154">
        <v>0</v>
      </c>
      <c r="Q41" s="154">
        <v>0</v>
      </c>
      <c r="S41" s="154">
        <f t="shared" si="1"/>
        <v>58140</v>
      </c>
      <c r="T41" s="154">
        <f t="shared" si="2"/>
        <v>58140</v>
      </c>
      <c r="V41" s="146" t="s">
        <v>600</v>
      </c>
      <c r="W41" s="146" t="s">
        <v>600</v>
      </c>
    </row>
    <row r="42" spans="2:23">
      <c r="B42" s="146" t="s">
        <v>654</v>
      </c>
      <c r="D42" s="146">
        <v>2001001007</v>
      </c>
      <c r="E42" s="146" t="str">
        <f>_xlfn.XLOOKUP(D42,'Detalhamento - G200'!A:A,'Detalhamento - G200'!B:B,0)</f>
        <v>LOCAÇÃO DE TOLDO</v>
      </c>
      <c r="F42" s="175">
        <v>92059</v>
      </c>
      <c r="G42" s="175">
        <v>728</v>
      </c>
      <c r="H42" s="146" t="s">
        <v>790</v>
      </c>
      <c r="I42" s="173">
        <v>46113</v>
      </c>
      <c r="J42" s="173">
        <v>46142</v>
      </c>
      <c r="K42" s="146" t="s">
        <v>616</v>
      </c>
      <c r="L42" s="146" t="s">
        <v>274</v>
      </c>
      <c r="M42" s="154">
        <v>32280</v>
      </c>
      <c r="N42" s="154">
        <v>0</v>
      </c>
      <c r="O42" s="154">
        <v>0</v>
      </c>
      <c r="P42" s="154">
        <v>0</v>
      </c>
      <c r="Q42" s="154">
        <v>0</v>
      </c>
      <c r="S42" s="154">
        <f t="shared" ref="S42:S62" si="3">M42-SUM(N42:Q42)</f>
        <v>32280</v>
      </c>
      <c r="T42" s="154">
        <f t="shared" si="2"/>
        <v>32280</v>
      </c>
      <c r="V42" s="146" t="s">
        <v>645</v>
      </c>
      <c r="W42" s="146" t="s">
        <v>935</v>
      </c>
    </row>
    <row r="43" spans="2:23">
      <c r="B43" s="146" t="s">
        <v>654</v>
      </c>
      <c r="D43" s="146">
        <v>1001002003</v>
      </c>
      <c r="E43" s="146" t="str">
        <f>_xlfn.XLOOKUP(D43,'Detalhamento - G200'!A:A,'Detalhamento - G200'!B:B,0)</f>
        <v>MOVIMENTAÇÃO DE TERRA</v>
      </c>
      <c r="F43" s="175">
        <v>92400</v>
      </c>
      <c r="G43" s="175">
        <v>4852</v>
      </c>
      <c r="H43" s="146" t="s">
        <v>790</v>
      </c>
      <c r="I43" s="173">
        <v>46118</v>
      </c>
      <c r="J43" s="173">
        <v>46146</v>
      </c>
      <c r="K43" s="146" t="s">
        <v>617</v>
      </c>
      <c r="L43" s="146" t="s">
        <v>302</v>
      </c>
      <c r="M43" s="154">
        <v>3528.25</v>
      </c>
      <c r="N43" s="154">
        <v>0</v>
      </c>
      <c r="O43" s="154">
        <v>0</v>
      </c>
      <c r="P43" s="154">
        <v>0</v>
      </c>
      <c r="Q43" s="154">
        <v>0</v>
      </c>
      <c r="S43" s="154">
        <f t="shared" si="3"/>
        <v>3528.25</v>
      </c>
      <c r="T43" s="154">
        <f t="shared" si="2"/>
        <v>3528.25</v>
      </c>
      <c r="V43" s="146" t="s">
        <v>646</v>
      </c>
      <c r="W43" s="146" t="s">
        <v>731</v>
      </c>
    </row>
    <row r="44" spans="2:23">
      <c r="B44" s="146" t="s">
        <v>654</v>
      </c>
      <c r="D44" s="146">
        <v>1001002006</v>
      </c>
      <c r="E44" s="146" t="str">
        <f>_xlfn.XLOOKUP(D44,'Detalhamento - G200'!A:A,'Detalhamento - G200'!B:B,0)</f>
        <v>CONTENÇÕES</v>
      </c>
      <c r="F44" s="175">
        <v>92400</v>
      </c>
      <c r="G44" s="175">
        <v>4852</v>
      </c>
      <c r="H44" s="146" t="s">
        <v>790</v>
      </c>
      <c r="I44" s="173">
        <v>46118</v>
      </c>
      <c r="J44" s="173">
        <v>46146</v>
      </c>
      <c r="K44" s="146" t="s">
        <v>617</v>
      </c>
      <c r="L44" s="146" t="s">
        <v>302</v>
      </c>
      <c r="M44" s="154">
        <v>3570.95</v>
      </c>
      <c r="N44" s="154">
        <v>0</v>
      </c>
      <c r="O44" s="154">
        <v>0</v>
      </c>
      <c r="P44" s="154">
        <v>0</v>
      </c>
      <c r="Q44" s="154">
        <v>0</v>
      </c>
      <c r="S44" s="154">
        <f t="shared" si="3"/>
        <v>3570.95</v>
      </c>
      <c r="T44" s="154">
        <f t="shared" si="2"/>
        <v>3570.95</v>
      </c>
      <c r="V44" s="146" t="s">
        <v>646</v>
      </c>
      <c r="W44" s="146" t="s">
        <v>731</v>
      </c>
    </row>
    <row r="45" spans="2:23" ht="36">
      <c r="B45" s="146" t="s">
        <v>654</v>
      </c>
      <c r="D45" s="146">
        <v>1001002006</v>
      </c>
      <c r="E45" s="146" t="str">
        <f>_xlfn.XLOOKUP(D45,'Detalhamento - G200'!A:A,'Detalhamento - G200'!B:B,0)</f>
        <v>CONTENÇÕES</v>
      </c>
      <c r="F45" s="175">
        <v>92402</v>
      </c>
      <c r="G45" s="175">
        <v>3266</v>
      </c>
      <c r="H45" s="146" t="s">
        <v>790</v>
      </c>
      <c r="I45" s="173">
        <v>46118</v>
      </c>
      <c r="J45" s="173">
        <v>46148</v>
      </c>
      <c r="K45" s="146" t="s">
        <v>618</v>
      </c>
      <c r="L45" s="146" t="s">
        <v>282</v>
      </c>
      <c r="M45" s="154">
        <v>4972</v>
      </c>
      <c r="N45" s="154">
        <v>0</v>
      </c>
      <c r="O45" s="154">
        <v>0</v>
      </c>
      <c r="P45" s="154">
        <v>0</v>
      </c>
      <c r="Q45" s="154">
        <v>0</v>
      </c>
      <c r="S45" s="154">
        <f t="shared" si="3"/>
        <v>4972</v>
      </c>
      <c r="T45" s="154">
        <f t="shared" si="2"/>
        <v>4972</v>
      </c>
      <c r="V45" s="146" t="s">
        <v>647</v>
      </c>
      <c r="W45" s="146" t="s">
        <v>731</v>
      </c>
    </row>
    <row r="46" spans="2:23">
      <c r="B46" s="146" t="s">
        <v>654</v>
      </c>
      <c r="D46" s="146">
        <v>1001002006</v>
      </c>
      <c r="E46" s="146" t="str">
        <f>_xlfn.XLOOKUP(D46,'Detalhamento - G200'!A:A,'Detalhamento - G200'!B:B,0)</f>
        <v>CONTENÇÕES</v>
      </c>
      <c r="F46" s="175">
        <v>92407</v>
      </c>
      <c r="G46" s="175">
        <v>2445</v>
      </c>
      <c r="H46" s="146" t="s">
        <v>790</v>
      </c>
      <c r="I46" s="173">
        <v>46119</v>
      </c>
      <c r="J46" s="173">
        <v>46149</v>
      </c>
      <c r="K46" s="146" t="s">
        <v>620</v>
      </c>
      <c r="L46" s="146" t="s">
        <v>281</v>
      </c>
      <c r="M46" s="154">
        <v>16500</v>
      </c>
      <c r="N46" s="154">
        <v>0</v>
      </c>
      <c r="O46" s="154">
        <v>0</v>
      </c>
      <c r="P46" s="154">
        <v>0</v>
      </c>
      <c r="Q46" s="154">
        <v>0</v>
      </c>
      <c r="S46" s="154">
        <f t="shared" si="3"/>
        <v>16500</v>
      </c>
      <c r="T46" s="154">
        <f t="shared" si="2"/>
        <v>16500</v>
      </c>
      <c r="V46" s="146" t="s">
        <v>649</v>
      </c>
      <c r="W46" s="146" t="s">
        <v>731</v>
      </c>
    </row>
    <row r="47" spans="2:23" ht="36">
      <c r="B47" s="146" t="s">
        <v>654</v>
      </c>
      <c r="D47" s="146">
        <v>1001002006</v>
      </c>
      <c r="E47" s="146" t="str">
        <f>_xlfn.XLOOKUP(D47,'Detalhamento - G200'!A:A,'Detalhamento - G200'!B:B,0)</f>
        <v>CONTENÇÕES</v>
      </c>
      <c r="F47" s="175">
        <v>92409</v>
      </c>
      <c r="G47" s="175">
        <v>1947471</v>
      </c>
      <c r="H47" s="146" t="s">
        <v>790</v>
      </c>
      <c r="I47" s="173">
        <v>46119</v>
      </c>
      <c r="J47" s="173">
        <v>46147</v>
      </c>
      <c r="K47" s="146" t="s">
        <v>621</v>
      </c>
      <c r="L47" s="146" t="s">
        <v>280</v>
      </c>
      <c r="M47" s="154">
        <v>10619</v>
      </c>
      <c r="N47" s="154">
        <v>0</v>
      </c>
      <c r="O47" s="154">
        <v>0</v>
      </c>
      <c r="P47" s="154">
        <v>0</v>
      </c>
      <c r="Q47" s="154">
        <v>0</v>
      </c>
      <c r="S47" s="154">
        <f t="shared" si="3"/>
        <v>10619</v>
      </c>
      <c r="T47" s="154">
        <f t="shared" si="2"/>
        <v>10619</v>
      </c>
      <c r="V47" s="146" t="s">
        <v>650</v>
      </c>
      <c r="W47" s="146" t="s">
        <v>731</v>
      </c>
    </row>
    <row r="48" spans="2:23" ht="36">
      <c r="B48" s="146" t="s">
        <v>771</v>
      </c>
      <c r="D48" s="146">
        <v>2001001002</v>
      </c>
      <c r="E48" s="146" t="str">
        <f>_xlfn.XLOOKUP(D48,'Detalhamento - G200'!A:A,'Detalhamento - G200'!B:B,0)</f>
        <v>IMPLANTAÇÃO DE CANTEIRO - ELETRICA</v>
      </c>
      <c r="F48" s="175">
        <v>92476</v>
      </c>
      <c r="G48" s="175">
        <v>285034</v>
      </c>
      <c r="H48" s="146" t="s">
        <v>790</v>
      </c>
      <c r="I48" s="173">
        <v>46104</v>
      </c>
      <c r="J48" s="173">
        <v>46134</v>
      </c>
      <c r="K48" s="146" t="s">
        <v>606</v>
      </c>
      <c r="L48" s="146" t="s">
        <v>284</v>
      </c>
      <c r="M48" s="154">
        <v>6611.3</v>
      </c>
      <c r="N48" s="154">
        <v>0</v>
      </c>
      <c r="O48" s="154">
        <v>0</v>
      </c>
      <c r="P48" s="154">
        <v>0</v>
      </c>
      <c r="Q48" s="154">
        <v>0</v>
      </c>
      <c r="R48" s="154">
        <v>25.2</v>
      </c>
      <c r="S48" s="154">
        <f>M48-SUM(N48:R48)</f>
        <v>6586.1</v>
      </c>
      <c r="T48" s="154">
        <f t="shared" si="2"/>
        <v>6586.1</v>
      </c>
      <c r="V48" s="146" t="s">
        <v>643</v>
      </c>
      <c r="W48" s="146" t="s">
        <v>935</v>
      </c>
    </row>
    <row r="49" spans="2:23" ht="36">
      <c r="B49" s="146" t="s">
        <v>654</v>
      </c>
      <c r="D49" s="146">
        <v>2001001003</v>
      </c>
      <c r="E49" s="146" t="str">
        <f>_xlfn.XLOOKUP(D49,'Detalhamento - G200'!A:A,'Detalhamento - G200'!B:B,0)</f>
        <v>GERADOR BACK-UP</v>
      </c>
      <c r="F49" s="175">
        <v>92477</v>
      </c>
      <c r="G49" s="175">
        <v>4807</v>
      </c>
      <c r="H49" s="146" t="s">
        <v>790</v>
      </c>
      <c r="I49" s="173">
        <v>46121</v>
      </c>
      <c r="J49" s="173">
        <v>46147</v>
      </c>
      <c r="K49" s="146" t="s">
        <v>622</v>
      </c>
      <c r="L49" s="146" t="s">
        <v>283</v>
      </c>
      <c r="M49" s="154">
        <v>4300</v>
      </c>
      <c r="N49" s="154">
        <v>0</v>
      </c>
      <c r="O49" s="154">
        <v>0</v>
      </c>
      <c r="P49" s="154">
        <v>0</v>
      </c>
      <c r="Q49" s="154">
        <v>0</v>
      </c>
      <c r="S49" s="154">
        <f t="shared" si="3"/>
        <v>4300</v>
      </c>
      <c r="T49" s="154">
        <f t="shared" si="2"/>
        <v>4300</v>
      </c>
      <c r="V49" s="146" t="s">
        <v>652</v>
      </c>
      <c r="W49" s="146" t="s">
        <v>935</v>
      </c>
    </row>
    <row r="50" spans="2:23">
      <c r="B50" s="146" t="s">
        <v>604</v>
      </c>
      <c r="D50" s="146">
        <v>1001002003</v>
      </c>
      <c r="E50" s="146" t="str">
        <f>_xlfn.XLOOKUP(D50,'Detalhamento - G200'!A:A,'Detalhamento - G200'!B:B,0)</f>
        <v>MOVIMENTAÇÃO DE TERRA</v>
      </c>
      <c r="F50" s="175">
        <v>92706</v>
      </c>
      <c r="G50" s="175">
        <v>1409</v>
      </c>
      <c r="H50" s="146" t="s">
        <v>790</v>
      </c>
      <c r="I50" s="173">
        <v>45950</v>
      </c>
      <c r="J50" s="173">
        <v>46108</v>
      </c>
      <c r="K50" s="146" t="s">
        <v>431</v>
      </c>
      <c r="L50" s="146" t="s">
        <v>432</v>
      </c>
      <c r="M50" s="154">
        <v>1867841.56</v>
      </c>
      <c r="N50" s="154">
        <v>124211.47</v>
      </c>
      <c r="O50" s="154">
        <v>0</v>
      </c>
      <c r="P50" s="154">
        <v>1743630.09</v>
      </c>
      <c r="Q50" s="154">
        <v>0</v>
      </c>
      <c r="S50" s="154">
        <f t="shared" si="3"/>
        <v>0</v>
      </c>
      <c r="T50" s="154">
        <f t="shared" si="2"/>
        <v>124211.47</v>
      </c>
      <c r="V50" s="146" t="s">
        <v>644</v>
      </c>
      <c r="W50" s="146" t="s">
        <v>935</v>
      </c>
    </row>
    <row r="51" spans="2:23">
      <c r="B51" s="146" t="s">
        <v>604</v>
      </c>
      <c r="D51" s="146">
        <v>1001002003</v>
      </c>
      <c r="E51" s="146" t="str">
        <f>_xlfn.XLOOKUP(D51,'Detalhamento - G200'!A:A,'Detalhamento - G200'!B:B,0)</f>
        <v>MOVIMENTAÇÃO DE TERRA</v>
      </c>
      <c r="F51" s="175">
        <v>92708</v>
      </c>
      <c r="G51" s="175">
        <v>1442</v>
      </c>
      <c r="H51" s="146" t="s">
        <v>790</v>
      </c>
      <c r="I51" s="173">
        <v>46106</v>
      </c>
      <c r="J51" s="173">
        <v>46108</v>
      </c>
      <c r="K51" s="146" t="s">
        <v>431</v>
      </c>
      <c r="L51" s="146" t="s">
        <v>432</v>
      </c>
      <c r="M51" s="154">
        <v>1183359.6000000001</v>
      </c>
      <c r="N51" s="154">
        <v>78693.41</v>
      </c>
      <c r="O51" s="154">
        <v>0</v>
      </c>
      <c r="P51" s="154">
        <v>1104666.19</v>
      </c>
      <c r="Q51" s="154">
        <v>0</v>
      </c>
      <c r="S51" s="154">
        <f t="shared" si="3"/>
        <v>0</v>
      </c>
      <c r="T51" s="154">
        <f t="shared" si="2"/>
        <v>78693.41</v>
      </c>
      <c r="V51" s="146" t="s">
        <v>644</v>
      </c>
      <c r="W51" s="146" t="s">
        <v>935</v>
      </c>
    </row>
    <row r="52" spans="2:23" ht="36">
      <c r="B52" s="146" t="s">
        <v>605</v>
      </c>
      <c r="D52" s="146">
        <v>1001002003</v>
      </c>
      <c r="E52" s="146" t="str">
        <f>_xlfn.XLOOKUP(D52,'Detalhamento - G200'!A:A,'Detalhamento - G200'!B:B,0)</f>
        <v>MOVIMENTAÇÃO DE TERRA</v>
      </c>
      <c r="F52" s="175">
        <v>91903</v>
      </c>
      <c r="G52" s="175">
        <v>254319</v>
      </c>
      <c r="H52" s="146" t="s">
        <v>790</v>
      </c>
      <c r="I52" s="173">
        <v>46113</v>
      </c>
      <c r="J52" s="173">
        <v>46129</v>
      </c>
      <c r="K52" s="146" t="s">
        <v>607</v>
      </c>
      <c r="L52" s="146" t="s">
        <v>296</v>
      </c>
      <c r="M52" s="154">
        <v>15575</v>
      </c>
      <c r="N52" s="154">
        <v>0</v>
      </c>
      <c r="O52" s="154">
        <v>0</v>
      </c>
      <c r="P52" s="154">
        <v>0</v>
      </c>
      <c r="Q52" s="154">
        <v>0</v>
      </c>
      <c r="S52" s="154">
        <f t="shared" si="3"/>
        <v>15575</v>
      </c>
      <c r="T52" s="154">
        <f t="shared" si="2"/>
        <v>15575</v>
      </c>
      <c r="V52" s="146" t="s">
        <v>638</v>
      </c>
      <c r="W52" s="146" t="s">
        <v>295</v>
      </c>
    </row>
    <row r="53" spans="2:23" ht="36">
      <c r="B53" s="146" t="s">
        <v>605</v>
      </c>
      <c r="D53" s="146">
        <v>1001002003</v>
      </c>
      <c r="E53" s="146" t="str">
        <f>_xlfn.XLOOKUP(D53,'Detalhamento - G200'!A:A,'Detalhamento - G200'!B:B,0)</f>
        <v>MOVIMENTAÇÃO DE TERRA</v>
      </c>
      <c r="F53" s="175">
        <v>91905</v>
      </c>
      <c r="G53" s="175">
        <v>254321</v>
      </c>
      <c r="H53" s="146" t="s">
        <v>790</v>
      </c>
      <c r="I53" s="173">
        <v>46113</v>
      </c>
      <c r="J53" s="173">
        <v>46129</v>
      </c>
      <c r="K53" s="146" t="s">
        <v>607</v>
      </c>
      <c r="L53" s="146" t="s">
        <v>296</v>
      </c>
      <c r="M53" s="154">
        <v>42224</v>
      </c>
      <c r="N53" s="154">
        <v>0</v>
      </c>
      <c r="O53" s="154">
        <v>0</v>
      </c>
      <c r="P53" s="154">
        <v>0</v>
      </c>
      <c r="Q53" s="154">
        <v>0</v>
      </c>
      <c r="S53" s="154">
        <f t="shared" si="3"/>
        <v>42224</v>
      </c>
      <c r="T53" s="154">
        <f t="shared" si="2"/>
        <v>42224</v>
      </c>
      <c r="V53" s="146" t="s">
        <v>638</v>
      </c>
      <c r="W53" s="146" t="s">
        <v>295</v>
      </c>
    </row>
    <row r="54" spans="2:23" ht="36">
      <c r="B54" s="146" t="s">
        <v>605</v>
      </c>
      <c r="D54" s="146">
        <v>1001002003</v>
      </c>
      <c r="E54" s="146" t="str">
        <f>_xlfn.XLOOKUP(D54,'Detalhamento - G200'!A:A,'Detalhamento - G200'!B:B,0)</f>
        <v>MOVIMENTAÇÃO DE TERRA</v>
      </c>
      <c r="F54" s="175">
        <v>91908</v>
      </c>
      <c r="G54" s="175">
        <v>254322</v>
      </c>
      <c r="H54" s="146" t="s">
        <v>790</v>
      </c>
      <c r="I54" s="173">
        <v>46113</v>
      </c>
      <c r="J54" s="173">
        <v>46129</v>
      </c>
      <c r="K54" s="146" t="s">
        <v>607</v>
      </c>
      <c r="L54" s="146" t="s">
        <v>296</v>
      </c>
      <c r="M54" s="154">
        <v>40745.599999999999</v>
      </c>
      <c r="N54" s="154">
        <v>0</v>
      </c>
      <c r="O54" s="154">
        <v>0</v>
      </c>
      <c r="P54" s="154">
        <v>0</v>
      </c>
      <c r="Q54" s="154">
        <v>0</v>
      </c>
      <c r="S54" s="154">
        <f t="shared" si="3"/>
        <v>40745.599999999999</v>
      </c>
      <c r="T54" s="154">
        <f t="shared" si="2"/>
        <v>40745.599999999999</v>
      </c>
      <c r="V54" s="146" t="s">
        <v>638</v>
      </c>
      <c r="W54" s="146" t="s">
        <v>295</v>
      </c>
    </row>
    <row r="55" spans="2:23" ht="36">
      <c r="B55" s="146" t="s">
        <v>605</v>
      </c>
      <c r="D55" s="146">
        <v>1001002003</v>
      </c>
      <c r="E55" s="146" t="str">
        <f>_xlfn.XLOOKUP(D55,'Detalhamento - G200'!A:A,'Detalhamento - G200'!B:B,0)</f>
        <v>MOVIMENTAÇÃO DE TERRA</v>
      </c>
      <c r="F55" s="175">
        <v>94335</v>
      </c>
      <c r="G55" s="175">
        <v>345943</v>
      </c>
      <c r="H55" s="146" t="s">
        <v>814</v>
      </c>
      <c r="I55" s="173">
        <v>46114</v>
      </c>
      <c r="J55" s="173">
        <v>46135</v>
      </c>
      <c r="K55" s="146" t="s">
        <v>608</v>
      </c>
      <c r="L55" s="146" t="s">
        <v>297</v>
      </c>
      <c r="M55" s="154">
        <v>71780</v>
      </c>
      <c r="N55" s="154">
        <v>0</v>
      </c>
      <c r="O55" s="154">
        <v>0</v>
      </c>
      <c r="P55" s="154">
        <v>0</v>
      </c>
      <c r="Q55" s="154">
        <v>0</v>
      </c>
      <c r="S55" s="154">
        <f t="shared" si="3"/>
        <v>71780</v>
      </c>
      <c r="T55" s="154">
        <f t="shared" si="2"/>
        <v>71780</v>
      </c>
      <c r="V55" s="146" t="s">
        <v>639</v>
      </c>
      <c r="W55" s="146" t="s">
        <v>731</v>
      </c>
    </row>
    <row r="56" spans="2:23" ht="36">
      <c r="B56" s="146" t="s">
        <v>605</v>
      </c>
      <c r="D56" s="146">
        <v>1001002003</v>
      </c>
      <c r="E56" s="146" t="str">
        <f>_xlfn.XLOOKUP(D56,'Detalhamento - G200'!A:A,'Detalhamento - G200'!B:B,0)</f>
        <v>MOVIMENTAÇÃO DE TERRA</v>
      </c>
      <c r="F56" s="175">
        <v>94335</v>
      </c>
      <c r="G56" s="175">
        <v>345943</v>
      </c>
      <c r="H56" s="146" t="s">
        <v>814</v>
      </c>
      <c r="I56" s="173">
        <v>46114</v>
      </c>
      <c r="J56" s="173">
        <v>46136</v>
      </c>
      <c r="K56" s="146" t="s">
        <v>608</v>
      </c>
      <c r="L56" s="146" t="s">
        <v>297</v>
      </c>
      <c r="M56" s="154">
        <v>13580</v>
      </c>
      <c r="N56" s="154">
        <v>0</v>
      </c>
      <c r="O56" s="154">
        <v>0</v>
      </c>
      <c r="P56" s="154">
        <v>0</v>
      </c>
      <c r="Q56" s="154">
        <v>0</v>
      </c>
      <c r="S56" s="154">
        <f t="shared" si="3"/>
        <v>13580</v>
      </c>
      <c r="T56" s="154">
        <f t="shared" si="2"/>
        <v>13580</v>
      </c>
      <c r="V56" s="146" t="s">
        <v>639</v>
      </c>
      <c r="W56" s="146" t="s">
        <v>731</v>
      </c>
    </row>
    <row r="57" spans="2:23" ht="36">
      <c r="B57" s="146" t="s">
        <v>605</v>
      </c>
      <c r="D57" s="146">
        <v>1001002006</v>
      </c>
      <c r="E57" s="146" t="str">
        <f>_xlfn.XLOOKUP(D57,'Detalhamento - G200'!A:A,'Detalhamento - G200'!B:B,0)</f>
        <v>CONTENÇÕES</v>
      </c>
      <c r="F57" s="175">
        <v>94335</v>
      </c>
      <c r="G57" s="175">
        <v>345943</v>
      </c>
      <c r="H57" s="146" t="s">
        <v>814</v>
      </c>
      <c r="I57" s="173">
        <v>46114</v>
      </c>
      <c r="J57" s="173">
        <v>46137</v>
      </c>
      <c r="K57" s="146" t="s">
        <v>608</v>
      </c>
      <c r="L57" s="146" t="s">
        <v>297</v>
      </c>
      <c r="M57" s="154">
        <v>7920</v>
      </c>
      <c r="N57" s="154">
        <v>0</v>
      </c>
      <c r="O57" s="154">
        <v>0</v>
      </c>
      <c r="P57" s="154">
        <v>0</v>
      </c>
      <c r="Q57" s="154">
        <v>0</v>
      </c>
      <c r="S57" s="154">
        <f t="shared" si="3"/>
        <v>7920</v>
      </c>
      <c r="T57" s="154">
        <f t="shared" si="2"/>
        <v>7920</v>
      </c>
      <c r="V57" s="146" t="s">
        <v>639</v>
      </c>
      <c r="W57" s="146" t="s">
        <v>731</v>
      </c>
    </row>
    <row r="58" spans="2:23" ht="36">
      <c r="B58" s="146" t="s">
        <v>605</v>
      </c>
      <c r="D58" s="146">
        <v>2001001002</v>
      </c>
      <c r="E58" s="146" t="str">
        <f>_xlfn.XLOOKUP(D58,'Detalhamento - G200'!A:A,'Detalhamento - G200'!B:B,0)</f>
        <v>IMPLANTAÇÃO DE CANTEIRO - ELETRICA</v>
      </c>
      <c r="F58" s="175">
        <v>92009</v>
      </c>
      <c r="G58" s="175">
        <v>15180</v>
      </c>
      <c r="H58" s="146" t="s">
        <v>790</v>
      </c>
      <c r="I58" s="173">
        <v>46111</v>
      </c>
      <c r="J58" s="173">
        <v>46141</v>
      </c>
      <c r="K58" s="146" t="s">
        <v>783</v>
      </c>
      <c r="L58" s="146" t="s">
        <v>787</v>
      </c>
      <c r="M58" s="154">
        <v>183.06</v>
      </c>
      <c r="N58" s="154">
        <v>0</v>
      </c>
      <c r="O58" s="154">
        <v>0</v>
      </c>
      <c r="P58" s="154">
        <v>0</v>
      </c>
      <c r="Q58" s="154">
        <v>0</v>
      </c>
      <c r="S58" s="154">
        <f t="shared" ref="S58:S61" si="4">M58-SUM(N58:Q58)</f>
        <v>183.06</v>
      </c>
      <c r="T58" s="154">
        <f t="shared" si="2"/>
        <v>183.06</v>
      </c>
      <c r="V58" s="146" t="s">
        <v>640</v>
      </c>
      <c r="W58" s="146" t="s">
        <v>935</v>
      </c>
    </row>
    <row r="59" spans="2:23" ht="36">
      <c r="B59" s="146" t="s">
        <v>605</v>
      </c>
      <c r="D59" s="146">
        <v>2001001010</v>
      </c>
      <c r="E59" s="146" t="str">
        <f>_xlfn.XLOOKUP(D59,'Detalhamento - G200'!A:A,'Detalhamento - G200'!B:B,0)</f>
        <v>MANUTENÇÃO DE CANTEIRO</v>
      </c>
      <c r="F59" s="175">
        <v>92011</v>
      </c>
      <c r="G59" s="175">
        <v>5045</v>
      </c>
      <c r="H59" s="146" t="s">
        <v>790</v>
      </c>
      <c r="I59" s="173">
        <v>46113</v>
      </c>
      <c r="J59" s="173">
        <v>46143</v>
      </c>
      <c r="K59" s="146" t="s">
        <v>784</v>
      </c>
      <c r="L59" s="146" t="s">
        <v>788</v>
      </c>
      <c r="M59" s="154">
        <v>795</v>
      </c>
      <c r="N59" s="154">
        <v>0</v>
      </c>
      <c r="O59" s="154">
        <v>0</v>
      </c>
      <c r="P59" s="154">
        <v>0</v>
      </c>
      <c r="Q59" s="154">
        <v>0</v>
      </c>
      <c r="S59" s="154">
        <f t="shared" si="4"/>
        <v>795</v>
      </c>
      <c r="T59" s="154">
        <f t="shared" si="2"/>
        <v>795</v>
      </c>
      <c r="V59" s="146" t="s">
        <v>651</v>
      </c>
      <c r="W59" s="146" t="s">
        <v>935</v>
      </c>
    </row>
    <row r="60" spans="2:23">
      <c r="B60" s="146" t="s">
        <v>605</v>
      </c>
      <c r="D60" s="146">
        <v>2001008001</v>
      </c>
      <c r="E60" s="146" t="str">
        <f>_xlfn.XLOOKUP(D60,'Detalhamento - G200'!A:A,'Detalhamento - G200'!B:B,0)</f>
        <v>MATERIAIS DE COPA E LIMPEZA</v>
      </c>
      <c r="F60" s="175">
        <v>92019</v>
      </c>
      <c r="G60" s="175">
        <v>368600</v>
      </c>
      <c r="H60" s="146" t="s">
        <v>790</v>
      </c>
      <c r="I60" s="173">
        <v>46113</v>
      </c>
      <c r="J60" s="173">
        <v>46139</v>
      </c>
      <c r="K60" s="146" t="s">
        <v>785</v>
      </c>
      <c r="L60" s="146" t="s">
        <v>287</v>
      </c>
      <c r="M60" s="154">
        <v>1367.3</v>
      </c>
      <c r="N60" s="154">
        <v>0</v>
      </c>
      <c r="O60" s="154">
        <v>0</v>
      </c>
      <c r="P60" s="154">
        <v>0</v>
      </c>
      <c r="Q60" s="154">
        <v>0</v>
      </c>
      <c r="S60" s="154">
        <f t="shared" si="4"/>
        <v>1367.3</v>
      </c>
      <c r="T60" s="154">
        <f t="shared" si="2"/>
        <v>1367.3</v>
      </c>
      <c r="V60" s="146" t="s">
        <v>641</v>
      </c>
      <c r="W60" s="146" t="s">
        <v>935</v>
      </c>
    </row>
    <row r="61" spans="2:23">
      <c r="B61" s="146" t="s">
        <v>605</v>
      </c>
      <c r="D61" s="146">
        <v>1002002001</v>
      </c>
      <c r="E61" s="146" t="str">
        <f>_xlfn.XLOOKUP(D61,'Detalhamento - G200'!A:A,'Detalhamento - G200'!B:B,0)</f>
        <v>FUNDAÇÃO</v>
      </c>
      <c r="F61" s="175">
        <v>92031</v>
      </c>
      <c r="G61" s="175">
        <v>5975</v>
      </c>
      <c r="H61" s="146" t="s">
        <v>790</v>
      </c>
      <c r="I61" s="173">
        <v>46112</v>
      </c>
      <c r="J61" s="173">
        <v>46142</v>
      </c>
      <c r="K61" s="146" t="s">
        <v>786</v>
      </c>
      <c r="L61" s="146" t="s">
        <v>789</v>
      </c>
      <c r="M61" s="154">
        <v>6635</v>
      </c>
      <c r="N61" s="154">
        <v>0</v>
      </c>
      <c r="O61" s="154">
        <v>0</v>
      </c>
      <c r="P61" s="154">
        <v>0</v>
      </c>
      <c r="Q61" s="154">
        <v>0</v>
      </c>
      <c r="S61" s="154">
        <f t="shared" si="4"/>
        <v>6635</v>
      </c>
      <c r="T61" s="154">
        <f t="shared" si="2"/>
        <v>6635</v>
      </c>
      <c r="V61" s="146" t="s">
        <v>642</v>
      </c>
      <c r="W61" s="146" t="s">
        <v>935</v>
      </c>
    </row>
    <row r="62" spans="2:23" ht="36">
      <c r="B62" s="146" t="s">
        <v>756</v>
      </c>
      <c r="D62" s="146">
        <v>1002002001</v>
      </c>
      <c r="E62" s="146" t="str">
        <f>_xlfn.XLOOKUP(D62,'Detalhamento - G200'!A:A,'Detalhamento - G200'!B:B,0)</f>
        <v>FUNDAÇÃO</v>
      </c>
      <c r="F62" s="175" t="s">
        <v>742</v>
      </c>
      <c r="G62" s="175" t="s">
        <v>627</v>
      </c>
      <c r="H62" s="146" t="s">
        <v>814</v>
      </c>
      <c r="I62" s="173">
        <v>46125</v>
      </c>
      <c r="J62" s="173">
        <v>46136</v>
      </c>
      <c r="K62" s="146" t="s">
        <v>743</v>
      </c>
      <c r="L62" s="146" t="s">
        <v>741</v>
      </c>
      <c r="M62" s="154">
        <v>1000000</v>
      </c>
      <c r="N62" s="154">
        <v>0</v>
      </c>
      <c r="O62" s="154">
        <v>0</v>
      </c>
      <c r="P62" s="154">
        <v>0</v>
      </c>
      <c r="Q62" s="154">
        <v>0</v>
      </c>
      <c r="S62" s="154">
        <f t="shared" si="3"/>
        <v>1000000</v>
      </c>
      <c r="T62" s="154">
        <f t="shared" si="2"/>
        <v>1000000</v>
      </c>
      <c r="V62" s="146" t="s">
        <v>740</v>
      </c>
      <c r="W62" s="146" t="s">
        <v>935</v>
      </c>
    </row>
    <row r="63" spans="2:23" ht="17.45" customHeight="1">
      <c r="B63" s="146" t="s">
        <v>771</v>
      </c>
      <c r="D63" s="146">
        <v>1001001001</v>
      </c>
      <c r="E63" s="146" t="str">
        <f>_xlfn.XLOOKUP(D63,'Detalhamento - G200'!A:A,'Detalhamento - G200'!B:B,0)</f>
        <v>PROJETOS</v>
      </c>
      <c r="F63" s="175">
        <v>93300</v>
      </c>
      <c r="G63" s="175">
        <v>1343</v>
      </c>
      <c r="H63" s="146" t="s">
        <v>792</v>
      </c>
      <c r="I63" s="173">
        <v>46134</v>
      </c>
      <c r="J63" s="173">
        <v>46147</v>
      </c>
      <c r="K63" s="146" t="s">
        <v>419</v>
      </c>
      <c r="L63" s="146" t="s">
        <v>318</v>
      </c>
      <c r="M63" s="154">
        <v>35400</v>
      </c>
      <c r="N63" s="154">
        <v>2177.1</v>
      </c>
      <c r="O63" s="154">
        <v>0</v>
      </c>
      <c r="P63" s="154">
        <v>0</v>
      </c>
      <c r="Q63" s="154">
        <v>0</v>
      </c>
      <c r="R63" s="154">
        <v>0</v>
      </c>
      <c r="S63" s="154">
        <f>M63-SUM(N63:R63)</f>
        <v>33222.9</v>
      </c>
      <c r="T63" s="154">
        <f t="shared" si="2"/>
        <v>35400</v>
      </c>
      <c r="V63" s="146" t="s">
        <v>317</v>
      </c>
      <c r="W63" s="146" t="s">
        <v>317</v>
      </c>
    </row>
    <row r="64" spans="2:23">
      <c r="B64" s="146" t="s">
        <v>771</v>
      </c>
      <c r="D64" s="146">
        <v>1001001002</v>
      </c>
      <c r="E64" s="146" t="str">
        <f>_xlfn.XLOOKUP(D64,'Detalhamento - G200'!A:A,'Detalhamento - G200'!B:B,0)</f>
        <v>ENSAIOS E CONSULTORIAS</v>
      </c>
      <c r="F64" s="175">
        <v>93383</v>
      </c>
      <c r="G64" s="175">
        <v>394</v>
      </c>
      <c r="H64" s="146" t="s">
        <v>792</v>
      </c>
      <c r="I64" s="173">
        <v>46135</v>
      </c>
      <c r="J64" s="173">
        <v>46147</v>
      </c>
      <c r="K64" s="146" t="s">
        <v>430</v>
      </c>
      <c r="L64" s="146" t="s">
        <v>354</v>
      </c>
      <c r="M64" s="154">
        <v>32975.32</v>
      </c>
      <c r="N64" s="154">
        <v>1648.77</v>
      </c>
      <c r="O64" s="154">
        <v>1648.77</v>
      </c>
      <c r="P64" s="154">
        <v>0</v>
      </c>
      <c r="Q64" s="154">
        <v>0</v>
      </c>
      <c r="R64" s="154">
        <v>0</v>
      </c>
      <c r="S64" s="154">
        <f t="shared" ref="S64:S80" si="5">M64-SUM(N64:R64)</f>
        <v>29677.78</v>
      </c>
      <c r="T64" s="154">
        <f t="shared" si="2"/>
        <v>31326.55</v>
      </c>
      <c r="V64" s="146" t="s">
        <v>353</v>
      </c>
      <c r="W64" s="146" t="s">
        <v>353</v>
      </c>
    </row>
    <row r="65" spans="2:23" ht="36">
      <c r="B65" s="146" t="s">
        <v>771</v>
      </c>
      <c r="D65" s="146">
        <v>1001002003</v>
      </c>
      <c r="E65" s="146" t="str">
        <f>_xlfn.XLOOKUP(D65,'Detalhamento - G200'!A:A,'Detalhamento - G200'!B:B,0)</f>
        <v>MOVIMENTAÇÃO DE TERRA</v>
      </c>
      <c r="F65" s="175">
        <v>93320</v>
      </c>
      <c r="G65" s="175">
        <v>1170</v>
      </c>
      <c r="H65" s="146" t="s">
        <v>792</v>
      </c>
      <c r="I65" s="173">
        <v>46134</v>
      </c>
      <c r="J65" s="173">
        <v>46147</v>
      </c>
      <c r="K65" s="146" t="s">
        <v>425</v>
      </c>
      <c r="L65" s="146" t="s">
        <v>356</v>
      </c>
      <c r="M65" s="154">
        <v>1077971.72</v>
      </c>
      <c r="N65" s="154">
        <v>71685.119999999995</v>
      </c>
      <c r="O65" s="154">
        <v>53898.59</v>
      </c>
      <c r="P65" s="154">
        <v>215594.34</v>
      </c>
      <c r="Q65" s="154">
        <v>0</v>
      </c>
      <c r="R65" s="154">
        <v>0</v>
      </c>
      <c r="S65" s="154">
        <f t="shared" si="5"/>
        <v>736793.66999999993</v>
      </c>
      <c r="T65" s="154">
        <f t="shared" si="2"/>
        <v>808478.78999999992</v>
      </c>
      <c r="V65" s="146" t="s">
        <v>295</v>
      </c>
      <c r="W65" s="146" t="s">
        <v>295</v>
      </c>
    </row>
    <row r="66" spans="2:23">
      <c r="B66" s="146" t="s">
        <v>771</v>
      </c>
      <c r="D66" s="146">
        <v>2003001001</v>
      </c>
      <c r="E66" s="146" t="str">
        <f>_xlfn.XLOOKUP(D66,'Detalhamento - G200'!A:A,'Detalhamento - G200'!B:B,0)</f>
        <v>FEE</v>
      </c>
      <c r="F66" s="175">
        <v>93396</v>
      </c>
      <c r="G66" s="175">
        <v>185</v>
      </c>
      <c r="H66" s="146" t="s">
        <v>792</v>
      </c>
      <c r="I66" s="173">
        <v>46135</v>
      </c>
      <c r="J66" s="173">
        <v>46147</v>
      </c>
      <c r="K66" s="146" t="s">
        <v>408</v>
      </c>
      <c r="L66" s="146" t="s">
        <v>315</v>
      </c>
      <c r="M66" s="154">
        <v>1064825.3700000001</v>
      </c>
      <c r="N66" s="154">
        <v>53241.27</v>
      </c>
      <c r="O66" s="154">
        <v>53241.27</v>
      </c>
      <c r="P66" s="154">
        <v>241657.65</v>
      </c>
      <c r="Q66" s="154">
        <v>0</v>
      </c>
      <c r="R66" s="154">
        <v>0</v>
      </c>
      <c r="S66" s="154">
        <f t="shared" si="5"/>
        <v>716685.18000000017</v>
      </c>
      <c r="T66" s="154">
        <f t="shared" si="2"/>
        <v>769926.45000000019</v>
      </c>
      <c r="V66" s="146" t="s">
        <v>314</v>
      </c>
      <c r="W66" s="146" t="s">
        <v>314</v>
      </c>
    </row>
    <row r="67" spans="2:23" ht="72">
      <c r="B67" s="146" t="s">
        <v>771</v>
      </c>
      <c r="D67" s="146">
        <v>2001025001</v>
      </c>
      <c r="E67" s="146" t="str">
        <f>_xlfn.XLOOKUP(D67,'Detalhamento - G200'!A:A,'Detalhamento - G200'!B:B,0)</f>
        <v>DESPESAS INDIRETAS DE OBRA, CANTEIRO, INSTALAÇÕES PROVISÓRIAS - FATURAMENTO QPC</v>
      </c>
      <c r="F67" s="175">
        <v>93400</v>
      </c>
      <c r="G67" s="175">
        <v>184</v>
      </c>
      <c r="H67" s="146" t="s">
        <v>792</v>
      </c>
      <c r="I67" s="173">
        <v>46135</v>
      </c>
      <c r="J67" s="173">
        <v>46147</v>
      </c>
      <c r="K67" s="146" t="s">
        <v>408</v>
      </c>
      <c r="L67" s="146" t="s">
        <v>315</v>
      </c>
      <c r="M67" s="154">
        <v>666666.67000000004</v>
      </c>
      <c r="N67" s="154">
        <v>33333.329527850001</v>
      </c>
      <c r="O67" s="154">
        <v>0</v>
      </c>
      <c r="P67" s="154">
        <v>66197.733507083132</v>
      </c>
      <c r="Q67" s="154">
        <v>0</v>
      </c>
      <c r="R67" s="154">
        <v>0</v>
      </c>
      <c r="S67" s="154">
        <f t="shared" si="5"/>
        <v>567135.60696506687</v>
      </c>
      <c r="T67" s="154">
        <f t="shared" si="2"/>
        <v>600468.9364929169</v>
      </c>
      <c r="V67" s="146" t="s">
        <v>314</v>
      </c>
      <c r="W67" s="146" t="s">
        <v>314</v>
      </c>
    </row>
    <row r="68" spans="2:23">
      <c r="B68" s="146" t="s">
        <v>771</v>
      </c>
      <c r="D68" s="146">
        <v>2003001001</v>
      </c>
      <c r="E68" s="146" t="str">
        <f>_xlfn.XLOOKUP(D68,'Detalhamento - G200'!A:A,'Detalhamento - G200'!B:B,0)</f>
        <v>FEE</v>
      </c>
      <c r="F68" s="175">
        <v>93400</v>
      </c>
      <c r="G68" s="175">
        <v>184</v>
      </c>
      <c r="H68" s="146" t="s">
        <v>792</v>
      </c>
      <c r="I68" s="173">
        <v>46135</v>
      </c>
      <c r="J68" s="173">
        <v>46147</v>
      </c>
      <c r="K68" s="146" t="s">
        <v>408</v>
      </c>
      <c r="L68" s="146" t="s">
        <v>315</v>
      </c>
      <c r="M68" s="154">
        <v>88591.82</v>
      </c>
      <c r="N68" s="154">
        <v>4429.5904721500101</v>
      </c>
      <c r="O68" s="154">
        <v>0</v>
      </c>
      <c r="P68" s="154">
        <v>8796.8664929168808</v>
      </c>
      <c r="Q68" s="154">
        <v>0</v>
      </c>
      <c r="R68" s="154">
        <v>0</v>
      </c>
      <c r="S68" s="154">
        <f t="shared" si="5"/>
        <v>75365.363034933122</v>
      </c>
      <c r="T68" s="154">
        <f t="shared" si="2"/>
        <v>79794.953507083133</v>
      </c>
      <c r="V68" s="146" t="s">
        <v>314</v>
      </c>
      <c r="W68" s="146" t="s">
        <v>314</v>
      </c>
    </row>
    <row r="69" spans="2:23" ht="36">
      <c r="B69" s="146" t="s">
        <v>771</v>
      </c>
      <c r="D69" s="146">
        <v>2002001001</v>
      </c>
      <c r="E69" s="146" t="str">
        <f>_xlfn.XLOOKUP(D69,'Detalhamento - G200'!A:A,'Detalhamento - G200'!B:B,0)</f>
        <v>SALÁRIOS, DISSÍDIO/REAJUSTE E AJUDA DE CUSTO</v>
      </c>
      <c r="F69" s="175">
        <v>93402</v>
      </c>
      <c r="G69" s="175">
        <v>183</v>
      </c>
      <c r="H69" s="146" t="s">
        <v>792</v>
      </c>
      <c r="I69" s="173">
        <v>46135</v>
      </c>
      <c r="J69" s="173">
        <v>46147</v>
      </c>
      <c r="K69" s="146" t="s">
        <v>408</v>
      </c>
      <c r="L69" s="146" t="s">
        <v>315</v>
      </c>
      <c r="M69" s="154">
        <v>2308951.6800000002</v>
      </c>
      <c r="N69" s="154">
        <v>204339.39418</v>
      </c>
      <c r="O69" s="154">
        <v>0</v>
      </c>
      <c r="P69" s="154">
        <v>425035.09490000003</v>
      </c>
      <c r="Q69" s="154">
        <v>0</v>
      </c>
      <c r="R69" s="154">
        <v>0</v>
      </c>
      <c r="S69" s="154">
        <f t="shared" si="5"/>
        <v>1679577.1909200002</v>
      </c>
      <c r="T69" s="154">
        <f t="shared" si="2"/>
        <v>1883916.5851000003</v>
      </c>
      <c r="V69" s="146" t="s">
        <v>314</v>
      </c>
      <c r="W69" s="146" t="s">
        <v>314</v>
      </c>
    </row>
    <row r="70" spans="2:23">
      <c r="B70" s="146" t="s">
        <v>771</v>
      </c>
      <c r="D70" s="146">
        <v>2003001001</v>
      </c>
      <c r="E70" s="146" t="str">
        <f>_xlfn.XLOOKUP(D70,'Detalhamento - G200'!A:A,'Detalhamento - G200'!B:B,0)</f>
        <v>FEE</v>
      </c>
      <c r="F70" s="175">
        <v>93402</v>
      </c>
      <c r="G70" s="175">
        <v>183</v>
      </c>
      <c r="H70" s="146" t="s">
        <v>792</v>
      </c>
      <c r="I70" s="173">
        <v>46135</v>
      </c>
      <c r="J70" s="173">
        <v>46147</v>
      </c>
      <c r="K70" s="146" t="s">
        <v>408</v>
      </c>
      <c r="L70" s="146" t="s">
        <v>315</v>
      </c>
      <c r="M70" s="154">
        <v>357237.35</v>
      </c>
      <c r="N70" s="154">
        <v>31618.33582</v>
      </c>
      <c r="O70" s="154">
        <v>0</v>
      </c>
      <c r="P70" s="154">
        <v>65767.555099999998</v>
      </c>
      <c r="Q70" s="154">
        <v>0</v>
      </c>
      <c r="R70" s="154">
        <v>0</v>
      </c>
      <c r="S70" s="154">
        <f t="shared" si="5"/>
        <v>259851.45907999997</v>
      </c>
      <c r="T70" s="154">
        <f t="shared" si="2"/>
        <v>291469.79489999998</v>
      </c>
      <c r="V70" s="146" t="s">
        <v>314</v>
      </c>
      <c r="W70" s="146" t="s">
        <v>314</v>
      </c>
    </row>
    <row r="71" spans="2:23" ht="36">
      <c r="B71" s="146" t="s">
        <v>771</v>
      </c>
      <c r="D71" s="146">
        <v>1001002003</v>
      </c>
      <c r="E71" s="146" t="str">
        <f>_xlfn.XLOOKUP(D71,'Detalhamento - G200'!A:A,'Detalhamento - G200'!B:B,0)</f>
        <v>MOVIMENTAÇÃO DE TERRA</v>
      </c>
      <c r="F71" s="175">
        <v>93379</v>
      </c>
      <c r="G71" s="175">
        <v>255235</v>
      </c>
      <c r="H71" s="146" t="s">
        <v>790</v>
      </c>
      <c r="I71" s="173">
        <v>46127</v>
      </c>
      <c r="J71" s="173">
        <v>46157</v>
      </c>
      <c r="K71" s="146" t="s">
        <v>607</v>
      </c>
      <c r="L71" s="146" t="s">
        <v>296</v>
      </c>
      <c r="M71" s="154">
        <v>1204</v>
      </c>
      <c r="N71" s="154">
        <v>0</v>
      </c>
      <c r="O71" s="154">
        <v>0</v>
      </c>
      <c r="P71" s="154">
        <v>0</v>
      </c>
      <c r="Q71" s="154">
        <v>0</v>
      </c>
      <c r="R71" s="154">
        <v>0</v>
      </c>
      <c r="S71" s="154">
        <f t="shared" si="5"/>
        <v>1204</v>
      </c>
      <c r="T71" s="154">
        <f t="shared" ref="T71:T137" si="6">N71+S71</f>
        <v>1204</v>
      </c>
      <c r="V71" s="146" t="s">
        <v>638</v>
      </c>
      <c r="W71" s="146" t="s">
        <v>295</v>
      </c>
    </row>
    <row r="72" spans="2:23" ht="36">
      <c r="B72" s="146" t="s">
        <v>771</v>
      </c>
      <c r="D72" s="146">
        <v>1001002003</v>
      </c>
      <c r="E72" s="146" t="str">
        <f>_xlfn.XLOOKUP(D72,'Detalhamento - G200'!A:A,'Detalhamento - G200'!B:B,0)</f>
        <v>MOVIMENTAÇÃO DE TERRA</v>
      </c>
      <c r="F72" s="175">
        <v>93378</v>
      </c>
      <c r="G72" s="175">
        <v>255236</v>
      </c>
      <c r="H72" s="146" t="s">
        <v>790</v>
      </c>
      <c r="I72" s="173">
        <v>46127</v>
      </c>
      <c r="J72" s="173">
        <v>46157</v>
      </c>
      <c r="K72" s="146" t="s">
        <v>607</v>
      </c>
      <c r="L72" s="146" t="s">
        <v>296</v>
      </c>
      <c r="M72" s="154">
        <v>1316.32</v>
      </c>
      <c r="N72" s="154">
        <v>0</v>
      </c>
      <c r="O72" s="154">
        <v>0</v>
      </c>
      <c r="P72" s="154">
        <v>0</v>
      </c>
      <c r="Q72" s="154">
        <v>0</v>
      </c>
      <c r="R72" s="154">
        <v>0</v>
      </c>
      <c r="S72" s="154">
        <f t="shared" ref="S72:S79" si="7">M72-SUM(N72:R72)</f>
        <v>1316.32</v>
      </c>
      <c r="T72" s="154">
        <f t="shared" si="6"/>
        <v>1316.32</v>
      </c>
      <c r="V72" s="146" t="s">
        <v>638</v>
      </c>
      <c r="W72" s="146" t="s">
        <v>295</v>
      </c>
    </row>
    <row r="73" spans="2:23" ht="36">
      <c r="B73" s="146" t="s">
        <v>771</v>
      </c>
      <c r="D73" s="146">
        <v>1001002003</v>
      </c>
      <c r="E73" s="146" t="str">
        <f>_xlfn.XLOOKUP(D73,'Detalhamento - G200'!A:A,'Detalhamento - G200'!B:B,0)</f>
        <v>MOVIMENTAÇÃO DE TERRA</v>
      </c>
      <c r="F73" s="175">
        <v>93372</v>
      </c>
      <c r="G73" s="175">
        <v>255237</v>
      </c>
      <c r="H73" s="146" t="s">
        <v>790</v>
      </c>
      <c r="I73" s="173">
        <v>46127</v>
      </c>
      <c r="J73" s="173">
        <v>46157</v>
      </c>
      <c r="K73" s="146" t="s">
        <v>607</v>
      </c>
      <c r="L73" s="146" t="s">
        <v>296</v>
      </c>
      <c r="M73" s="154">
        <v>46567.45</v>
      </c>
      <c r="N73" s="154">
        <v>0</v>
      </c>
      <c r="O73" s="154">
        <v>0</v>
      </c>
      <c r="P73" s="154">
        <v>0</v>
      </c>
      <c r="Q73" s="154">
        <v>0</v>
      </c>
      <c r="R73" s="154">
        <v>0</v>
      </c>
      <c r="S73" s="154">
        <f t="shared" si="7"/>
        <v>46567.45</v>
      </c>
      <c r="T73" s="154">
        <f t="shared" si="6"/>
        <v>46567.45</v>
      </c>
      <c r="V73" s="146" t="s">
        <v>638</v>
      </c>
      <c r="W73" s="146" t="s">
        <v>295</v>
      </c>
    </row>
    <row r="74" spans="2:23" ht="36">
      <c r="B74" s="146" t="s">
        <v>771</v>
      </c>
      <c r="D74" s="146">
        <v>1001002003</v>
      </c>
      <c r="E74" s="146" t="str">
        <f>_xlfn.XLOOKUP(D74,'Detalhamento - G200'!A:A,'Detalhamento - G200'!B:B,0)</f>
        <v>MOVIMENTAÇÃO DE TERRA</v>
      </c>
      <c r="F74" s="175">
        <v>93371</v>
      </c>
      <c r="G74" s="175">
        <v>255239</v>
      </c>
      <c r="H74" s="146" t="s">
        <v>790</v>
      </c>
      <c r="I74" s="173">
        <v>46127</v>
      </c>
      <c r="J74" s="173">
        <v>46157</v>
      </c>
      <c r="K74" s="146" t="s">
        <v>607</v>
      </c>
      <c r="L74" s="146" t="s">
        <v>296</v>
      </c>
      <c r="M74" s="154">
        <v>28795.26</v>
      </c>
      <c r="N74" s="154">
        <v>0</v>
      </c>
      <c r="O74" s="154">
        <v>0</v>
      </c>
      <c r="P74" s="154">
        <v>0</v>
      </c>
      <c r="Q74" s="154">
        <v>0</v>
      </c>
      <c r="R74" s="154">
        <v>0</v>
      </c>
      <c r="S74" s="154">
        <f t="shared" si="7"/>
        <v>28795.26</v>
      </c>
      <c r="T74" s="154">
        <f t="shared" si="6"/>
        <v>28795.26</v>
      </c>
      <c r="V74" s="146" t="s">
        <v>638</v>
      </c>
      <c r="W74" s="146" t="s">
        <v>295</v>
      </c>
    </row>
    <row r="75" spans="2:23" ht="36">
      <c r="B75" s="146" t="s">
        <v>771</v>
      </c>
      <c r="D75" s="146">
        <v>1001002003</v>
      </c>
      <c r="E75" s="146" t="str">
        <f>_xlfn.XLOOKUP(D75,'Detalhamento - G200'!A:A,'Detalhamento - G200'!B:B,0)</f>
        <v>MOVIMENTAÇÃO DE TERRA</v>
      </c>
      <c r="F75" s="175">
        <v>93370</v>
      </c>
      <c r="G75" s="175">
        <v>255240</v>
      </c>
      <c r="H75" s="146" t="s">
        <v>790</v>
      </c>
      <c r="I75" s="173">
        <v>46127</v>
      </c>
      <c r="J75" s="173">
        <v>46157</v>
      </c>
      <c r="K75" s="146" t="s">
        <v>607</v>
      </c>
      <c r="L75" s="146" t="s">
        <v>296</v>
      </c>
      <c r="M75" s="154">
        <v>54938.97</v>
      </c>
      <c r="N75" s="154">
        <v>0</v>
      </c>
      <c r="O75" s="154">
        <v>0</v>
      </c>
      <c r="P75" s="154">
        <v>0</v>
      </c>
      <c r="Q75" s="154">
        <v>0</v>
      </c>
      <c r="R75" s="154">
        <v>0</v>
      </c>
      <c r="S75" s="154">
        <f t="shared" si="7"/>
        <v>54938.97</v>
      </c>
      <c r="T75" s="154">
        <f t="shared" si="6"/>
        <v>54938.97</v>
      </c>
      <c r="V75" s="146" t="s">
        <v>638</v>
      </c>
      <c r="W75" s="146" t="s">
        <v>295</v>
      </c>
    </row>
    <row r="76" spans="2:23" ht="36">
      <c r="B76" s="146" t="s">
        <v>771</v>
      </c>
      <c r="D76" s="146">
        <v>1001002003</v>
      </c>
      <c r="E76" s="146" t="str">
        <f>_xlfn.XLOOKUP(D76,'Detalhamento - G200'!A:A,'Detalhamento - G200'!B:B,0)</f>
        <v>MOVIMENTAÇÃO DE TERRA</v>
      </c>
      <c r="F76" s="175">
        <v>93369</v>
      </c>
      <c r="G76" s="175">
        <v>255241</v>
      </c>
      <c r="H76" s="146" t="s">
        <v>790</v>
      </c>
      <c r="I76" s="173">
        <v>46127</v>
      </c>
      <c r="J76" s="173">
        <v>46157</v>
      </c>
      <c r="K76" s="146" t="s">
        <v>607</v>
      </c>
      <c r="L76" s="146" t="s">
        <v>296</v>
      </c>
      <c r="M76" s="154">
        <v>51864.54</v>
      </c>
      <c r="N76" s="154">
        <v>0</v>
      </c>
      <c r="O76" s="154">
        <v>0</v>
      </c>
      <c r="P76" s="154">
        <v>0</v>
      </c>
      <c r="Q76" s="154">
        <v>0</v>
      </c>
      <c r="R76" s="154">
        <v>0</v>
      </c>
      <c r="S76" s="154">
        <f t="shared" si="7"/>
        <v>51864.54</v>
      </c>
      <c r="T76" s="154">
        <f t="shared" si="6"/>
        <v>51864.54</v>
      </c>
      <c r="V76" s="146" t="s">
        <v>638</v>
      </c>
      <c r="W76" s="146" t="s">
        <v>295</v>
      </c>
    </row>
    <row r="77" spans="2:23" ht="36">
      <c r="B77" s="146" t="s">
        <v>771</v>
      </c>
      <c r="D77" s="146">
        <v>1001002003</v>
      </c>
      <c r="E77" s="146" t="str">
        <f>_xlfn.XLOOKUP(D77,'Detalhamento - G200'!A:A,'Detalhamento - G200'!B:B,0)</f>
        <v>MOVIMENTAÇÃO DE TERRA</v>
      </c>
      <c r="F77" s="175">
        <v>93368</v>
      </c>
      <c r="G77" s="175">
        <v>255242</v>
      </c>
      <c r="H77" s="146" t="s">
        <v>790</v>
      </c>
      <c r="I77" s="173">
        <v>46127</v>
      </c>
      <c r="J77" s="173">
        <v>46157</v>
      </c>
      <c r="K77" s="146" t="s">
        <v>607</v>
      </c>
      <c r="L77" s="146" t="s">
        <v>296</v>
      </c>
      <c r="M77" s="154">
        <v>65210.34</v>
      </c>
      <c r="N77" s="154">
        <v>0</v>
      </c>
      <c r="O77" s="154">
        <v>0</v>
      </c>
      <c r="P77" s="154">
        <v>0</v>
      </c>
      <c r="Q77" s="154">
        <v>0</v>
      </c>
      <c r="R77" s="154">
        <v>0</v>
      </c>
      <c r="S77" s="154">
        <f t="shared" si="7"/>
        <v>65210.34</v>
      </c>
      <c r="T77" s="154">
        <f t="shared" si="6"/>
        <v>65210.34</v>
      </c>
      <c r="V77" s="146" t="s">
        <v>638</v>
      </c>
      <c r="W77" s="146" t="s">
        <v>295</v>
      </c>
    </row>
    <row r="78" spans="2:23" ht="36">
      <c r="B78" s="146" t="s">
        <v>771</v>
      </c>
      <c r="D78" s="146">
        <v>1001002003</v>
      </c>
      <c r="E78" s="146" t="str">
        <f>_xlfn.XLOOKUP(D78,'Detalhamento - G200'!A:A,'Detalhamento - G200'!B:B,0)</f>
        <v>MOVIMENTAÇÃO DE TERRA</v>
      </c>
      <c r="F78" s="175">
        <v>93367</v>
      </c>
      <c r="G78" s="175">
        <v>255243</v>
      </c>
      <c r="H78" s="146" t="s">
        <v>790</v>
      </c>
      <c r="I78" s="173">
        <v>46127</v>
      </c>
      <c r="J78" s="173">
        <v>46157</v>
      </c>
      <c r="K78" s="146" t="s">
        <v>607</v>
      </c>
      <c r="L78" s="146" t="s">
        <v>296</v>
      </c>
      <c r="M78" s="154">
        <v>60149.57</v>
      </c>
      <c r="N78" s="154">
        <v>0</v>
      </c>
      <c r="O78" s="154">
        <v>0</v>
      </c>
      <c r="P78" s="154">
        <v>0</v>
      </c>
      <c r="Q78" s="154">
        <v>0</v>
      </c>
      <c r="R78" s="154">
        <v>0</v>
      </c>
      <c r="S78" s="154">
        <f t="shared" si="7"/>
        <v>60149.57</v>
      </c>
      <c r="T78" s="154">
        <f t="shared" si="6"/>
        <v>60149.57</v>
      </c>
      <c r="V78" s="146" t="s">
        <v>638</v>
      </c>
      <c r="W78" s="146" t="s">
        <v>295</v>
      </c>
    </row>
    <row r="79" spans="2:23" ht="36">
      <c r="B79" s="146" t="s">
        <v>771</v>
      </c>
      <c r="D79" s="146">
        <v>2001004004</v>
      </c>
      <c r="E79" s="146" t="str">
        <f>_xlfn.XLOOKUP(D79,'Detalhamento - G200'!A:A,'Detalhamento - G200'!B:B,0)</f>
        <v>DIESEL</v>
      </c>
      <c r="F79" s="175">
        <v>93367</v>
      </c>
      <c r="G79" s="175">
        <v>255243</v>
      </c>
      <c r="H79" s="146" t="s">
        <v>790</v>
      </c>
      <c r="I79" s="173">
        <v>46127</v>
      </c>
      <c r="J79" s="173">
        <v>46157</v>
      </c>
      <c r="K79" s="146" t="s">
        <v>607</v>
      </c>
      <c r="L79" s="146" t="s">
        <v>296</v>
      </c>
      <c r="M79" s="154">
        <v>2410.62</v>
      </c>
      <c r="N79" s="154">
        <v>0</v>
      </c>
      <c r="O79" s="154">
        <v>0</v>
      </c>
      <c r="P79" s="154">
        <v>0</v>
      </c>
      <c r="Q79" s="154">
        <v>0</v>
      </c>
      <c r="R79" s="154">
        <v>0</v>
      </c>
      <c r="S79" s="154">
        <f t="shared" si="7"/>
        <v>2410.62</v>
      </c>
      <c r="T79" s="154">
        <f t="shared" si="6"/>
        <v>2410.62</v>
      </c>
      <c r="V79" s="146" t="s">
        <v>711</v>
      </c>
      <c r="W79" s="146" t="s">
        <v>295</v>
      </c>
    </row>
    <row r="80" spans="2:23">
      <c r="B80" s="146" t="s">
        <v>771</v>
      </c>
      <c r="D80" s="146">
        <v>1001001001</v>
      </c>
      <c r="E80" s="146" t="str">
        <f>_xlfn.XLOOKUP(D80,'Detalhamento - G200'!A:A,'Detalhamento - G200'!B:B,0)</f>
        <v>PROJETOS</v>
      </c>
      <c r="F80" s="175">
        <v>93248</v>
      </c>
      <c r="G80" s="175">
        <v>1354</v>
      </c>
      <c r="H80" s="146" t="s">
        <v>792</v>
      </c>
      <c r="I80" s="173">
        <v>46133</v>
      </c>
      <c r="J80" s="173" t="s">
        <v>755</v>
      </c>
      <c r="K80" s="146" t="s">
        <v>422</v>
      </c>
      <c r="L80" s="146" t="s">
        <v>333</v>
      </c>
      <c r="M80" s="154">
        <v>4536.68</v>
      </c>
      <c r="N80" s="154">
        <v>0</v>
      </c>
      <c r="O80" s="154">
        <v>0</v>
      </c>
      <c r="P80" s="154">
        <v>0</v>
      </c>
      <c r="Q80" s="154">
        <v>0</v>
      </c>
      <c r="R80" s="154">
        <v>0</v>
      </c>
      <c r="S80" s="154">
        <f t="shared" si="5"/>
        <v>4536.68</v>
      </c>
      <c r="T80" s="154">
        <f t="shared" si="6"/>
        <v>4536.68</v>
      </c>
      <c r="V80" s="146" t="s">
        <v>332</v>
      </c>
      <c r="W80" s="146" t="s">
        <v>332</v>
      </c>
    </row>
    <row r="81" spans="2:23" ht="36">
      <c r="B81" s="146" t="s">
        <v>756</v>
      </c>
      <c r="D81" s="146">
        <v>1002002001</v>
      </c>
      <c r="E81" s="146" t="str">
        <f>_xlfn.XLOOKUP(D81,'Detalhamento - G200'!A:A,'Detalhamento - G200'!B:B,0)</f>
        <v>FUNDAÇÃO</v>
      </c>
      <c r="F81" s="175">
        <v>93025</v>
      </c>
      <c r="G81" s="175" t="s">
        <v>627</v>
      </c>
      <c r="H81" s="146" t="s">
        <v>814</v>
      </c>
      <c r="I81" s="173">
        <v>46128</v>
      </c>
      <c r="K81" s="146" t="s">
        <v>757</v>
      </c>
      <c r="L81" s="146" t="s">
        <v>710</v>
      </c>
      <c r="M81" s="154">
        <v>200000</v>
      </c>
      <c r="N81" s="154">
        <v>0</v>
      </c>
      <c r="O81" s="154">
        <v>0</v>
      </c>
      <c r="P81" s="154">
        <v>0</v>
      </c>
      <c r="Q81" s="154">
        <v>0</v>
      </c>
      <c r="S81" s="154">
        <f t="shared" ref="S81" si="8">M81-SUM(N81:Q81)</f>
        <v>200000</v>
      </c>
      <c r="T81" s="154">
        <f t="shared" si="6"/>
        <v>200000</v>
      </c>
      <c r="V81" s="146" t="s">
        <v>709</v>
      </c>
      <c r="W81" s="146" t="s">
        <v>935</v>
      </c>
    </row>
    <row r="82" spans="2:23">
      <c r="B82" s="146" t="s">
        <v>771</v>
      </c>
      <c r="D82" s="146">
        <v>2001006002</v>
      </c>
      <c r="E82" s="146" t="str">
        <f>_xlfn.XLOOKUP(D82,'Detalhamento - G200'!A:A,'Detalhamento - G200'!B:B,0)</f>
        <v>LIMPA FOSSA</v>
      </c>
      <c r="F82" s="175">
        <v>93776</v>
      </c>
      <c r="G82" s="175">
        <v>14113</v>
      </c>
      <c r="H82" s="146" t="s">
        <v>792</v>
      </c>
      <c r="I82" s="173">
        <v>46134</v>
      </c>
      <c r="J82" s="173">
        <v>46147</v>
      </c>
      <c r="K82" s="146" t="s">
        <v>772</v>
      </c>
      <c r="L82" s="146" t="s">
        <v>307</v>
      </c>
      <c r="M82" s="154">
        <v>51180</v>
      </c>
      <c r="N82" s="154">
        <v>10056.870000000001</v>
      </c>
      <c r="O82" s="154">
        <v>0</v>
      </c>
      <c r="P82" s="154">
        <v>0</v>
      </c>
      <c r="Q82" s="154">
        <v>0</v>
      </c>
      <c r="R82" s="154">
        <v>0</v>
      </c>
      <c r="S82" s="154">
        <f t="shared" ref="S82:S85" si="9">M82-SUM(N82:R82)</f>
        <v>41123.129999999997</v>
      </c>
      <c r="T82" s="154">
        <f t="shared" si="6"/>
        <v>51180</v>
      </c>
      <c r="V82" s="146" t="s">
        <v>674</v>
      </c>
      <c r="W82" s="146" t="s">
        <v>935</v>
      </c>
    </row>
    <row r="83" spans="2:23">
      <c r="B83" s="146" t="s">
        <v>771</v>
      </c>
      <c r="D83" s="146">
        <v>2001013001</v>
      </c>
      <c r="E83" s="146" t="str">
        <f>_xlfn.XLOOKUP(D83,'Detalhamento - G200'!A:A,'Detalhamento - G200'!B:B,0)</f>
        <v>LOCAÇÃO - SANITÁRIO QUÍMICO</v>
      </c>
      <c r="F83" s="175">
        <v>93637</v>
      </c>
      <c r="G83" s="175">
        <v>14112</v>
      </c>
      <c r="H83" s="146" t="s">
        <v>792</v>
      </c>
      <c r="I83" s="173">
        <v>46129</v>
      </c>
      <c r="J83" s="173">
        <v>46147</v>
      </c>
      <c r="K83" s="146" t="s">
        <v>772</v>
      </c>
      <c r="L83" s="146" t="s">
        <v>307</v>
      </c>
      <c r="M83" s="154">
        <v>766.5</v>
      </c>
      <c r="N83" s="154">
        <v>142.97</v>
      </c>
      <c r="O83" s="154">
        <v>0</v>
      </c>
      <c r="P83" s="154">
        <v>0</v>
      </c>
      <c r="Q83" s="154">
        <v>0</v>
      </c>
      <c r="R83" s="154">
        <v>0</v>
      </c>
      <c r="S83" s="154">
        <f t="shared" si="9"/>
        <v>623.53</v>
      </c>
      <c r="T83" s="154">
        <f t="shared" si="6"/>
        <v>766.5</v>
      </c>
      <c r="V83" s="146" t="s">
        <v>361</v>
      </c>
      <c r="W83" s="146" t="s">
        <v>361</v>
      </c>
    </row>
    <row r="84" spans="2:23">
      <c r="B84" s="146" t="s">
        <v>771</v>
      </c>
      <c r="D84" s="146">
        <v>2001013001</v>
      </c>
      <c r="E84" s="146" t="str">
        <f>_xlfn.XLOOKUP(D84,'Detalhamento - G200'!A:A,'Detalhamento - G200'!B:B,0)</f>
        <v>LOCAÇÃO - SANITÁRIO QUÍMICO</v>
      </c>
      <c r="F84" s="175">
        <v>92789</v>
      </c>
      <c r="G84" s="175">
        <v>14080</v>
      </c>
      <c r="H84" s="146" t="s">
        <v>792</v>
      </c>
      <c r="I84" s="173">
        <v>46125</v>
      </c>
      <c r="J84" s="173">
        <v>46147</v>
      </c>
      <c r="K84" s="146" t="s">
        <v>772</v>
      </c>
      <c r="L84" s="146" t="s">
        <v>307</v>
      </c>
      <c r="M84" s="154">
        <v>4343.5</v>
      </c>
      <c r="N84" s="154">
        <v>0</v>
      </c>
      <c r="O84" s="154">
        <v>0</v>
      </c>
      <c r="P84" s="154">
        <v>0</v>
      </c>
      <c r="Q84" s="154">
        <v>0</v>
      </c>
      <c r="R84" s="154">
        <v>0</v>
      </c>
      <c r="S84" s="154">
        <f t="shared" si="9"/>
        <v>4343.5</v>
      </c>
      <c r="T84" s="154">
        <f t="shared" si="6"/>
        <v>4343.5</v>
      </c>
      <c r="V84" s="146" t="s">
        <v>361</v>
      </c>
      <c r="W84" s="146" t="s">
        <v>361</v>
      </c>
    </row>
    <row r="85" spans="2:23">
      <c r="B85" s="146" t="s">
        <v>771</v>
      </c>
      <c r="D85" s="146">
        <v>2001013001</v>
      </c>
      <c r="E85" s="146" t="str">
        <f>_xlfn.XLOOKUP(D85,'Detalhamento - G200'!A:A,'Detalhamento - G200'!B:B,0)</f>
        <v>LOCAÇÃO - SANITÁRIO QUÍMICO</v>
      </c>
      <c r="F85" s="175">
        <v>92787</v>
      </c>
      <c r="G85" s="175">
        <v>14079</v>
      </c>
      <c r="H85" s="146" t="s">
        <v>792</v>
      </c>
      <c r="I85" s="173">
        <v>46125</v>
      </c>
      <c r="J85" s="173">
        <v>46147</v>
      </c>
      <c r="K85" s="146" t="s">
        <v>772</v>
      </c>
      <c r="L85" s="146" t="s">
        <v>307</v>
      </c>
      <c r="M85" s="154">
        <v>3629.5</v>
      </c>
      <c r="N85" s="154">
        <v>0</v>
      </c>
      <c r="O85" s="154">
        <v>0</v>
      </c>
      <c r="P85" s="154">
        <v>0</v>
      </c>
      <c r="Q85" s="154">
        <v>0</v>
      </c>
      <c r="R85" s="154">
        <v>0</v>
      </c>
      <c r="S85" s="154">
        <f t="shared" si="9"/>
        <v>3629.5</v>
      </c>
      <c r="T85" s="154">
        <f t="shared" si="6"/>
        <v>3629.5</v>
      </c>
      <c r="V85" s="146" t="s">
        <v>361</v>
      </c>
      <c r="W85" s="146" t="s">
        <v>361</v>
      </c>
    </row>
    <row r="86" spans="2:23" ht="36">
      <c r="B86" s="146" t="s">
        <v>771</v>
      </c>
      <c r="D86" s="146">
        <v>2001001002</v>
      </c>
      <c r="E86" s="146" t="str">
        <f>_xlfn.XLOOKUP(D86,'Detalhamento - G200'!A:A,'Detalhamento - G200'!B:B,0)</f>
        <v>IMPLANTAÇÃO DE CANTEIRO - ELETRICA</v>
      </c>
      <c r="F86" s="175">
        <v>93327</v>
      </c>
      <c r="G86" s="175">
        <v>630</v>
      </c>
      <c r="H86" s="146" t="s">
        <v>792</v>
      </c>
      <c r="I86" s="173">
        <v>46132</v>
      </c>
      <c r="J86" s="173">
        <v>46147</v>
      </c>
      <c r="K86" s="146" t="s">
        <v>774</v>
      </c>
      <c r="L86" s="146" t="s">
        <v>364</v>
      </c>
      <c r="M86" s="154">
        <v>47439.69</v>
      </c>
      <c r="N86" s="154">
        <v>7590.34</v>
      </c>
      <c r="O86" s="154">
        <v>711.59</v>
      </c>
      <c r="P86" s="154">
        <v>0</v>
      </c>
      <c r="Q86" s="154">
        <v>0</v>
      </c>
      <c r="R86" s="154">
        <v>0</v>
      </c>
      <c r="S86" s="154">
        <f t="shared" ref="S86:S94" si="10">M86-SUM(N86:R86)</f>
        <v>39137.760000000002</v>
      </c>
      <c r="T86" s="154">
        <f t="shared" si="6"/>
        <v>46728.100000000006</v>
      </c>
      <c r="V86" s="146" t="s">
        <v>363</v>
      </c>
      <c r="W86" s="146" t="s">
        <v>363</v>
      </c>
    </row>
    <row r="87" spans="2:23">
      <c r="B87" s="146" t="s">
        <v>771</v>
      </c>
      <c r="D87" s="146">
        <v>1001002006</v>
      </c>
      <c r="E87" s="146" t="str">
        <f>_xlfn.XLOOKUP(D87,'Detalhamento - G200'!A:A,'Detalhamento - G200'!B:B,0)</f>
        <v>CONTENÇÕES</v>
      </c>
      <c r="F87" s="175">
        <v>93311</v>
      </c>
      <c r="G87" s="175">
        <v>29309</v>
      </c>
      <c r="H87" s="146" t="s">
        <v>790</v>
      </c>
      <c r="I87" s="173">
        <v>46132</v>
      </c>
      <c r="J87" s="173">
        <v>46162</v>
      </c>
      <c r="K87" s="146" t="s">
        <v>775</v>
      </c>
      <c r="L87" s="146" t="s">
        <v>285</v>
      </c>
      <c r="M87" s="154">
        <v>115500</v>
      </c>
      <c r="N87" s="154">
        <v>0</v>
      </c>
      <c r="O87" s="154">
        <v>0</v>
      </c>
      <c r="P87" s="154">
        <v>0</v>
      </c>
      <c r="Q87" s="154">
        <v>0</v>
      </c>
      <c r="R87" s="154">
        <v>0</v>
      </c>
      <c r="S87" s="154">
        <f t="shared" si="10"/>
        <v>115500</v>
      </c>
      <c r="T87" s="154">
        <f t="shared" si="6"/>
        <v>115500</v>
      </c>
      <c r="V87" s="146" t="s">
        <v>661</v>
      </c>
      <c r="W87" s="146" t="s">
        <v>731</v>
      </c>
    </row>
    <row r="88" spans="2:23">
      <c r="B88" s="146" t="s">
        <v>771</v>
      </c>
      <c r="D88" s="146">
        <v>1001001002</v>
      </c>
      <c r="E88" s="146" t="str">
        <f>_xlfn.XLOOKUP(D88,'Detalhamento - G200'!A:A,'Detalhamento - G200'!B:B,0)</f>
        <v>ENSAIOS E CONSULTORIAS</v>
      </c>
      <c r="F88" s="175">
        <v>93298</v>
      </c>
      <c r="G88" s="175">
        <v>762</v>
      </c>
      <c r="H88" s="146" t="s">
        <v>792</v>
      </c>
      <c r="I88" s="173">
        <v>46134</v>
      </c>
      <c r="J88" s="173">
        <v>46147</v>
      </c>
      <c r="K88" s="146" t="s">
        <v>776</v>
      </c>
      <c r="L88" s="146" t="s">
        <v>359</v>
      </c>
      <c r="M88" s="154">
        <v>23373.200000000001</v>
      </c>
      <c r="N88" s="154">
        <v>1168.6600000000001</v>
      </c>
      <c r="O88" s="154">
        <v>0</v>
      </c>
      <c r="P88" s="154">
        <v>0</v>
      </c>
      <c r="Q88" s="154">
        <v>0</v>
      </c>
      <c r="R88" s="154">
        <v>0</v>
      </c>
      <c r="S88" s="154">
        <f t="shared" si="10"/>
        <v>22204.54</v>
      </c>
      <c r="T88" s="154">
        <f t="shared" si="6"/>
        <v>23373.200000000001</v>
      </c>
      <c r="V88" s="146" t="s">
        <v>358</v>
      </c>
      <c r="W88" s="146" t="s">
        <v>358</v>
      </c>
    </row>
    <row r="89" spans="2:23">
      <c r="B89" s="146" t="s">
        <v>771</v>
      </c>
      <c r="D89" s="146">
        <v>1001001002</v>
      </c>
      <c r="E89" s="146" t="str">
        <f>_xlfn.XLOOKUP(D89,'Detalhamento - G200'!A:A,'Detalhamento - G200'!B:B,0)</f>
        <v>ENSAIOS E CONSULTORIAS</v>
      </c>
      <c r="F89" s="175">
        <v>92959</v>
      </c>
      <c r="G89" s="175">
        <v>754</v>
      </c>
      <c r="H89" s="146" t="s">
        <v>792</v>
      </c>
      <c r="I89" s="173">
        <v>46127</v>
      </c>
      <c r="J89" s="173">
        <v>46147</v>
      </c>
      <c r="K89" s="146" t="s">
        <v>776</v>
      </c>
      <c r="L89" s="146" t="s">
        <v>359</v>
      </c>
      <c r="M89" s="154">
        <v>9010.7999999999993</v>
      </c>
      <c r="N89" s="154">
        <v>0</v>
      </c>
      <c r="O89" s="154">
        <v>450.54</v>
      </c>
      <c r="P89" s="154">
        <v>0</v>
      </c>
      <c r="Q89" s="154">
        <v>0</v>
      </c>
      <c r="R89" s="154">
        <v>0</v>
      </c>
      <c r="S89" s="154">
        <f t="shared" si="10"/>
        <v>8560.2599999999984</v>
      </c>
      <c r="T89" s="154">
        <f t="shared" si="6"/>
        <v>8560.2599999999984</v>
      </c>
      <c r="V89" s="146" t="s">
        <v>358</v>
      </c>
      <c r="W89" s="146" t="s">
        <v>358</v>
      </c>
    </row>
    <row r="90" spans="2:23">
      <c r="B90" s="146" t="s">
        <v>771</v>
      </c>
      <c r="D90" s="146">
        <v>2001006013</v>
      </c>
      <c r="E90" s="146" t="str">
        <f>_xlfn.XLOOKUP(D90,'Detalhamento - G200'!A:A,'Detalhamento - G200'!B:B,0)</f>
        <v>BIG BAG</v>
      </c>
      <c r="F90" s="175">
        <v>93294</v>
      </c>
      <c r="G90" s="175">
        <v>113819</v>
      </c>
      <c r="H90" s="146" t="s">
        <v>790</v>
      </c>
      <c r="I90" s="173">
        <v>46125</v>
      </c>
      <c r="J90" s="173">
        <v>46155</v>
      </c>
      <c r="K90" s="146" t="s">
        <v>777</v>
      </c>
      <c r="L90" s="146" t="s">
        <v>306</v>
      </c>
      <c r="M90" s="154">
        <v>2813.3</v>
      </c>
      <c r="N90" s="154">
        <v>0</v>
      </c>
      <c r="O90" s="154">
        <v>0</v>
      </c>
      <c r="P90" s="154">
        <v>0</v>
      </c>
      <c r="Q90" s="154">
        <v>0</v>
      </c>
      <c r="R90" s="154">
        <v>0</v>
      </c>
      <c r="S90" s="154">
        <f t="shared" si="10"/>
        <v>2813.3</v>
      </c>
      <c r="T90" s="154">
        <f t="shared" si="6"/>
        <v>2813.3</v>
      </c>
      <c r="V90" s="146" t="s">
        <v>673</v>
      </c>
      <c r="W90" s="146" t="s">
        <v>935</v>
      </c>
    </row>
    <row r="91" spans="2:23" ht="36">
      <c r="B91" s="146" t="s">
        <v>771</v>
      </c>
      <c r="D91" s="146">
        <v>2001002001</v>
      </c>
      <c r="E91" s="146" t="str">
        <f>_xlfn.XLOOKUP(D91,'Detalhamento - G200'!A:A,'Detalhamento - G200'!B:B,0)</f>
        <v>SEGURANÇA PATRIMONIAL - VIGILÂNCIA</v>
      </c>
      <c r="F91" s="175">
        <v>93204</v>
      </c>
      <c r="G91" s="175">
        <v>67</v>
      </c>
      <c r="H91" s="146" t="s">
        <v>792</v>
      </c>
      <c r="I91" s="173">
        <v>46132</v>
      </c>
      <c r="J91" s="173">
        <v>46147</v>
      </c>
      <c r="K91" s="146" t="s">
        <v>779</v>
      </c>
      <c r="L91" s="146" t="s">
        <v>778</v>
      </c>
      <c r="M91" s="154">
        <v>31042.04</v>
      </c>
      <c r="N91" s="154">
        <v>4938.78</v>
      </c>
      <c r="O91" s="154">
        <v>1552.1</v>
      </c>
      <c r="P91" s="154">
        <v>0</v>
      </c>
      <c r="Q91" s="154">
        <v>0</v>
      </c>
      <c r="R91" s="154">
        <v>0</v>
      </c>
      <c r="S91" s="154">
        <f t="shared" si="10"/>
        <v>24551.160000000003</v>
      </c>
      <c r="T91" s="154">
        <f t="shared" si="6"/>
        <v>29489.940000000002</v>
      </c>
      <c r="V91" s="146" t="s">
        <v>372</v>
      </c>
      <c r="W91" s="146" t="s">
        <v>372</v>
      </c>
    </row>
    <row r="92" spans="2:23" ht="36">
      <c r="B92" s="146" t="s">
        <v>771</v>
      </c>
      <c r="D92" s="146">
        <v>1001001002</v>
      </c>
      <c r="E92" s="146" t="str">
        <f>_xlfn.XLOOKUP(D92,'Detalhamento - G200'!A:A,'Detalhamento - G200'!B:B,0)</f>
        <v>ENSAIOS E CONSULTORIAS</v>
      </c>
      <c r="F92" s="175">
        <v>92977</v>
      </c>
      <c r="G92" s="175">
        <v>2729</v>
      </c>
      <c r="H92" s="146" t="s">
        <v>792</v>
      </c>
      <c r="I92" s="173">
        <v>46127</v>
      </c>
      <c r="J92" s="173">
        <v>46147</v>
      </c>
      <c r="K92" s="146" t="s">
        <v>791</v>
      </c>
      <c r="L92" s="146" t="s">
        <v>369</v>
      </c>
      <c r="M92" s="154">
        <v>8780.25</v>
      </c>
      <c r="N92" s="154">
        <v>978.99</v>
      </c>
      <c r="O92" s="154">
        <v>439.01</v>
      </c>
      <c r="P92" s="154">
        <v>0</v>
      </c>
      <c r="Q92" s="154">
        <v>0</v>
      </c>
      <c r="R92" s="154">
        <v>0</v>
      </c>
      <c r="S92" s="154">
        <f t="shared" ref="S92" si="11">M92-SUM(N92:R92)</f>
        <v>7362.25</v>
      </c>
      <c r="T92" s="154">
        <f t="shared" si="6"/>
        <v>8341.24</v>
      </c>
      <c r="V92" s="146" t="s">
        <v>368</v>
      </c>
      <c r="W92" s="146" t="s">
        <v>368</v>
      </c>
    </row>
    <row r="93" spans="2:23" ht="36">
      <c r="B93" s="146" t="s">
        <v>771</v>
      </c>
      <c r="D93" s="146">
        <v>1001001002</v>
      </c>
      <c r="E93" s="146" t="str">
        <f>_xlfn.XLOOKUP(D93,'Detalhamento - G200'!A:A,'Detalhamento - G200'!B:B,0)</f>
        <v>ENSAIOS E CONSULTORIAS</v>
      </c>
      <c r="F93" s="175">
        <v>93159</v>
      </c>
      <c r="G93" s="175">
        <v>2739</v>
      </c>
      <c r="H93" s="146" t="s">
        <v>792</v>
      </c>
      <c r="I93" s="173">
        <v>46129</v>
      </c>
      <c r="J93" s="173">
        <v>46147</v>
      </c>
      <c r="K93" s="146" t="s">
        <v>791</v>
      </c>
      <c r="L93" s="146" t="s">
        <v>369</v>
      </c>
      <c r="M93" s="154">
        <v>30691</v>
      </c>
      <c r="N93" s="154">
        <v>3422.04</v>
      </c>
      <c r="O93" s="154">
        <v>1580.55</v>
      </c>
      <c r="P93" s="154">
        <v>0</v>
      </c>
      <c r="Q93" s="154">
        <v>0</v>
      </c>
      <c r="R93" s="154">
        <v>0</v>
      </c>
      <c r="S93" s="154">
        <f t="shared" si="10"/>
        <v>25688.41</v>
      </c>
      <c r="T93" s="154">
        <f t="shared" si="6"/>
        <v>29110.45</v>
      </c>
      <c r="V93" s="146" t="s">
        <v>368</v>
      </c>
      <c r="W93" s="146" t="s">
        <v>368</v>
      </c>
    </row>
    <row r="94" spans="2:23">
      <c r="B94" s="146" t="s">
        <v>771</v>
      </c>
      <c r="D94" s="146">
        <v>1001003001</v>
      </c>
      <c r="E94" s="146" t="str">
        <f>_xlfn.XLOOKUP(D94,'Detalhamento - G200'!A:A,'Detalhamento - G200'!B:B,0)</f>
        <v>FUNDAÇÃO GALPÃO</v>
      </c>
      <c r="F94" s="175">
        <v>93330</v>
      </c>
      <c r="G94" s="175">
        <v>489</v>
      </c>
      <c r="H94" s="146" t="s">
        <v>792</v>
      </c>
      <c r="I94" s="173">
        <v>46134</v>
      </c>
      <c r="J94" s="173">
        <v>46147</v>
      </c>
      <c r="K94" s="146" t="s">
        <v>413</v>
      </c>
      <c r="L94" s="146" t="s">
        <v>344</v>
      </c>
      <c r="M94" s="154">
        <v>275000</v>
      </c>
      <c r="N94" s="154">
        <v>16912.5</v>
      </c>
      <c r="O94" s="154">
        <v>0</v>
      </c>
      <c r="P94" s="154">
        <v>0</v>
      </c>
      <c r="Q94" s="154">
        <v>0</v>
      </c>
      <c r="R94" s="154">
        <v>0</v>
      </c>
      <c r="S94" s="154">
        <f t="shared" si="10"/>
        <v>258087.5</v>
      </c>
      <c r="T94" s="154">
        <f t="shared" si="6"/>
        <v>275000</v>
      </c>
      <c r="V94" s="146" t="s">
        <v>343</v>
      </c>
      <c r="W94" s="146" t="s">
        <v>343</v>
      </c>
    </row>
    <row r="95" spans="2:23">
      <c r="B95" s="146" t="s">
        <v>771</v>
      </c>
      <c r="D95" s="146">
        <v>1001001002</v>
      </c>
      <c r="E95" s="146" t="str">
        <f>_xlfn.XLOOKUP(D95,'Detalhamento - G200'!A:A,'Detalhamento - G200'!B:B,0)</f>
        <v>ENSAIOS E CONSULTORIAS</v>
      </c>
      <c r="F95" s="175">
        <v>93188</v>
      </c>
      <c r="G95" s="175">
        <v>582</v>
      </c>
      <c r="H95" s="146" t="s">
        <v>790</v>
      </c>
      <c r="I95" s="173">
        <v>46132</v>
      </c>
      <c r="J95" s="173">
        <v>46153</v>
      </c>
      <c r="K95" s="146" t="s">
        <v>801</v>
      </c>
      <c r="L95" s="146" t="s">
        <v>298</v>
      </c>
      <c r="M95" s="154">
        <v>1024.8</v>
      </c>
      <c r="N95" s="154">
        <v>0</v>
      </c>
      <c r="O95" s="154">
        <v>0</v>
      </c>
      <c r="P95" s="154">
        <v>0</v>
      </c>
      <c r="Q95" s="154">
        <v>0</v>
      </c>
      <c r="R95" s="154">
        <v>0</v>
      </c>
      <c r="S95" s="154">
        <f t="shared" ref="S95:S161" si="12">M95-SUM(N95:R95)</f>
        <v>1024.8</v>
      </c>
      <c r="T95" s="154">
        <f t="shared" si="6"/>
        <v>1024.8</v>
      </c>
      <c r="V95" s="146" t="s">
        <v>694</v>
      </c>
      <c r="W95" s="146" t="s">
        <v>353</v>
      </c>
    </row>
    <row r="96" spans="2:23">
      <c r="B96" s="146" t="s">
        <v>771</v>
      </c>
      <c r="D96" s="146">
        <v>1001001002</v>
      </c>
      <c r="E96" s="146" t="str">
        <f>_xlfn.XLOOKUP(D96,'Detalhamento - G200'!A:A,'Detalhamento - G200'!B:B,0)</f>
        <v>ENSAIOS E CONSULTORIAS</v>
      </c>
      <c r="F96" s="175">
        <v>93188</v>
      </c>
      <c r="G96" s="175">
        <v>582</v>
      </c>
      <c r="H96" s="146" t="s">
        <v>790</v>
      </c>
      <c r="I96" s="173">
        <v>46132</v>
      </c>
      <c r="J96" s="173">
        <v>46153</v>
      </c>
      <c r="K96" s="146" t="s">
        <v>801</v>
      </c>
      <c r="L96" s="146" t="s">
        <v>298</v>
      </c>
      <c r="M96" s="154">
        <v>427</v>
      </c>
      <c r="N96" s="154">
        <v>0</v>
      </c>
      <c r="O96" s="154">
        <v>0</v>
      </c>
      <c r="P96" s="154">
        <v>0</v>
      </c>
      <c r="Q96" s="154">
        <v>0</v>
      </c>
      <c r="R96" s="154">
        <v>0</v>
      </c>
      <c r="S96" s="154">
        <f t="shared" ref="S96:S97" si="13">M96-SUM(N96:R96)</f>
        <v>427</v>
      </c>
      <c r="T96" s="154">
        <f t="shared" ref="T96:T97" si="14">N96+S96</f>
        <v>427</v>
      </c>
      <c r="V96" s="146" t="s">
        <v>694</v>
      </c>
      <c r="W96" s="146" t="s">
        <v>358</v>
      </c>
    </row>
    <row r="97" spans="2:23">
      <c r="B97" s="146" t="s">
        <v>771</v>
      </c>
      <c r="D97" s="146">
        <v>1001001002</v>
      </c>
      <c r="E97" s="146" t="str">
        <f>_xlfn.XLOOKUP(D97,'Detalhamento - G200'!A:A,'Detalhamento - G200'!B:B,0)</f>
        <v>ENSAIOS E CONSULTORIAS</v>
      </c>
      <c r="F97" s="175">
        <v>93188</v>
      </c>
      <c r="G97" s="175">
        <v>582</v>
      </c>
      <c r="H97" s="146" t="s">
        <v>790</v>
      </c>
      <c r="I97" s="173">
        <v>46132</v>
      </c>
      <c r="J97" s="173">
        <v>46153</v>
      </c>
      <c r="K97" s="146" t="s">
        <v>801</v>
      </c>
      <c r="L97" s="146" t="s">
        <v>298</v>
      </c>
      <c r="M97" s="154">
        <v>1024.8</v>
      </c>
      <c r="N97" s="154">
        <v>0</v>
      </c>
      <c r="O97" s="154">
        <v>0</v>
      </c>
      <c r="P97" s="154">
        <v>0</v>
      </c>
      <c r="Q97" s="154">
        <v>0</v>
      </c>
      <c r="R97" s="154">
        <v>0</v>
      </c>
      <c r="S97" s="154">
        <f t="shared" si="13"/>
        <v>1024.8</v>
      </c>
      <c r="T97" s="154">
        <f t="shared" si="14"/>
        <v>1024.8</v>
      </c>
      <c r="V97" s="146" t="s">
        <v>694</v>
      </c>
      <c r="W97" s="146" t="s">
        <v>358</v>
      </c>
    </row>
    <row r="98" spans="2:23">
      <c r="B98" s="146" t="s">
        <v>771</v>
      </c>
      <c r="D98" s="146">
        <v>1001002003</v>
      </c>
      <c r="E98" s="146" t="str">
        <f>_xlfn.XLOOKUP(D98,'Detalhamento - G200'!A:A,'Detalhamento - G200'!B:B,0)</f>
        <v>MOVIMENTAÇÃO DE TERRA</v>
      </c>
      <c r="F98" s="175">
        <v>93188</v>
      </c>
      <c r="G98" s="175">
        <v>582</v>
      </c>
      <c r="H98" s="146" t="s">
        <v>790</v>
      </c>
      <c r="I98" s="173">
        <v>46132</v>
      </c>
      <c r="J98" s="173">
        <v>46153</v>
      </c>
      <c r="K98" s="146" t="s">
        <v>801</v>
      </c>
      <c r="L98" s="146" t="s">
        <v>298</v>
      </c>
      <c r="M98" s="154">
        <v>5255.9</v>
      </c>
      <c r="N98" s="154">
        <v>0</v>
      </c>
      <c r="O98" s="154">
        <v>0</v>
      </c>
      <c r="P98" s="154">
        <v>0</v>
      </c>
      <c r="Q98" s="154">
        <v>0</v>
      </c>
      <c r="R98" s="154">
        <v>0</v>
      </c>
      <c r="S98" s="154">
        <f t="shared" si="12"/>
        <v>5255.9</v>
      </c>
      <c r="T98" s="154">
        <f t="shared" si="6"/>
        <v>5255.9</v>
      </c>
      <c r="V98" s="146" t="s">
        <v>694</v>
      </c>
      <c r="W98" s="146" t="s">
        <v>935</v>
      </c>
    </row>
    <row r="99" spans="2:23" ht="36">
      <c r="B99" s="146" t="s">
        <v>771</v>
      </c>
      <c r="D99" s="146">
        <v>2001001006</v>
      </c>
      <c r="E99" s="146" t="str">
        <f>_xlfn.XLOOKUP(D99,'Detalhamento - G200'!A:A,'Detalhamento - G200'!B:B,0)</f>
        <v>IMPLANTAÇÃO DE CANTEIRO - CIVIL</v>
      </c>
      <c r="F99" s="175">
        <v>93130</v>
      </c>
      <c r="G99" s="175">
        <v>28947</v>
      </c>
      <c r="H99" s="146" t="s">
        <v>790</v>
      </c>
      <c r="I99" s="173">
        <v>46126</v>
      </c>
      <c r="J99" s="173">
        <v>46147</v>
      </c>
      <c r="K99" s="146" t="s">
        <v>802</v>
      </c>
      <c r="L99" s="146" t="s">
        <v>794</v>
      </c>
      <c r="M99" s="154">
        <v>1739.76</v>
      </c>
      <c r="N99" s="154">
        <v>0</v>
      </c>
      <c r="O99" s="154">
        <v>0</v>
      </c>
      <c r="P99" s="154">
        <v>0</v>
      </c>
      <c r="Q99" s="154">
        <v>0</v>
      </c>
      <c r="R99" s="154">
        <v>0</v>
      </c>
      <c r="S99" s="154">
        <f t="shared" si="12"/>
        <v>1739.76</v>
      </c>
      <c r="T99" s="154">
        <f t="shared" si="6"/>
        <v>1739.76</v>
      </c>
      <c r="V99" s="146" t="s">
        <v>675</v>
      </c>
      <c r="W99" s="146" t="s">
        <v>935</v>
      </c>
    </row>
    <row r="100" spans="2:23" ht="36">
      <c r="B100" s="146" t="s">
        <v>771</v>
      </c>
      <c r="D100" s="146">
        <v>1002002001</v>
      </c>
      <c r="E100" s="146" t="str">
        <f>_xlfn.XLOOKUP(D100,'Detalhamento - G200'!A:A,'Detalhamento - G200'!B:B,0)</f>
        <v>FUNDAÇÃO</v>
      </c>
      <c r="F100" s="175">
        <v>93130</v>
      </c>
      <c r="G100" s="175">
        <v>28947</v>
      </c>
      <c r="H100" s="146" t="s">
        <v>790</v>
      </c>
      <c r="I100" s="173">
        <v>46126</v>
      </c>
      <c r="J100" s="173">
        <v>46147</v>
      </c>
      <c r="K100" s="146" t="s">
        <v>802</v>
      </c>
      <c r="L100" s="146" t="s">
        <v>794</v>
      </c>
      <c r="M100" s="154">
        <v>1812.24</v>
      </c>
      <c r="N100" s="154">
        <v>0</v>
      </c>
      <c r="O100" s="154">
        <v>0</v>
      </c>
      <c r="P100" s="154">
        <v>0</v>
      </c>
      <c r="Q100" s="154">
        <v>0</v>
      </c>
      <c r="R100" s="154">
        <v>0</v>
      </c>
      <c r="S100" s="154">
        <f t="shared" si="12"/>
        <v>1812.24</v>
      </c>
      <c r="T100" s="154">
        <f t="shared" si="6"/>
        <v>1812.24</v>
      </c>
      <c r="V100" s="146" t="s">
        <v>675</v>
      </c>
      <c r="W100" s="146" t="s">
        <v>935</v>
      </c>
    </row>
    <row r="101" spans="2:23">
      <c r="B101" s="146" t="s">
        <v>771</v>
      </c>
      <c r="D101" s="146">
        <v>1002002001</v>
      </c>
      <c r="E101" s="146" t="str">
        <f>_xlfn.XLOOKUP(D101,'Detalhamento - G200'!A:A,'Detalhamento - G200'!B:B,0)</f>
        <v>FUNDAÇÃO</v>
      </c>
      <c r="F101" s="175">
        <v>93126</v>
      </c>
      <c r="G101" s="175">
        <v>15259</v>
      </c>
      <c r="H101" s="146" t="s">
        <v>790</v>
      </c>
      <c r="I101" s="173">
        <v>46122</v>
      </c>
      <c r="J101" s="173">
        <v>46150</v>
      </c>
      <c r="K101" s="146" t="s">
        <v>783</v>
      </c>
      <c r="L101" s="146" t="s">
        <v>787</v>
      </c>
      <c r="M101" s="154">
        <v>7747.63</v>
      </c>
      <c r="N101" s="154">
        <v>0</v>
      </c>
      <c r="O101" s="154">
        <v>0</v>
      </c>
      <c r="P101" s="154">
        <v>0</v>
      </c>
      <c r="Q101" s="154">
        <v>0</v>
      </c>
      <c r="R101" s="154">
        <v>0</v>
      </c>
      <c r="S101" s="154">
        <f t="shared" si="12"/>
        <v>7747.63</v>
      </c>
      <c r="T101" s="154">
        <f t="shared" si="6"/>
        <v>7747.63</v>
      </c>
      <c r="V101" s="146" t="s">
        <v>685</v>
      </c>
      <c r="W101" s="146" t="s">
        <v>935</v>
      </c>
    </row>
    <row r="102" spans="2:23">
      <c r="B102" s="146" t="s">
        <v>771</v>
      </c>
      <c r="D102" s="146">
        <v>2001008001</v>
      </c>
      <c r="E102" s="146" t="str">
        <f>_xlfn.XLOOKUP(D102,'Detalhamento - G200'!A:A,'Detalhamento - G200'!B:B,0)</f>
        <v>MATERIAIS DE COPA E LIMPEZA</v>
      </c>
      <c r="F102" s="175">
        <v>92655</v>
      </c>
      <c r="G102" s="175">
        <v>376910</v>
      </c>
      <c r="H102" s="146" t="s">
        <v>790</v>
      </c>
      <c r="I102" s="173">
        <v>46121</v>
      </c>
      <c r="J102" s="173">
        <v>46152</v>
      </c>
      <c r="K102" s="146" t="s">
        <v>803</v>
      </c>
      <c r="L102" s="146" t="s">
        <v>309</v>
      </c>
      <c r="M102" s="154">
        <v>1062</v>
      </c>
      <c r="N102" s="154">
        <v>0</v>
      </c>
      <c r="O102" s="154">
        <v>0</v>
      </c>
      <c r="P102" s="154">
        <v>0</v>
      </c>
      <c r="Q102" s="154">
        <v>0</v>
      </c>
      <c r="R102" s="154">
        <v>0</v>
      </c>
      <c r="S102" s="154">
        <f t="shared" si="12"/>
        <v>1062</v>
      </c>
      <c r="T102" s="154">
        <f t="shared" si="6"/>
        <v>1062</v>
      </c>
      <c r="V102" s="146" t="s">
        <v>676</v>
      </c>
      <c r="W102" s="146" t="s">
        <v>935</v>
      </c>
    </row>
    <row r="103" spans="2:23">
      <c r="B103" s="146" t="s">
        <v>771</v>
      </c>
      <c r="D103" s="146">
        <v>1001002003</v>
      </c>
      <c r="E103" s="146" t="str">
        <f>_xlfn.XLOOKUP(D103,'Detalhamento - G200'!A:A,'Detalhamento - G200'!B:B,0)</f>
        <v>MOVIMENTAÇÃO DE TERRA</v>
      </c>
      <c r="F103" s="175">
        <v>92563</v>
      </c>
      <c r="G103" s="175">
        <v>568</v>
      </c>
      <c r="H103" s="146" t="s">
        <v>790</v>
      </c>
      <c r="I103" s="173">
        <v>46125</v>
      </c>
      <c r="J103" s="173">
        <v>46140</v>
      </c>
      <c r="K103" s="146" t="s">
        <v>801</v>
      </c>
      <c r="L103" s="146" t="s">
        <v>298</v>
      </c>
      <c r="M103" s="154">
        <v>7035</v>
      </c>
      <c r="N103" s="154">
        <v>0</v>
      </c>
      <c r="O103" s="154">
        <v>0</v>
      </c>
      <c r="P103" s="154">
        <v>0</v>
      </c>
      <c r="Q103" s="154">
        <v>0</v>
      </c>
      <c r="R103" s="154">
        <v>0</v>
      </c>
      <c r="S103" s="154">
        <f t="shared" si="12"/>
        <v>7035</v>
      </c>
      <c r="T103" s="154">
        <f t="shared" si="6"/>
        <v>7035</v>
      </c>
      <c r="V103" s="146" t="s">
        <v>668</v>
      </c>
      <c r="W103" s="146" t="s">
        <v>935</v>
      </c>
    </row>
    <row r="104" spans="2:23">
      <c r="B104" s="146" t="s">
        <v>771</v>
      </c>
      <c r="D104" s="146">
        <v>1001001002</v>
      </c>
      <c r="E104" s="146" t="str">
        <f>_xlfn.XLOOKUP(D104,'Detalhamento - G200'!A:A,'Detalhamento - G200'!B:B,0)</f>
        <v>ENSAIOS E CONSULTORIAS</v>
      </c>
      <c r="F104" s="175">
        <v>92563</v>
      </c>
      <c r="G104" s="175">
        <v>568</v>
      </c>
      <c r="H104" s="146" t="s">
        <v>790</v>
      </c>
      <c r="I104" s="173">
        <v>46125</v>
      </c>
      <c r="J104" s="173">
        <v>46140</v>
      </c>
      <c r="K104" s="146" t="s">
        <v>801</v>
      </c>
      <c r="L104" s="146" t="s">
        <v>298</v>
      </c>
      <c r="M104" s="154">
        <v>1560</v>
      </c>
      <c r="N104" s="154">
        <v>0</v>
      </c>
      <c r="O104" s="154">
        <v>0</v>
      </c>
      <c r="P104" s="154">
        <v>0</v>
      </c>
      <c r="Q104" s="154">
        <v>0</v>
      </c>
      <c r="R104" s="154">
        <v>0</v>
      </c>
      <c r="S104" s="154">
        <f t="shared" si="12"/>
        <v>1560</v>
      </c>
      <c r="T104" s="154">
        <f t="shared" si="6"/>
        <v>1560</v>
      </c>
      <c r="V104" s="146" t="s">
        <v>668</v>
      </c>
      <c r="W104" s="146" t="s">
        <v>935</v>
      </c>
    </row>
    <row r="105" spans="2:23">
      <c r="B105" s="146" t="s">
        <v>771</v>
      </c>
      <c r="D105" s="146">
        <v>1001001002</v>
      </c>
      <c r="E105" s="146" t="str">
        <f>_xlfn.XLOOKUP(D105,'Detalhamento - G200'!A:A,'Detalhamento - G200'!B:B,0)</f>
        <v>ENSAIOS E CONSULTORIAS</v>
      </c>
      <c r="F105" s="175">
        <v>92563</v>
      </c>
      <c r="G105" s="175">
        <v>568</v>
      </c>
      <c r="H105" s="146" t="s">
        <v>790</v>
      </c>
      <c r="I105" s="173">
        <v>46125</v>
      </c>
      <c r="J105" s="173">
        <v>46140</v>
      </c>
      <c r="K105" s="146" t="s">
        <v>801</v>
      </c>
      <c r="L105" s="146" t="s">
        <v>298</v>
      </c>
      <c r="M105" s="154">
        <v>920</v>
      </c>
      <c r="N105" s="154">
        <v>0</v>
      </c>
      <c r="O105" s="154">
        <v>0</v>
      </c>
      <c r="P105" s="154">
        <v>0</v>
      </c>
      <c r="Q105" s="154">
        <v>0</v>
      </c>
      <c r="R105" s="154">
        <v>0</v>
      </c>
      <c r="S105" s="154">
        <f t="shared" ref="S105" si="15">M105-SUM(N105:R105)</f>
        <v>920</v>
      </c>
      <c r="T105" s="154">
        <f t="shared" ref="T105" si="16">N105+S105</f>
        <v>920</v>
      </c>
      <c r="V105" s="146" t="s">
        <v>936</v>
      </c>
      <c r="W105" s="146" t="s">
        <v>371</v>
      </c>
    </row>
    <row r="106" spans="2:23">
      <c r="B106" s="146" t="s">
        <v>771</v>
      </c>
      <c r="D106" s="146">
        <v>1001002003</v>
      </c>
      <c r="E106" s="146" t="str">
        <f>_xlfn.XLOOKUP(D106,'Detalhamento - G200'!A:A,'Detalhamento - G200'!B:B,0)</f>
        <v>MOVIMENTAÇÃO DE TERRA</v>
      </c>
      <c r="F106" s="175">
        <v>93451</v>
      </c>
      <c r="G106" s="175">
        <v>585</v>
      </c>
      <c r="H106" s="146" t="s">
        <v>790</v>
      </c>
      <c r="I106" s="173">
        <v>46135</v>
      </c>
      <c r="J106" s="173">
        <v>46137</v>
      </c>
      <c r="K106" s="146" t="s">
        <v>801</v>
      </c>
      <c r="L106" s="146" t="s">
        <v>298</v>
      </c>
      <c r="M106" s="154">
        <v>103.92</v>
      </c>
      <c r="N106" s="154">
        <v>0</v>
      </c>
      <c r="O106" s="154">
        <v>0</v>
      </c>
      <c r="P106" s="154">
        <v>0</v>
      </c>
      <c r="Q106" s="154">
        <v>0</v>
      </c>
      <c r="R106" s="154">
        <v>0</v>
      </c>
      <c r="S106" s="154">
        <f t="shared" si="12"/>
        <v>103.92</v>
      </c>
      <c r="T106" s="154">
        <f t="shared" si="6"/>
        <v>103.92</v>
      </c>
      <c r="V106" s="146" t="s">
        <v>371</v>
      </c>
      <c r="W106" s="146" t="s">
        <v>371</v>
      </c>
    </row>
    <row r="107" spans="2:23">
      <c r="B107" s="146" t="s">
        <v>771</v>
      </c>
      <c r="D107" s="146">
        <v>1001002006</v>
      </c>
      <c r="E107" s="146" t="str">
        <f>_xlfn.XLOOKUP(D107,'Detalhamento - G200'!A:A,'Detalhamento - G200'!B:B,0)</f>
        <v>CONTENÇÕES</v>
      </c>
      <c r="F107" s="175">
        <v>93451</v>
      </c>
      <c r="G107" s="175">
        <v>585</v>
      </c>
      <c r="H107" s="146" t="s">
        <v>790</v>
      </c>
      <c r="I107" s="173">
        <v>46135</v>
      </c>
      <c r="J107" s="173">
        <v>46137</v>
      </c>
      <c r="K107" s="146" t="s">
        <v>801</v>
      </c>
      <c r="L107" s="146" t="s">
        <v>298</v>
      </c>
      <c r="M107" s="154">
        <v>1548.97</v>
      </c>
      <c r="N107" s="154">
        <v>0</v>
      </c>
      <c r="O107" s="154">
        <v>0</v>
      </c>
      <c r="P107" s="154">
        <v>0</v>
      </c>
      <c r="Q107" s="154">
        <v>0</v>
      </c>
      <c r="R107" s="154">
        <v>0</v>
      </c>
      <c r="S107" s="154">
        <f t="shared" si="12"/>
        <v>1548.97</v>
      </c>
      <c r="T107" s="154">
        <f t="shared" si="6"/>
        <v>1548.97</v>
      </c>
      <c r="V107" s="146" t="s">
        <v>371</v>
      </c>
      <c r="W107" s="146" t="s">
        <v>371</v>
      </c>
    </row>
    <row r="108" spans="2:23">
      <c r="B108" s="146" t="s">
        <v>771</v>
      </c>
      <c r="D108" s="146">
        <v>1001002008</v>
      </c>
      <c r="E108" s="146" t="str">
        <f>_xlfn.XLOOKUP(D108,'Detalhamento - G200'!A:A,'Detalhamento - G200'!B:B,0)</f>
        <v>DRENAGEM</v>
      </c>
      <c r="F108" s="175">
        <v>93451</v>
      </c>
      <c r="G108" s="175">
        <v>585</v>
      </c>
      <c r="H108" s="146" t="s">
        <v>790</v>
      </c>
      <c r="I108" s="173">
        <v>46135</v>
      </c>
      <c r="J108" s="173">
        <v>46137</v>
      </c>
      <c r="K108" s="146" t="s">
        <v>801</v>
      </c>
      <c r="L108" s="146" t="s">
        <v>298</v>
      </c>
      <c r="M108" s="154">
        <v>2070.52</v>
      </c>
      <c r="N108" s="154">
        <v>0</v>
      </c>
      <c r="O108" s="154">
        <v>0</v>
      </c>
      <c r="P108" s="154">
        <v>0</v>
      </c>
      <c r="Q108" s="154">
        <v>0</v>
      </c>
      <c r="R108" s="154">
        <v>0</v>
      </c>
      <c r="S108" s="154">
        <f t="shared" si="12"/>
        <v>2070.52</v>
      </c>
      <c r="T108" s="154">
        <f t="shared" si="6"/>
        <v>2070.52</v>
      </c>
      <c r="V108" s="146" t="s">
        <v>371</v>
      </c>
      <c r="W108" s="146" t="s">
        <v>371</v>
      </c>
    </row>
    <row r="109" spans="2:23">
      <c r="B109" s="146" t="s">
        <v>771</v>
      </c>
      <c r="D109" s="146">
        <v>1001003001</v>
      </c>
      <c r="E109" s="146" t="str">
        <f>_xlfn.XLOOKUP(D109,'Detalhamento - G200'!A:A,'Detalhamento - G200'!B:B,0)</f>
        <v>FUNDAÇÃO GALPÃO</v>
      </c>
      <c r="F109" s="175">
        <v>93451</v>
      </c>
      <c r="G109" s="175">
        <v>585</v>
      </c>
      <c r="H109" s="146" t="s">
        <v>790</v>
      </c>
      <c r="I109" s="173">
        <v>46135</v>
      </c>
      <c r="J109" s="173">
        <v>46137</v>
      </c>
      <c r="K109" s="146" t="s">
        <v>801</v>
      </c>
      <c r="L109" s="146" t="s">
        <v>298</v>
      </c>
      <c r="M109" s="154">
        <v>817.62</v>
      </c>
      <c r="N109" s="154">
        <v>0</v>
      </c>
      <c r="O109" s="154">
        <v>0</v>
      </c>
      <c r="P109" s="154">
        <v>0</v>
      </c>
      <c r="Q109" s="154">
        <v>0</v>
      </c>
      <c r="R109" s="154">
        <v>0</v>
      </c>
      <c r="S109" s="154">
        <f t="shared" si="12"/>
        <v>817.62</v>
      </c>
      <c r="T109" s="154">
        <f t="shared" si="6"/>
        <v>817.62</v>
      </c>
      <c r="V109" s="146" t="s">
        <v>371</v>
      </c>
      <c r="W109" s="146" t="s">
        <v>371</v>
      </c>
    </row>
    <row r="110" spans="2:23">
      <c r="B110" s="146" t="s">
        <v>771</v>
      </c>
      <c r="D110" s="146">
        <v>1001003002</v>
      </c>
      <c r="E110" s="146" t="str">
        <f>_xlfn.XLOOKUP(D110,'Detalhamento - G200'!A:A,'Detalhamento - G200'!B:B,0)</f>
        <v>SUPERESTRUTURA GALPÃO</v>
      </c>
      <c r="F110" s="175">
        <v>93451</v>
      </c>
      <c r="G110" s="175">
        <v>585</v>
      </c>
      <c r="H110" s="146" t="s">
        <v>790</v>
      </c>
      <c r="I110" s="173">
        <v>46135</v>
      </c>
      <c r="J110" s="173">
        <v>46137</v>
      </c>
      <c r="K110" s="146" t="s">
        <v>801</v>
      </c>
      <c r="L110" s="146" t="s">
        <v>298</v>
      </c>
      <c r="M110" s="154">
        <v>50.98</v>
      </c>
      <c r="N110" s="154">
        <v>0</v>
      </c>
      <c r="O110" s="154">
        <v>0</v>
      </c>
      <c r="P110" s="154">
        <v>0</v>
      </c>
      <c r="Q110" s="154">
        <v>0</v>
      </c>
      <c r="R110" s="154">
        <v>0</v>
      </c>
      <c r="S110" s="154">
        <f t="shared" si="12"/>
        <v>50.98</v>
      </c>
      <c r="T110" s="154">
        <f t="shared" si="6"/>
        <v>50.98</v>
      </c>
      <c r="V110" s="146" t="s">
        <v>371</v>
      </c>
      <c r="W110" s="146" t="s">
        <v>371</v>
      </c>
    </row>
    <row r="111" spans="2:23">
      <c r="B111" s="146" t="s">
        <v>771</v>
      </c>
      <c r="D111" s="146">
        <v>1001003006</v>
      </c>
      <c r="E111" s="146" t="str">
        <f>_xlfn.XLOOKUP(D111,'Detalhamento - G200'!A:A,'Detalhamento - G200'!B:B,0)</f>
        <v>IMPERMEABILIZAÇÃO</v>
      </c>
      <c r="F111" s="175">
        <v>93451</v>
      </c>
      <c r="G111" s="175">
        <v>585</v>
      </c>
      <c r="H111" s="146" t="s">
        <v>790</v>
      </c>
      <c r="I111" s="173">
        <v>46135</v>
      </c>
      <c r="J111" s="173">
        <v>46137</v>
      </c>
      <c r="K111" s="146" t="s">
        <v>801</v>
      </c>
      <c r="L111" s="146" t="s">
        <v>298</v>
      </c>
      <c r="M111" s="154">
        <v>180.39</v>
      </c>
      <c r="N111" s="154">
        <v>0</v>
      </c>
      <c r="O111" s="154">
        <v>0</v>
      </c>
      <c r="P111" s="154">
        <v>0</v>
      </c>
      <c r="Q111" s="154">
        <v>0</v>
      </c>
      <c r="R111" s="154">
        <v>0</v>
      </c>
      <c r="S111" s="154">
        <f t="shared" si="12"/>
        <v>180.39</v>
      </c>
      <c r="T111" s="154">
        <f t="shared" si="6"/>
        <v>180.39</v>
      </c>
      <c r="V111" s="146" t="s">
        <v>371</v>
      </c>
      <c r="W111" s="146" t="s">
        <v>371</v>
      </c>
    </row>
    <row r="112" spans="2:23" ht="36">
      <c r="B112" s="146" t="s">
        <v>771</v>
      </c>
      <c r="D112" s="146">
        <v>1001004002</v>
      </c>
      <c r="E112" s="146" t="str">
        <f>_xlfn.XLOOKUP(D112,'Detalhamento - G200'!A:A,'Detalhamento - G200'!B:B,0)</f>
        <v>APOIO (VESTIÁRIO + REFEITÓRIO)</v>
      </c>
      <c r="F112" s="175">
        <v>93451</v>
      </c>
      <c r="G112" s="175">
        <v>585</v>
      </c>
      <c r="H112" s="146" t="s">
        <v>790</v>
      </c>
      <c r="I112" s="173">
        <v>46135</v>
      </c>
      <c r="J112" s="173">
        <v>46137</v>
      </c>
      <c r="K112" s="146" t="s">
        <v>801</v>
      </c>
      <c r="L112" s="146" t="s">
        <v>298</v>
      </c>
      <c r="M112" s="154">
        <v>2835.2</v>
      </c>
      <c r="N112" s="154">
        <v>0</v>
      </c>
      <c r="O112" s="154">
        <v>0</v>
      </c>
      <c r="P112" s="154">
        <v>0</v>
      </c>
      <c r="Q112" s="154">
        <v>0</v>
      </c>
      <c r="R112" s="154">
        <v>0</v>
      </c>
      <c r="S112" s="154">
        <f t="shared" si="12"/>
        <v>2835.2</v>
      </c>
      <c r="T112" s="154">
        <f t="shared" si="6"/>
        <v>2835.2</v>
      </c>
      <c r="V112" s="146" t="s">
        <v>371</v>
      </c>
      <c r="W112" s="146" t="s">
        <v>371</v>
      </c>
    </row>
    <row r="113" spans="2:23">
      <c r="B113" s="146" t="s">
        <v>771</v>
      </c>
      <c r="D113" s="146">
        <v>1001004005</v>
      </c>
      <c r="E113" s="146" t="str">
        <f>_xlfn.XLOOKUP(D113,'Detalhamento - G200'!A:A,'Detalhamento - G200'!B:B,0)</f>
        <v>UTILIDADES</v>
      </c>
      <c r="F113" s="175">
        <v>93451</v>
      </c>
      <c r="G113" s="175">
        <v>585</v>
      </c>
      <c r="H113" s="146" t="s">
        <v>790</v>
      </c>
      <c r="I113" s="173">
        <v>46135</v>
      </c>
      <c r="J113" s="173">
        <v>46137</v>
      </c>
      <c r="K113" s="146" t="s">
        <v>801</v>
      </c>
      <c r="L113" s="146" t="s">
        <v>298</v>
      </c>
      <c r="M113" s="154">
        <v>290.19</v>
      </c>
      <c r="N113" s="154">
        <v>0</v>
      </c>
      <c r="O113" s="154">
        <v>0</v>
      </c>
      <c r="P113" s="154">
        <v>0</v>
      </c>
      <c r="Q113" s="154">
        <v>0</v>
      </c>
      <c r="R113" s="154">
        <v>0</v>
      </c>
      <c r="S113" s="154">
        <f t="shared" si="12"/>
        <v>290.19</v>
      </c>
      <c r="T113" s="154">
        <f t="shared" si="6"/>
        <v>290.19</v>
      </c>
      <c r="V113" s="146" t="s">
        <v>371</v>
      </c>
      <c r="W113" s="146" t="s">
        <v>371</v>
      </c>
    </row>
    <row r="114" spans="2:23" ht="36">
      <c r="B114" s="146" t="s">
        <v>771</v>
      </c>
      <c r="D114" s="146">
        <v>1001004006</v>
      </c>
      <c r="E114" s="146" t="str">
        <f>_xlfn.XLOOKUP(D114,'Detalhamento - G200'!A:A,'Detalhamento - G200'!B:B,0)</f>
        <v>SANITÁRIOS EXTERNOS AO GALPÃO</v>
      </c>
      <c r="F114" s="175">
        <v>93451</v>
      </c>
      <c r="G114" s="175">
        <v>585</v>
      </c>
      <c r="H114" s="146" t="s">
        <v>790</v>
      </c>
      <c r="I114" s="173">
        <v>46135</v>
      </c>
      <c r="J114" s="173">
        <v>46137</v>
      </c>
      <c r="K114" s="146" t="s">
        <v>801</v>
      </c>
      <c r="L114" s="146" t="s">
        <v>298</v>
      </c>
      <c r="M114" s="154">
        <v>2048.9499999999998</v>
      </c>
      <c r="N114" s="154">
        <v>0</v>
      </c>
      <c r="O114" s="154">
        <v>0</v>
      </c>
      <c r="P114" s="154">
        <v>0</v>
      </c>
      <c r="Q114" s="154">
        <v>0</v>
      </c>
      <c r="R114" s="154">
        <v>0</v>
      </c>
      <c r="S114" s="154">
        <f t="shared" si="12"/>
        <v>2048.9499999999998</v>
      </c>
      <c r="T114" s="154">
        <f t="shared" si="6"/>
        <v>2048.9499999999998</v>
      </c>
      <c r="V114" s="146" t="s">
        <v>371</v>
      </c>
      <c r="W114" s="146" t="s">
        <v>371</v>
      </c>
    </row>
    <row r="115" spans="2:23">
      <c r="B115" s="146" t="s">
        <v>771</v>
      </c>
      <c r="D115" s="146">
        <v>1001006006</v>
      </c>
      <c r="E115" s="146" t="str">
        <f>_xlfn.XLOOKUP(D115,'Detalhamento - G200'!A:A,'Detalhamento - G200'!B:B,0)</f>
        <v>ETE</v>
      </c>
      <c r="F115" s="175">
        <v>93451</v>
      </c>
      <c r="G115" s="175">
        <v>585</v>
      </c>
      <c r="H115" s="146" t="s">
        <v>790</v>
      </c>
      <c r="I115" s="173">
        <v>46135</v>
      </c>
      <c r="J115" s="173">
        <v>46137</v>
      </c>
      <c r="K115" s="146" t="s">
        <v>801</v>
      </c>
      <c r="L115" s="146" t="s">
        <v>298</v>
      </c>
      <c r="M115" s="154">
        <v>205.88</v>
      </c>
      <c r="N115" s="154">
        <v>0</v>
      </c>
      <c r="O115" s="154">
        <v>0</v>
      </c>
      <c r="P115" s="154">
        <v>0</v>
      </c>
      <c r="Q115" s="154">
        <v>0</v>
      </c>
      <c r="R115" s="154">
        <v>0</v>
      </c>
      <c r="S115" s="154">
        <f t="shared" si="12"/>
        <v>205.88</v>
      </c>
      <c r="T115" s="154">
        <f t="shared" si="6"/>
        <v>205.88</v>
      </c>
      <c r="V115" s="146" t="s">
        <v>371</v>
      </c>
      <c r="W115" s="146" t="s">
        <v>371</v>
      </c>
    </row>
    <row r="116" spans="2:23">
      <c r="B116" s="146" t="s">
        <v>771</v>
      </c>
      <c r="D116" s="146">
        <v>1002002001</v>
      </c>
      <c r="E116" s="146" t="str">
        <f>_xlfn.XLOOKUP(D116,'Detalhamento - G200'!A:A,'Detalhamento - G200'!B:B,0)</f>
        <v>FUNDAÇÃO</v>
      </c>
      <c r="F116" s="175">
        <v>93451</v>
      </c>
      <c r="G116" s="175">
        <v>585</v>
      </c>
      <c r="H116" s="146" t="s">
        <v>790</v>
      </c>
      <c r="I116" s="173">
        <v>46135</v>
      </c>
      <c r="J116" s="173">
        <v>46137</v>
      </c>
      <c r="K116" s="146" t="s">
        <v>801</v>
      </c>
      <c r="L116" s="146" t="s">
        <v>298</v>
      </c>
      <c r="M116" s="154">
        <v>705.86</v>
      </c>
      <c r="N116" s="154">
        <v>0</v>
      </c>
      <c r="O116" s="154">
        <v>0</v>
      </c>
      <c r="P116" s="154">
        <v>0</v>
      </c>
      <c r="Q116" s="154">
        <v>0</v>
      </c>
      <c r="R116" s="154">
        <v>0</v>
      </c>
      <c r="S116" s="154">
        <f t="shared" si="12"/>
        <v>705.86</v>
      </c>
      <c r="T116" s="154">
        <f t="shared" si="6"/>
        <v>705.86</v>
      </c>
      <c r="V116" s="146" t="s">
        <v>371</v>
      </c>
      <c r="W116" s="146" t="s">
        <v>371</v>
      </c>
    </row>
    <row r="117" spans="2:23">
      <c r="B117" s="146" t="s">
        <v>771</v>
      </c>
      <c r="D117" s="146">
        <v>2001024001</v>
      </c>
      <c r="E117" s="146" t="str">
        <f>_xlfn.XLOOKUP(D117,'Detalhamento - G200'!A:A,'Detalhamento - G200'!B:B,0)</f>
        <v>ALIMENTAÇÃO</v>
      </c>
      <c r="F117" s="175">
        <v>93451</v>
      </c>
      <c r="G117" s="175">
        <v>585</v>
      </c>
      <c r="H117" s="146" t="s">
        <v>790</v>
      </c>
      <c r="I117" s="173">
        <v>46135</v>
      </c>
      <c r="J117" s="173">
        <v>46137</v>
      </c>
      <c r="K117" s="146" t="s">
        <v>801</v>
      </c>
      <c r="L117" s="146" t="s">
        <v>298</v>
      </c>
      <c r="M117" s="154">
        <v>8748.7199999999993</v>
      </c>
      <c r="N117" s="154">
        <v>0</v>
      </c>
      <c r="O117" s="154">
        <v>0</v>
      </c>
      <c r="P117" s="154">
        <v>0</v>
      </c>
      <c r="Q117" s="154">
        <v>0</v>
      </c>
      <c r="R117" s="154">
        <v>0</v>
      </c>
      <c r="S117" s="154">
        <f t="shared" si="12"/>
        <v>8748.7199999999993</v>
      </c>
      <c r="T117" s="154">
        <f t="shared" si="6"/>
        <v>8748.7199999999993</v>
      </c>
      <c r="V117" s="146" t="s">
        <v>371</v>
      </c>
      <c r="W117" s="146" t="s">
        <v>371</v>
      </c>
    </row>
    <row r="118" spans="2:23">
      <c r="B118" s="146" t="s">
        <v>771</v>
      </c>
      <c r="D118" s="146">
        <v>1003006001</v>
      </c>
      <c r="E118" s="146" t="str">
        <f>_xlfn.XLOOKUP(D118,'Detalhamento - G200'!A:A,'Detalhamento - G200'!B:B,0)</f>
        <v>PROJETOS, CQPS E AS BUILT</v>
      </c>
      <c r="F118" s="175">
        <v>93443</v>
      </c>
      <c r="G118" s="175">
        <v>283</v>
      </c>
      <c r="H118" s="146" t="s">
        <v>792</v>
      </c>
      <c r="I118" s="173">
        <v>46135</v>
      </c>
      <c r="J118" s="173">
        <v>46147</v>
      </c>
      <c r="K118" s="146" t="s">
        <v>804</v>
      </c>
      <c r="L118" s="146" t="s">
        <v>795</v>
      </c>
      <c r="M118" s="154">
        <v>15650</v>
      </c>
      <c r="N118" s="154">
        <v>0</v>
      </c>
      <c r="O118" s="154">
        <v>0</v>
      </c>
      <c r="P118" s="154">
        <v>0</v>
      </c>
      <c r="Q118" s="154">
        <v>0</v>
      </c>
      <c r="R118" s="154">
        <v>0</v>
      </c>
      <c r="S118" s="154">
        <f t="shared" si="12"/>
        <v>15650</v>
      </c>
      <c r="T118" s="154">
        <f t="shared" si="6"/>
        <v>15650</v>
      </c>
      <c r="V118" s="146" t="s">
        <v>593</v>
      </c>
      <c r="W118" s="146" t="s">
        <v>593</v>
      </c>
    </row>
    <row r="119" spans="2:23">
      <c r="B119" s="146" t="s">
        <v>771</v>
      </c>
      <c r="D119" s="146">
        <v>2001011001</v>
      </c>
      <c r="E119" s="146" t="str">
        <f>_xlfn.XLOOKUP(D119,'Detalhamento - G200'!A:A,'Detalhamento - G200'!B:B,0)</f>
        <v>LOCAÇÃO - IMPRESSORA</v>
      </c>
      <c r="F119" s="175">
        <v>93433</v>
      </c>
      <c r="G119" s="175">
        <v>10716</v>
      </c>
      <c r="H119" s="146" t="s">
        <v>792</v>
      </c>
      <c r="I119" s="173">
        <v>46135</v>
      </c>
      <c r="J119" s="173">
        <v>46147</v>
      </c>
      <c r="K119" s="146" t="s">
        <v>805</v>
      </c>
      <c r="L119" s="146" t="s">
        <v>796</v>
      </c>
      <c r="M119" s="154">
        <v>2046.2</v>
      </c>
      <c r="N119" s="154">
        <v>0</v>
      </c>
      <c r="O119" s="154">
        <v>0</v>
      </c>
      <c r="P119" s="154">
        <v>0</v>
      </c>
      <c r="Q119" s="154">
        <v>0</v>
      </c>
      <c r="R119" s="154">
        <v>0</v>
      </c>
      <c r="S119" s="154">
        <f t="shared" si="12"/>
        <v>2046.2</v>
      </c>
      <c r="T119" s="154">
        <f t="shared" si="6"/>
        <v>2046.2</v>
      </c>
      <c r="V119" s="146" t="s">
        <v>598</v>
      </c>
      <c r="W119" s="146" t="s">
        <v>598</v>
      </c>
    </row>
    <row r="120" spans="2:23">
      <c r="B120" s="146" t="s">
        <v>771</v>
      </c>
      <c r="D120" s="146">
        <v>2001011001</v>
      </c>
      <c r="E120" s="146" t="str">
        <f>_xlfn.XLOOKUP(D120,'Detalhamento - G200'!A:A,'Detalhamento - G200'!B:B,0)</f>
        <v>LOCAÇÃO - IMPRESSORA</v>
      </c>
      <c r="F120" s="175">
        <v>93431</v>
      </c>
      <c r="G120" s="175">
        <v>10714</v>
      </c>
      <c r="H120" s="146" t="s">
        <v>792</v>
      </c>
      <c r="I120" s="173">
        <v>46135</v>
      </c>
      <c r="J120" s="173">
        <v>46147</v>
      </c>
      <c r="K120" s="146" t="s">
        <v>805</v>
      </c>
      <c r="L120" s="146" t="s">
        <v>796</v>
      </c>
      <c r="M120" s="154">
        <v>1576.4</v>
      </c>
      <c r="N120" s="154">
        <v>0</v>
      </c>
      <c r="O120" s="154">
        <v>0</v>
      </c>
      <c r="P120" s="154">
        <v>0</v>
      </c>
      <c r="Q120" s="154">
        <v>0</v>
      </c>
      <c r="R120" s="154">
        <v>0</v>
      </c>
      <c r="S120" s="154">
        <f t="shared" si="12"/>
        <v>1576.4</v>
      </c>
      <c r="T120" s="154">
        <f t="shared" si="6"/>
        <v>1576.4</v>
      </c>
      <c r="V120" s="146" t="s">
        <v>598</v>
      </c>
      <c r="W120" s="146" t="s">
        <v>598</v>
      </c>
    </row>
    <row r="121" spans="2:23" ht="36">
      <c r="B121" s="146" t="s">
        <v>771</v>
      </c>
      <c r="D121" s="146">
        <v>2001001010</v>
      </c>
      <c r="E121" s="146" t="str">
        <f>_xlfn.XLOOKUP(D121,'Detalhamento - G200'!A:A,'Detalhamento - G200'!B:B,0)</f>
        <v>MANUTENÇÃO DE CANTEIRO</v>
      </c>
      <c r="F121" s="175">
        <v>93295</v>
      </c>
      <c r="G121" s="175">
        <v>5079</v>
      </c>
      <c r="H121" s="146" t="s">
        <v>790</v>
      </c>
      <c r="I121" s="173">
        <v>46126</v>
      </c>
      <c r="J121" s="173">
        <v>46156</v>
      </c>
      <c r="K121" s="146" t="s">
        <v>784</v>
      </c>
      <c r="L121" s="146" t="s">
        <v>788</v>
      </c>
      <c r="M121" s="154">
        <v>490</v>
      </c>
      <c r="N121" s="154">
        <v>0</v>
      </c>
      <c r="O121" s="154">
        <v>0</v>
      </c>
      <c r="P121" s="154">
        <v>0</v>
      </c>
      <c r="Q121" s="154">
        <v>0</v>
      </c>
      <c r="R121" s="154">
        <v>0</v>
      </c>
      <c r="S121" s="154">
        <f t="shared" si="12"/>
        <v>490</v>
      </c>
      <c r="T121" s="154">
        <f t="shared" si="6"/>
        <v>490</v>
      </c>
      <c r="V121" s="146" t="s">
        <v>682</v>
      </c>
      <c r="W121" s="146" t="s">
        <v>935</v>
      </c>
    </row>
    <row r="122" spans="2:23" ht="36">
      <c r="B122" s="146" t="s">
        <v>771</v>
      </c>
      <c r="D122" s="146">
        <v>2001001006</v>
      </c>
      <c r="E122" s="146" t="str">
        <f>_xlfn.XLOOKUP(D122,'Detalhamento - G200'!A:A,'Detalhamento - G200'!B:B,0)</f>
        <v>IMPLANTAÇÃO DE CANTEIRO - CIVIL</v>
      </c>
      <c r="F122" s="175">
        <v>93295</v>
      </c>
      <c r="G122" s="175">
        <v>5079</v>
      </c>
      <c r="H122" s="146" t="s">
        <v>790</v>
      </c>
      <c r="I122" s="173">
        <v>46126</v>
      </c>
      <c r="J122" s="173">
        <v>46156</v>
      </c>
      <c r="K122" s="146" t="s">
        <v>784</v>
      </c>
      <c r="L122" s="146" t="s">
        <v>788</v>
      </c>
      <c r="M122" s="154">
        <v>490</v>
      </c>
      <c r="N122" s="154">
        <v>0</v>
      </c>
      <c r="O122" s="154">
        <v>0</v>
      </c>
      <c r="P122" s="154">
        <v>0</v>
      </c>
      <c r="Q122" s="154">
        <v>0</v>
      </c>
      <c r="R122" s="154">
        <v>0</v>
      </c>
      <c r="S122" s="154">
        <f t="shared" si="12"/>
        <v>490</v>
      </c>
      <c r="T122" s="154">
        <f t="shared" si="6"/>
        <v>490</v>
      </c>
      <c r="V122" s="146" t="s">
        <v>682</v>
      </c>
      <c r="W122" s="146" t="s">
        <v>935</v>
      </c>
    </row>
    <row r="123" spans="2:23">
      <c r="B123" s="146" t="s">
        <v>771</v>
      </c>
      <c r="D123" s="146">
        <v>1001001001</v>
      </c>
      <c r="E123" s="146" t="str">
        <f>_xlfn.XLOOKUP(D123,'Detalhamento - G200'!A:A,'Detalhamento - G200'!B:B,0)</f>
        <v>PROJETOS</v>
      </c>
      <c r="F123" s="175">
        <v>93116</v>
      </c>
      <c r="G123" s="175">
        <v>488</v>
      </c>
      <c r="H123" s="146" t="s">
        <v>792</v>
      </c>
      <c r="I123" s="173">
        <v>46129</v>
      </c>
      <c r="J123" s="173">
        <v>46147</v>
      </c>
      <c r="K123" s="146" t="s">
        <v>413</v>
      </c>
      <c r="L123" s="146" t="s">
        <v>344</v>
      </c>
      <c r="M123" s="154">
        <v>61200</v>
      </c>
      <c r="N123" s="154">
        <v>0</v>
      </c>
      <c r="O123" s="154">
        <v>0</v>
      </c>
      <c r="P123" s="154">
        <v>0</v>
      </c>
      <c r="Q123" s="154">
        <v>0</v>
      </c>
      <c r="R123" s="154">
        <v>0</v>
      </c>
      <c r="S123" s="154">
        <f t="shared" si="12"/>
        <v>61200</v>
      </c>
      <c r="T123" s="154">
        <f t="shared" si="6"/>
        <v>61200</v>
      </c>
      <c r="V123" s="146" t="s">
        <v>351</v>
      </c>
      <c r="W123" s="146" t="s">
        <v>351</v>
      </c>
    </row>
    <row r="124" spans="2:23" ht="18.600000000000001" customHeight="1">
      <c r="B124" s="146" t="s">
        <v>771</v>
      </c>
      <c r="D124" s="146">
        <v>1001001001</v>
      </c>
      <c r="E124" s="146" t="str">
        <f>_xlfn.XLOOKUP(D124,'Detalhamento - G200'!A:A,'Detalhamento - G200'!B:B,0)</f>
        <v>PROJETOS</v>
      </c>
      <c r="F124" s="175">
        <v>93058</v>
      </c>
      <c r="G124" s="175">
        <v>848</v>
      </c>
      <c r="H124" s="146" t="s">
        <v>792</v>
      </c>
      <c r="I124" s="173">
        <v>46128</v>
      </c>
      <c r="J124" s="173">
        <v>46147</v>
      </c>
      <c r="K124" s="146" t="s">
        <v>414</v>
      </c>
      <c r="L124" s="146" t="s">
        <v>415</v>
      </c>
      <c r="M124" s="154">
        <v>34800</v>
      </c>
      <c r="N124" s="154">
        <v>2140.1999999999998</v>
      </c>
      <c r="O124" s="154">
        <v>0</v>
      </c>
      <c r="P124" s="154">
        <v>0</v>
      </c>
      <c r="Q124" s="154">
        <v>0</v>
      </c>
      <c r="R124" s="154">
        <v>0</v>
      </c>
      <c r="S124" s="154">
        <f t="shared" si="12"/>
        <v>32659.8</v>
      </c>
      <c r="T124" s="154">
        <f t="shared" si="6"/>
        <v>34800</v>
      </c>
      <c r="V124" s="146" t="s">
        <v>346</v>
      </c>
      <c r="W124" s="146" t="s">
        <v>346</v>
      </c>
    </row>
    <row r="125" spans="2:23">
      <c r="B125" s="146" t="s">
        <v>771</v>
      </c>
      <c r="D125" s="146">
        <v>1001002003</v>
      </c>
      <c r="E125" s="146" t="str">
        <f>_xlfn.XLOOKUP(D125,'Detalhamento - G200'!A:A,'Detalhamento - G200'!B:B,0)</f>
        <v>MOVIMENTAÇÃO DE TERRA</v>
      </c>
      <c r="F125" s="175">
        <v>93057</v>
      </c>
      <c r="G125" s="175">
        <v>567</v>
      </c>
      <c r="H125" s="146" t="s">
        <v>790</v>
      </c>
      <c r="I125" s="173">
        <v>46125</v>
      </c>
      <c r="J125" s="173">
        <v>46140</v>
      </c>
      <c r="K125" s="146" t="s">
        <v>801</v>
      </c>
      <c r="L125" s="146" t="s">
        <v>298</v>
      </c>
      <c r="M125" s="154">
        <v>122.91</v>
      </c>
      <c r="N125" s="154">
        <v>0</v>
      </c>
      <c r="O125" s="154">
        <v>0</v>
      </c>
      <c r="P125" s="154">
        <v>0</v>
      </c>
      <c r="Q125" s="154">
        <v>0</v>
      </c>
      <c r="R125" s="154">
        <v>0</v>
      </c>
      <c r="S125" s="154">
        <f t="shared" si="12"/>
        <v>122.91</v>
      </c>
      <c r="T125" s="154">
        <f t="shared" si="6"/>
        <v>122.91</v>
      </c>
      <c r="V125" s="146" t="s">
        <v>371</v>
      </c>
      <c r="W125" s="146" t="s">
        <v>371</v>
      </c>
    </row>
    <row r="126" spans="2:23">
      <c r="B126" s="146" t="s">
        <v>771</v>
      </c>
      <c r="D126" s="146">
        <v>1001002006</v>
      </c>
      <c r="E126" s="146" t="str">
        <f>_xlfn.XLOOKUP(D126,'Detalhamento - G200'!A:A,'Detalhamento - G200'!B:B,0)</f>
        <v>CONTENÇÕES</v>
      </c>
      <c r="F126" s="175">
        <v>93057</v>
      </c>
      <c r="G126" s="175">
        <v>567</v>
      </c>
      <c r="H126" s="146" t="s">
        <v>790</v>
      </c>
      <c r="I126" s="173">
        <v>46125</v>
      </c>
      <c r="J126" s="173">
        <v>46140</v>
      </c>
      <c r="K126" s="146" t="s">
        <v>801</v>
      </c>
      <c r="L126" s="146" t="s">
        <v>298</v>
      </c>
      <c r="M126" s="154">
        <v>1832.01</v>
      </c>
      <c r="N126" s="154">
        <v>0</v>
      </c>
      <c r="O126" s="154">
        <v>0</v>
      </c>
      <c r="P126" s="154">
        <v>0</v>
      </c>
      <c r="Q126" s="154">
        <v>0</v>
      </c>
      <c r="R126" s="154">
        <v>0</v>
      </c>
      <c r="S126" s="154">
        <f t="shared" si="12"/>
        <v>1832.01</v>
      </c>
      <c r="T126" s="154">
        <f t="shared" si="6"/>
        <v>1832.01</v>
      </c>
      <c r="V126" s="146" t="s">
        <v>371</v>
      </c>
      <c r="W126" s="146" t="s">
        <v>371</v>
      </c>
    </row>
    <row r="127" spans="2:23">
      <c r="B127" s="146" t="s">
        <v>771</v>
      </c>
      <c r="D127" s="146">
        <v>1001002008</v>
      </c>
      <c r="E127" s="146" t="str">
        <f>_xlfn.XLOOKUP(D127,'Detalhamento - G200'!A:A,'Detalhamento - G200'!B:B,0)</f>
        <v>DRENAGEM</v>
      </c>
      <c r="F127" s="175">
        <v>93057</v>
      </c>
      <c r="G127" s="175">
        <v>567</v>
      </c>
      <c r="H127" s="146" t="s">
        <v>790</v>
      </c>
      <c r="I127" s="173">
        <v>46125</v>
      </c>
      <c r="J127" s="173">
        <v>46140</v>
      </c>
      <c r="K127" s="146" t="s">
        <v>801</v>
      </c>
      <c r="L127" s="146" t="s">
        <v>298</v>
      </c>
      <c r="M127" s="154">
        <v>2448.86</v>
      </c>
      <c r="N127" s="154">
        <v>0</v>
      </c>
      <c r="O127" s="154">
        <v>0</v>
      </c>
      <c r="P127" s="154">
        <v>0</v>
      </c>
      <c r="Q127" s="154">
        <v>0</v>
      </c>
      <c r="R127" s="154">
        <v>0</v>
      </c>
      <c r="S127" s="154">
        <f t="shared" si="12"/>
        <v>2448.86</v>
      </c>
      <c r="T127" s="154">
        <f t="shared" si="6"/>
        <v>2448.86</v>
      </c>
      <c r="V127" s="146" t="s">
        <v>371</v>
      </c>
      <c r="W127" s="146" t="s">
        <v>371</v>
      </c>
    </row>
    <row r="128" spans="2:23">
      <c r="B128" s="146" t="s">
        <v>771</v>
      </c>
      <c r="D128" s="146">
        <v>1001003001</v>
      </c>
      <c r="E128" s="146" t="str">
        <f>_xlfn.XLOOKUP(D128,'Detalhamento - G200'!A:A,'Detalhamento - G200'!B:B,0)</f>
        <v>FUNDAÇÃO GALPÃO</v>
      </c>
      <c r="F128" s="175">
        <v>93057</v>
      </c>
      <c r="G128" s="175">
        <v>567</v>
      </c>
      <c r="H128" s="146" t="s">
        <v>790</v>
      </c>
      <c r="I128" s="173">
        <v>46125</v>
      </c>
      <c r="J128" s="173">
        <v>46140</v>
      </c>
      <c r="K128" s="146" t="s">
        <v>801</v>
      </c>
      <c r="L128" s="146" t="s">
        <v>298</v>
      </c>
      <c r="M128" s="154">
        <v>967.02</v>
      </c>
      <c r="N128" s="154">
        <v>0</v>
      </c>
      <c r="O128" s="154">
        <v>0</v>
      </c>
      <c r="P128" s="154">
        <v>0</v>
      </c>
      <c r="Q128" s="154">
        <v>0</v>
      </c>
      <c r="R128" s="154">
        <v>0</v>
      </c>
      <c r="S128" s="154">
        <f t="shared" si="12"/>
        <v>967.02</v>
      </c>
      <c r="T128" s="154">
        <f t="shared" si="6"/>
        <v>967.02</v>
      </c>
      <c r="V128" s="146" t="s">
        <v>371</v>
      </c>
      <c r="W128" s="146" t="s">
        <v>371</v>
      </c>
    </row>
    <row r="129" spans="2:23">
      <c r="B129" s="146" t="s">
        <v>771</v>
      </c>
      <c r="D129" s="146">
        <v>1001003002</v>
      </c>
      <c r="E129" s="146" t="str">
        <f>_xlfn.XLOOKUP(D129,'Detalhamento - G200'!A:A,'Detalhamento - G200'!B:B,0)</f>
        <v>SUPERESTRUTURA GALPÃO</v>
      </c>
      <c r="F129" s="175">
        <v>93057</v>
      </c>
      <c r="G129" s="175">
        <v>567</v>
      </c>
      <c r="H129" s="146" t="s">
        <v>790</v>
      </c>
      <c r="I129" s="173">
        <v>46125</v>
      </c>
      <c r="J129" s="173">
        <v>46140</v>
      </c>
      <c r="K129" s="146" t="s">
        <v>801</v>
      </c>
      <c r="L129" s="146" t="s">
        <v>298</v>
      </c>
      <c r="M129" s="154">
        <v>60.29</v>
      </c>
      <c r="N129" s="154">
        <v>0</v>
      </c>
      <c r="O129" s="154">
        <v>0</v>
      </c>
      <c r="P129" s="154">
        <v>0</v>
      </c>
      <c r="Q129" s="154">
        <v>0</v>
      </c>
      <c r="R129" s="154">
        <v>0</v>
      </c>
      <c r="S129" s="154">
        <f t="shared" si="12"/>
        <v>60.29</v>
      </c>
      <c r="T129" s="154">
        <f t="shared" si="6"/>
        <v>60.29</v>
      </c>
      <c r="V129" s="146" t="s">
        <v>371</v>
      </c>
      <c r="W129" s="146" t="s">
        <v>371</v>
      </c>
    </row>
    <row r="130" spans="2:23">
      <c r="B130" s="146" t="s">
        <v>771</v>
      </c>
      <c r="D130" s="146">
        <v>1001003006</v>
      </c>
      <c r="E130" s="146" t="str">
        <f>_xlfn.XLOOKUP(D130,'Detalhamento - G200'!A:A,'Detalhamento - G200'!B:B,0)</f>
        <v>IMPERMEABILIZAÇÃO</v>
      </c>
      <c r="F130" s="175">
        <v>93057</v>
      </c>
      <c r="G130" s="175">
        <v>567</v>
      </c>
      <c r="H130" s="146" t="s">
        <v>790</v>
      </c>
      <c r="I130" s="173">
        <v>46125</v>
      </c>
      <c r="J130" s="173">
        <v>46140</v>
      </c>
      <c r="K130" s="146" t="s">
        <v>801</v>
      </c>
      <c r="L130" s="146" t="s">
        <v>298</v>
      </c>
      <c r="M130" s="154">
        <v>213.35</v>
      </c>
      <c r="N130" s="154">
        <v>0</v>
      </c>
      <c r="O130" s="154">
        <v>0</v>
      </c>
      <c r="P130" s="154">
        <v>0</v>
      </c>
      <c r="Q130" s="154">
        <v>0</v>
      </c>
      <c r="R130" s="154">
        <v>0</v>
      </c>
      <c r="S130" s="154">
        <f t="shared" si="12"/>
        <v>213.35</v>
      </c>
      <c r="T130" s="154">
        <f t="shared" si="6"/>
        <v>213.35</v>
      </c>
      <c r="V130" s="146" t="s">
        <v>371</v>
      </c>
      <c r="W130" s="146" t="s">
        <v>371</v>
      </c>
    </row>
    <row r="131" spans="2:23" ht="36">
      <c r="B131" s="146" t="s">
        <v>771</v>
      </c>
      <c r="D131" s="146">
        <v>1001004002</v>
      </c>
      <c r="E131" s="146" t="str">
        <f>_xlfn.XLOOKUP(D131,'Detalhamento - G200'!A:A,'Detalhamento - G200'!B:B,0)</f>
        <v>APOIO (VESTIÁRIO + REFEITÓRIO)</v>
      </c>
      <c r="F131" s="175">
        <v>93057</v>
      </c>
      <c r="G131" s="175">
        <v>567</v>
      </c>
      <c r="H131" s="146" t="s">
        <v>790</v>
      </c>
      <c r="I131" s="173">
        <v>46125</v>
      </c>
      <c r="J131" s="173">
        <v>46140</v>
      </c>
      <c r="K131" s="146" t="s">
        <v>801</v>
      </c>
      <c r="L131" s="146" t="s">
        <v>298</v>
      </c>
      <c r="M131" s="154">
        <v>3353.27</v>
      </c>
      <c r="N131" s="154">
        <v>0</v>
      </c>
      <c r="O131" s="154">
        <v>0</v>
      </c>
      <c r="P131" s="154">
        <v>0</v>
      </c>
      <c r="Q131" s="154">
        <v>0</v>
      </c>
      <c r="R131" s="154">
        <v>0</v>
      </c>
      <c r="S131" s="154">
        <f t="shared" si="12"/>
        <v>3353.27</v>
      </c>
      <c r="T131" s="154">
        <f t="shared" si="6"/>
        <v>3353.27</v>
      </c>
      <c r="V131" s="146" t="s">
        <v>371</v>
      </c>
      <c r="W131" s="146" t="s">
        <v>371</v>
      </c>
    </row>
    <row r="132" spans="2:23">
      <c r="B132" s="146" t="s">
        <v>771</v>
      </c>
      <c r="D132" s="146">
        <v>1001004005</v>
      </c>
      <c r="E132" s="146" t="str">
        <f>_xlfn.XLOOKUP(D132,'Detalhamento - G200'!A:A,'Detalhamento - G200'!B:B,0)</f>
        <v>UTILIDADES</v>
      </c>
      <c r="F132" s="175">
        <v>93057</v>
      </c>
      <c r="G132" s="175">
        <v>567</v>
      </c>
      <c r="H132" s="146" t="s">
        <v>790</v>
      </c>
      <c r="I132" s="173">
        <v>46125</v>
      </c>
      <c r="J132" s="173">
        <v>46140</v>
      </c>
      <c r="K132" s="146" t="s">
        <v>801</v>
      </c>
      <c r="L132" s="146" t="s">
        <v>298</v>
      </c>
      <c r="M132" s="154">
        <v>343.21</v>
      </c>
      <c r="N132" s="154">
        <v>0</v>
      </c>
      <c r="O132" s="154">
        <v>0</v>
      </c>
      <c r="P132" s="154">
        <v>0</v>
      </c>
      <c r="Q132" s="154">
        <v>0</v>
      </c>
      <c r="R132" s="154">
        <v>0</v>
      </c>
      <c r="S132" s="154">
        <f t="shared" si="12"/>
        <v>343.21</v>
      </c>
      <c r="T132" s="154">
        <f t="shared" si="6"/>
        <v>343.21</v>
      </c>
      <c r="V132" s="146" t="s">
        <v>371</v>
      </c>
      <c r="W132" s="146" t="s">
        <v>371</v>
      </c>
    </row>
    <row r="133" spans="2:23" ht="36">
      <c r="B133" s="146" t="s">
        <v>771</v>
      </c>
      <c r="D133" s="146">
        <v>1001004006</v>
      </c>
      <c r="E133" s="146" t="str">
        <f>_xlfn.XLOOKUP(D133,'Detalhamento - G200'!A:A,'Detalhamento - G200'!B:B,0)</f>
        <v>SANITÁRIOS EXTERNOS AO GALPÃO</v>
      </c>
      <c r="F133" s="175">
        <v>93057</v>
      </c>
      <c r="G133" s="175">
        <v>567</v>
      </c>
      <c r="H133" s="146" t="s">
        <v>790</v>
      </c>
      <c r="I133" s="173">
        <v>46125</v>
      </c>
      <c r="J133" s="173">
        <v>46140</v>
      </c>
      <c r="K133" s="146" t="s">
        <v>801</v>
      </c>
      <c r="L133" s="146" t="s">
        <v>298</v>
      </c>
      <c r="M133" s="154">
        <v>2423.36</v>
      </c>
      <c r="N133" s="154">
        <v>0</v>
      </c>
      <c r="O133" s="154">
        <v>0</v>
      </c>
      <c r="P133" s="154">
        <v>0</v>
      </c>
      <c r="Q133" s="154">
        <v>0</v>
      </c>
      <c r="R133" s="154">
        <v>0</v>
      </c>
      <c r="S133" s="154">
        <f t="shared" si="12"/>
        <v>2423.36</v>
      </c>
      <c r="T133" s="154">
        <f t="shared" si="6"/>
        <v>2423.36</v>
      </c>
      <c r="V133" s="146" t="s">
        <v>371</v>
      </c>
      <c r="W133" s="146" t="s">
        <v>371</v>
      </c>
    </row>
    <row r="134" spans="2:23">
      <c r="B134" s="146" t="s">
        <v>771</v>
      </c>
      <c r="D134" s="146">
        <v>1001006006</v>
      </c>
      <c r="E134" s="146" t="str">
        <f>_xlfn.XLOOKUP(D134,'Detalhamento - G200'!A:A,'Detalhamento - G200'!B:B,0)</f>
        <v>ETE</v>
      </c>
      <c r="F134" s="175">
        <v>93057</v>
      </c>
      <c r="G134" s="175">
        <v>567</v>
      </c>
      <c r="H134" s="146" t="s">
        <v>790</v>
      </c>
      <c r="I134" s="173">
        <v>46125</v>
      </c>
      <c r="J134" s="173">
        <v>46140</v>
      </c>
      <c r="K134" s="146" t="s">
        <v>801</v>
      </c>
      <c r="L134" s="146" t="s">
        <v>298</v>
      </c>
      <c r="M134" s="154">
        <v>243.5</v>
      </c>
      <c r="N134" s="154">
        <v>0</v>
      </c>
      <c r="O134" s="154">
        <v>0</v>
      </c>
      <c r="P134" s="154">
        <v>0</v>
      </c>
      <c r="Q134" s="154">
        <v>0</v>
      </c>
      <c r="R134" s="154">
        <v>0</v>
      </c>
      <c r="S134" s="154">
        <f t="shared" si="12"/>
        <v>243.5</v>
      </c>
      <c r="T134" s="154">
        <f t="shared" si="6"/>
        <v>243.5</v>
      </c>
      <c r="V134" s="146" t="s">
        <v>371</v>
      </c>
      <c r="W134" s="146" t="s">
        <v>371</v>
      </c>
    </row>
    <row r="135" spans="2:23">
      <c r="B135" s="146" t="s">
        <v>771</v>
      </c>
      <c r="D135" s="146">
        <v>1002002001</v>
      </c>
      <c r="E135" s="146" t="str">
        <f>_xlfn.XLOOKUP(D135,'Detalhamento - G200'!A:A,'Detalhamento - G200'!B:B,0)</f>
        <v>FUNDAÇÃO</v>
      </c>
      <c r="F135" s="175">
        <v>93057</v>
      </c>
      <c r="G135" s="175">
        <v>567</v>
      </c>
      <c r="H135" s="146" t="s">
        <v>790</v>
      </c>
      <c r="I135" s="173">
        <v>46125</v>
      </c>
      <c r="J135" s="173">
        <v>46140</v>
      </c>
      <c r="K135" s="146" t="s">
        <v>801</v>
      </c>
      <c r="L135" s="146" t="s">
        <v>298</v>
      </c>
      <c r="M135" s="154">
        <v>834.84</v>
      </c>
      <c r="N135" s="154">
        <v>0</v>
      </c>
      <c r="O135" s="154">
        <v>0</v>
      </c>
      <c r="P135" s="154">
        <v>0</v>
      </c>
      <c r="Q135" s="154">
        <v>0</v>
      </c>
      <c r="R135" s="154">
        <v>0</v>
      </c>
      <c r="S135" s="154">
        <f t="shared" si="12"/>
        <v>834.84</v>
      </c>
      <c r="T135" s="154">
        <f t="shared" si="6"/>
        <v>834.84</v>
      </c>
      <c r="V135" s="146" t="s">
        <v>371</v>
      </c>
      <c r="W135" s="146" t="s">
        <v>371</v>
      </c>
    </row>
    <row r="136" spans="2:23">
      <c r="B136" s="146" t="s">
        <v>771</v>
      </c>
      <c r="D136" s="146">
        <v>2001024001</v>
      </c>
      <c r="E136" s="146" t="str">
        <f>_xlfn.XLOOKUP(D136,'Detalhamento - G200'!A:A,'Detalhamento - G200'!B:B,0)</f>
        <v>ALIMENTAÇÃO</v>
      </c>
      <c r="F136" s="175">
        <v>93057</v>
      </c>
      <c r="G136" s="175">
        <v>567</v>
      </c>
      <c r="H136" s="146" t="s">
        <v>790</v>
      </c>
      <c r="I136" s="173">
        <v>46125</v>
      </c>
      <c r="J136" s="173">
        <v>46140</v>
      </c>
      <c r="K136" s="146" t="s">
        <v>801</v>
      </c>
      <c r="L136" s="146" t="s">
        <v>298</v>
      </c>
      <c r="M136" s="154">
        <v>10347.379999999999</v>
      </c>
      <c r="N136" s="154">
        <v>0</v>
      </c>
      <c r="O136" s="154">
        <v>0</v>
      </c>
      <c r="P136" s="154">
        <v>0</v>
      </c>
      <c r="Q136" s="154">
        <v>0</v>
      </c>
      <c r="R136" s="154">
        <v>0</v>
      </c>
      <c r="S136" s="154">
        <f t="shared" si="12"/>
        <v>10347.379999999999</v>
      </c>
      <c r="T136" s="154">
        <f t="shared" si="6"/>
        <v>10347.379999999999</v>
      </c>
      <c r="V136" s="146" t="s">
        <v>371</v>
      </c>
      <c r="W136" s="146" t="s">
        <v>371</v>
      </c>
    </row>
    <row r="137" spans="2:23" ht="54">
      <c r="B137" s="146" t="s">
        <v>771</v>
      </c>
      <c r="D137" s="146">
        <v>1001003005</v>
      </c>
      <c r="E137" s="146" t="str">
        <f>_xlfn.XLOOKUP(D137,'Detalhamento - G200'!A:A,'Detalhamento - G200'!B:B,0)</f>
        <v>ESQUADRIAS E CAIXILHOS</v>
      </c>
      <c r="F137" s="175">
        <v>93048</v>
      </c>
      <c r="G137" s="175">
        <v>20365</v>
      </c>
      <c r="H137" s="146" t="s">
        <v>812</v>
      </c>
      <c r="I137" s="173">
        <v>46128</v>
      </c>
      <c r="J137" s="173">
        <v>46142</v>
      </c>
      <c r="K137" s="146" t="s">
        <v>806</v>
      </c>
      <c r="L137" s="146" t="s">
        <v>797</v>
      </c>
      <c r="M137" s="154">
        <v>269907.53999999998</v>
      </c>
      <c r="N137" s="154">
        <v>0</v>
      </c>
      <c r="O137" s="154">
        <v>0</v>
      </c>
      <c r="P137" s="154">
        <v>0</v>
      </c>
      <c r="Q137" s="154">
        <v>0</v>
      </c>
      <c r="R137" s="154">
        <v>0</v>
      </c>
      <c r="S137" s="154">
        <f t="shared" si="12"/>
        <v>269907.53999999998</v>
      </c>
      <c r="T137" s="154">
        <f t="shared" si="6"/>
        <v>269907.53999999998</v>
      </c>
      <c r="V137" s="146" t="s">
        <v>595</v>
      </c>
      <c r="W137" s="146" t="s">
        <v>595</v>
      </c>
    </row>
    <row r="138" spans="2:23" ht="54">
      <c r="B138" s="146" t="s">
        <v>771</v>
      </c>
      <c r="D138" s="146">
        <v>1001003011</v>
      </c>
      <c r="E138" s="146" t="str">
        <f>_xlfn.XLOOKUP(D138,'Detalhamento - G200'!A:A,'Detalhamento - G200'!B:B,0)</f>
        <v>EQUIPAMENTOS GALPÃO</v>
      </c>
      <c r="F138" s="175">
        <v>93048</v>
      </c>
      <c r="G138" s="175">
        <v>20365</v>
      </c>
      <c r="H138" s="146" t="s">
        <v>812</v>
      </c>
      <c r="I138" s="173">
        <v>46128</v>
      </c>
      <c r="J138" s="173">
        <v>46142</v>
      </c>
      <c r="K138" s="146" t="s">
        <v>806</v>
      </c>
      <c r="L138" s="146" t="s">
        <v>797</v>
      </c>
      <c r="M138" s="154">
        <v>400004.46</v>
      </c>
      <c r="N138" s="154">
        <v>0</v>
      </c>
      <c r="O138" s="154">
        <v>0</v>
      </c>
      <c r="P138" s="154">
        <v>0</v>
      </c>
      <c r="Q138" s="154">
        <v>0</v>
      </c>
      <c r="R138" s="154">
        <v>0</v>
      </c>
      <c r="S138" s="154">
        <f t="shared" si="12"/>
        <v>400004.46</v>
      </c>
      <c r="T138" s="154">
        <f t="shared" ref="T138:T168" si="17">N138+S138</f>
        <v>400004.46</v>
      </c>
      <c r="V138" s="146" t="s">
        <v>595</v>
      </c>
      <c r="W138" s="146" t="s">
        <v>595</v>
      </c>
    </row>
    <row r="139" spans="2:23" ht="54">
      <c r="B139" s="146" t="s">
        <v>771</v>
      </c>
      <c r="D139" s="146">
        <v>1001003005</v>
      </c>
      <c r="E139" s="146" t="str">
        <f>_xlfn.XLOOKUP(D139,'Detalhamento - G200'!A:A,'Detalhamento - G200'!B:B,0)</f>
        <v>ESQUADRIAS E CAIXILHOS</v>
      </c>
      <c r="F139" s="175">
        <v>93045</v>
      </c>
      <c r="G139" s="175">
        <v>20366</v>
      </c>
      <c r="H139" s="146" t="s">
        <v>812</v>
      </c>
      <c r="I139" s="173">
        <v>46128</v>
      </c>
      <c r="J139" s="173">
        <v>46142</v>
      </c>
      <c r="K139" s="146" t="s">
        <v>806</v>
      </c>
      <c r="L139" s="146" t="s">
        <v>797</v>
      </c>
      <c r="M139" s="154">
        <v>428121.54</v>
      </c>
      <c r="N139" s="154">
        <v>0</v>
      </c>
      <c r="O139" s="154">
        <v>0</v>
      </c>
      <c r="P139" s="154">
        <v>0</v>
      </c>
      <c r="Q139" s="154">
        <v>0</v>
      </c>
      <c r="R139" s="154">
        <v>0</v>
      </c>
      <c r="S139" s="154">
        <f t="shared" si="12"/>
        <v>428121.54</v>
      </c>
      <c r="T139" s="154">
        <f t="shared" si="17"/>
        <v>428121.54</v>
      </c>
      <c r="V139" s="146" t="s">
        <v>595</v>
      </c>
      <c r="W139" s="146" t="s">
        <v>595</v>
      </c>
    </row>
    <row r="140" spans="2:23" ht="54">
      <c r="B140" s="146" t="s">
        <v>771</v>
      </c>
      <c r="D140" s="146">
        <v>1001003011</v>
      </c>
      <c r="E140" s="146" t="str">
        <f>_xlfn.XLOOKUP(D140,'Detalhamento - G200'!A:A,'Detalhamento - G200'!B:B,0)</f>
        <v>EQUIPAMENTOS GALPÃO</v>
      </c>
      <c r="F140" s="175">
        <v>93045</v>
      </c>
      <c r="G140" s="175">
        <v>20366</v>
      </c>
      <c r="H140" s="146" t="s">
        <v>812</v>
      </c>
      <c r="I140" s="173">
        <v>46128</v>
      </c>
      <c r="J140" s="173">
        <v>46142</v>
      </c>
      <c r="K140" s="146" t="s">
        <v>806</v>
      </c>
      <c r="L140" s="146" t="s">
        <v>797</v>
      </c>
      <c r="M140" s="154">
        <v>634478.46</v>
      </c>
      <c r="N140" s="154">
        <v>0</v>
      </c>
      <c r="O140" s="154">
        <v>0</v>
      </c>
      <c r="P140" s="154">
        <v>0</v>
      </c>
      <c r="Q140" s="154">
        <v>0</v>
      </c>
      <c r="R140" s="154">
        <v>0</v>
      </c>
      <c r="S140" s="154">
        <f t="shared" si="12"/>
        <v>634478.46</v>
      </c>
      <c r="T140" s="154">
        <f t="shared" si="17"/>
        <v>634478.46</v>
      </c>
      <c r="V140" s="146" t="s">
        <v>595</v>
      </c>
      <c r="W140" s="146" t="s">
        <v>595</v>
      </c>
    </row>
    <row r="141" spans="2:23" ht="36">
      <c r="B141" s="146" t="s">
        <v>771</v>
      </c>
      <c r="D141" s="146">
        <v>2001002002</v>
      </c>
      <c r="E141" s="146" t="str">
        <f>_xlfn.XLOOKUP(D141,'Detalhamento - G200'!A:A,'Detalhamento - G200'!B:B,0)</f>
        <v>MONITORAMENTO TIME LAPSE</v>
      </c>
      <c r="F141" s="175">
        <v>93039</v>
      </c>
      <c r="G141" s="175">
        <v>3004</v>
      </c>
      <c r="H141" s="146" t="s">
        <v>792</v>
      </c>
      <c r="I141" s="173">
        <v>46128</v>
      </c>
      <c r="J141" s="173">
        <v>46147</v>
      </c>
      <c r="K141" s="146" t="s">
        <v>614</v>
      </c>
      <c r="L141" s="146" t="s">
        <v>375</v>
      </c>
      <c r="M141" s="154">
        <v>2300</v>
      </c>
      <c r="N141" s="154">
        <v>0</v>
      </c>
      <c r="O141" s="154">
        <v>0</v>
      </c>
      <c r="P141" s="154">
        <v>0</v>
      </c>
      <c r="Q141" s="154">
        <v>0</v>
      </c>
      <c r="R141" s="154">
        <v>0</v>
      </c>
      <c r="S141" s="154">
        <f t="shared" si="12"/>
        <v>2300</v>
      </c>
      <c r="T141" s="154">
        <f t="shared" si="17"/>
        <v>2300</v>
      </c>
      <c r="V141" s="146" t="s">
        <v>374</v>
      </c>
      <c r="W141" s="146" t="s">
        <v>374</v>
      </c>
    </row>
    <row r="142" spans="2:23">
      <c r="B142" s="146" t="s">
        <v>771</v>
      </c>
      <c r="D142" s="146">
        <v>1001001001</v>
      </c>
      <c r="E142" s="146" t="str">
        <f>_xlfn.XLOOKUP(D142,'Detalhamento - G200'!A:A,'Detalhamento - G200'!B:B,0)</f>
        <v>PROJETOS</v>
      </c>
      <c r="F142" s="175">
        <v>93004</v>
      </c>
      <c r="G142" s="175">
        <v>57</v>
      </c>
      <c r="H142" s="146" t="s">
        <v>792</v>
      </c>
      <c r="I142" s="173">
        <v>46128</v>
      </c>
      <c r="J142" s="173">
        <v>46147</v>
      </c>
      <c r="K142" s="146" t="s">
        <v>807</v>
      </c>
      <c r="L142" s="146" t="s">
        <v>339</v>
      </c>
      <c r="M142" s="154">
        <v>12432.77</v>
      </c>
      <c r="N142" s="154">
        <v>0</v>
      </c>
      <c r="O142" s="154">
        <v>0</v>
      </c>
      <c r="P142" s="154">
        <v>0</v>
      </c>
      <c r="Q142" s="154">
        <v>0</v>
      </c>
      <c r="R142" s="154">
        <v>0</v>
      </c>
      <c r="S142" s="154">
        <f t="shared" si="12"/>
        <v>12432.77</v>
      </c>
      <c r="T142" s="154">
        <f t="shared" si="17"/>
        <v>12432.77</v>
      </c>
      <c r="V142" s="146" t="s">
        <v>341</v>
      </c>
      <c r="W142" s="146" t="s">
        <v>341</v>
      </c>
    </row>
    <row r="143" spans="2:23" ht="36">
      <c r="B143" s="146" t="s">
        <v>771</v>
      </c>
      <c r="D143" s="146">
        <v>1001001001</v>
      </c>
      <c r="E143" s="146" t="str">
        <f>_xlfn.XLOOKUP(D143,'Detalhamento - G200'!A:A,'Detalhamento - G200'!B:B,0)</f>
        <v>PROJETOS</v>
      </c>
      <c r="F143" s="175">
        <v>93001</v>
      </c>
      <c r="G143" s="175">
        <v>2164</v>
      </c>
      <c r="H143" s="146" t="s">
        <v>792</v>
      </c>
      <c r="I143" s="173">
        <v>46128</v>
      </c>
      <c r="J143" s="173">
        <v>46147</v>
      </c>
      <c r="K143" s="146" t="s">
        <v>416</v>
      </c>
      <c r="L143" s="146" t="s">
        <v>336</v>
      </c>
      <c r="M143" s="154">
        <v>13500</v>
      </c>
      <c r="N143" s="154">
        <v>830.25</v>
      </c>
      <c r="O143" s="154">
        <v>0</v>
      </c>
      <c r="P143" s="154">
        <v>0</v>
      </c>
      <c r="Q143" s="154">
        <v>0</v>
      </c>
      <c r="R143" s="154">
        <v>0</v>
      </c>
      <c r="S143" s="154">
        <f t="shared" si="12"/>
        <v>12669.75</v>
      </c>
      <c r="T143" s="154">
        <f t="shared" si="17"/>
        <v>13500</v>
      </c>
      <c r="V143" s="146" t="s">
        <v>335</v>
      </c>
      <c r="W143" s="146" t="s">
        <v>335</v>
      </c>
    </row>
    <row r="144" spans="2:23">
      <c r="B144" s="146" t="s">
        <v>771</v>
      </c>
      <c r="D144" s="146">
        <v>1001001001</v>
      </c>
      <c r="E144" s="146" t="str">
        <f>_xlfn.XLOOKUP(D144,'Detalhamento - G200'!A:A,'Detalhamento - G200'!B:B,0)</f>
        <v>PROJETOS</v>
      </c>
      <c r="F144" s="175">
        <v>92997</v>
      </c>
      <c r="G144" s="175">
        <v>9003</v>
      </c>
      <c r="H144" s="146" t="s">
        <v>792</v>
      </c>
      <c r="I144" s="173">
        <v>46128</v>
      </c>
      <c r="J144" s="173">
        <v>46147</v>
      </c>
      <c r="K144" s="146" t="s">
        <v>420</v>
      </c>
      <c r="L144" s="146" t="s">
        <v>327</v>
      </c>
      <c r="M144" s="154">
        <v>48800</v>
      </c>
      <c r="N144" s="154">
        <v>3001.2</v>
      </c>
      <c r="O144" s="154">
        <v>0</v>
      </c>
      <c r="P144" s="154">
        <v>0</v>
      </c>
      <c r="Q144" s="154">
        <v>0</v>
      </c>
      <c r="R144" s="154">
        <v>0</v>
      </c>
      <c r="S144" s="154">
        <f t="shared" si="12"/>
        <v>45798.8</v>
      </c>
      <c r="T144" s="154">
        <f t="shared" si="17"/>
        <v>48800</v>
      </c>
      <c r="V144" s="146" t="s">
        <v>326</v>
      </c>
      <c r="W144" s="146" t="s">
        <v>326</v>
      </c>
    </row>
    <row r="145" spans="2:23" ht="36">
      <c r="B145" s="146" t="s">
        <v>771</v>
      </c>
      <c r="D145" s="146">
        <v>1001001001</v>
      </c>
      <c r="E145" s="146" t="str">
        <f>_xlfn.XLOOKUP(D145,'Detalhamento - G200'!A:A,'Detalhamento - G200'!B:B,0)</f>
        <v>PROJETOS</v>
      </c>
      <c r="F145" s="175">
        <v>92996</v>
      </c>
      <c r="G145" s="175">
        <v>666</v>
      </c>
      <c r="H145" s="146" t="s">
        <v>792</v>
      </c>
      <c r="I145" s="173">
        <v>46128</v>
      </c>
      <c r="J145" s="173">
        <v>46147</v>
      </c>
      <c r="K145" s="146" t="s">
        <v>417</v>
      </c>
      <c r="L145" s="146" t="s">
        <v>418</v>
      </c>
      <c r="M145" s="154">
        <v>12636.83</v>
      </c>
      <c r="N145" s="154">
        <v>777.16</v>
      </c>
      <c r="O145" s="154">
        <v>0</v>
      </c>
      <c r="P145" s="154">
        <v>0</v>
      </c>
      <c r="Q145" s="154">
        <v>0</v>
      </c>
      <c r="R145" s="154">
        <v>0</v>
      </c>
      <c r="S145" s="154">
        <f t="shared" si="12"/>
        <v>11859.67</v>
      </c>
      <c r="T145" s="154">
        <f t="shared" si="17"/>
        <v>12636.83</v>
      </c>
      <c r="V145" s="146" t="s">
        <v>320</v>
      </c>
      <c r="W145" s="146" t="s">
        <v>320</v>
      </c>
    </row>
    <row r="146" spans="2:23">
      <c r="B146" s="146" t="s">
        <v>771</v>
      </c>
      <c r="D146" s="146">
        <v>1001002003</v>
      </c>
      <c r="E146" s="146" t="str">
        <f>_xlfn.XLOOKUP(D146,'Detalhamento - G200'!A:A,'Detalhamento - G200'!B:B,0)</f>
        <v>MOVIMENTAÇÃO DE TERRA</v>
      </c>
      <c r="F146" s="175">
        <v>92905</v>
      </c>
      <c r="G146" s="175">
        <v>577</v>
      </c>
      <c r="H146" s="146" t="s">
        <v>790</v>
      </c>
      <c r="I146" s="173">
        <v>46127</v>
      </c>
      <c r="J146" s="173">
        <v>46147</v>
      </c>
      <c r="K146" s="146" t="s">
        <v>801</v>
      </c>
      <c r="L146" s="146" t="s">
        <v>298</v>
      </c>
      <c r="M146" s="154">
        <v>168.42</v>
      </c>
      <c r="N146" s="154">
        <v>0</v>
      </c>
      <c r="O146" s="154">
        <v>0</v>
      </c>
      <c r="P146" s="154">
        <v>0</v>
      </c>
      <c r="Q146" s="154">
        <v>0</v>
      </c>
      <c r="R146" s="154">
        <v>0</v>
      </c>
      <c r="S146" s="154">
        <f t="shared" si="12"/>
        <v>168.42</v>
      </c>
      <c r="T146" s="154">
        <f t="shared" si="17"/>
        <v>168.42</v>
      </c>
      <c r="V146" s="146" t="s">
        <v>371</v>
      </c>
      <c r="W146" s="146" t="s">
        <v>371</v>
      </c>
    </row>
    <row r="147" spans="2:23">
      <c r="B147" s="146" t="s">
        <v>771</v>
      </c>
      <c r="D147" s="146">
        <v>1001002006</v>
      </c>
      <c r="E147" s="146" t="str">
        <f>_xlfn.XLOOKUP(D147,'Detalhamento - G200'!A:A,'Detalhamento - G200'!B:B,0)</f>
        <v>CONTENÇÕES</v>
      </c>
      <c r="F147" s="175">
        <v>92905</v>
      </c>
      <c r="G147" s="175">
        <v>577</v>
      </c>
      <c r="H147" s="146" t="s">
        <v>790</v>
      </c>
      <c r="I147" s="173">
        <v>46127</v>
      </c>
      <c r="J147" s="173">
        <v>46147</v>
      </c>
      <c r="K147" s="146" t="s">
        <v>801</v>
      </c>
      <c r="L147" s="146" t="s">
        <v>298</v>
      </c>
      <c r="M147" s="154">
        <v>2510.4499999999998</v>
      </c>
      <c r="N147" s="154">
        <v>0</v>
      </c>
      <c r="O147" s="154">
        <v>0</v>
      </c>
      <c r="P147" s="154">
        <v>0</v>
      </c>
      <c r="Q147" s="154">
        <v>0</v>
      </c>
      <c r="R147" s="154">
        <v>0</v>
      </c>
      <c r="S147" s="154">
        <f t="shared" si="12"/>
        <v>2510.4499999999998</v>
      </c>
      <c r="T147" s="154">
        <f t="shared" si="17"/>
        <v>2510.4499999999998</v>
      </c>
      <c r="V147" s="146" t="s">
        <v>371</v>
      </c>
      <c r="W147" s="146" t="s">
        <v>371</v>
      </c>
    </row>
    <row r="148" spans="2:23">
      <c r="B148" s="146" t="s">
        <v>771</v>
      </c>
      <c r="D148" s="146">
        <v>1001002008</v>
      </c>
      <c r="E148" s="146" t="str">
        <f>_xlfn.XLOOKUP(D148,'Detalhamento - G200'!A:A,'Detalhamento - G200'!B:B,0)</f>
        <v>DRENAGEM</v>
      </c>
      <c r="F148" s="175">
        <v>92905</v>
      </c>
      <c r="G148" s="175">
        <v>577</v>
      </c>
      <c r="H148" s="146" t="s">
        <v>790</v>
      </c>
      <c r="I148" s="173">
        <v>46127</v>
      </c>
      <c r="J148" s="173">
        <v>46147</v>
      </c>
      <c r="K148" s="146" t="s">
        <v>801</v>
      </c>
      <c r="L148" s="146" t="s">
        <v>298</v>
      </c>
      <c r="M148" s="154">
        <v>3355.74</v>
      </c>
      <c r="N148" s="154">
        <v>0</v>
      </c>
      <c r="O148" s="154">
        <v>0</v>
      </c>
      <c r="P148" s="154">
        <v>0</v>
      </c>
      <c r="Q148" s="154">
        <v>0</v>
      </c>
      <c r="R148" s="154">
        <v>0</v>
      </c>
      <c r="S148" s="154">
        <f t="shared" si="12"/>
        <v>3355.74</v>
      </c>
      <c r="T148" s="154">
        <f t="shared" si="17"/>
        <v>3355.74</v>
      </c>
      <c r="V148" s="146" t="s">
        <v>371</v>
      </c>
      <c r="W148" s="146" t="s">
        <v>371</v>
      </c>
    </row>
    <row r="149" spans="2:23">
      <c r="B149" s="146" t="s">
        <v>771</v>
      </c>
      <c r="D149" s="146">
        <v>1001003001</v>
      </c>
      <c r="E149" s="146" t="str">
        <f>_xlfn.XLOOKUP(D149,'Detalhamento - G200'!A:A,'Detalhamento - G200'!B:B,0)</f>
        <v>FUNDAÇÃO GALPÃO</v>
      </c>
      <c r="F149" s="175">
        <v>92905</v>
      </c>
      <c r="G149" s="175">
        <v>577</v>
      </c>
      <c r="H149" s="146" t="s">
        <v>790</v>
      </c>
      <c r="I149" s="173">
        <v>46127</v>
      </c>
      <c r="J149" s="173">
        <v>46147</v>
      </c>
      <c r="K149" s="146" t="s">
        <v>801</v>
      </c>
      <c r="L149" s="146" t="s">
        <v>298</v>
      </c>
      <c r="M149" s="154">
        <v>1325.14</v>
      </c>
      <c r="N149" s="154">
        <v>0</v>
      </c>
      <c r="O149" s="154">
        <v>0</v>
      </c>
      <c r="P149" s="154">
        <v>0</v>
      </c>
      <c r="Q149" s="154">
        <v>0</v>
      </c>
      <c r="R149" s="154">
        <v>0</v>
      </c>
      <c r="S149" s="154">
        <f t="shared" si="12"/>
        <v>1325.14</v>
      </c>
      <c r="T149" s="154">
        <f t="shared" si="17"/>
        <v>1325.14</v>
      </c>
      <c r="V149" s="146" t="s">
        <v>371</v>
      </c>
      <c r="W149" s="146" t="s">
        <v>371</v>
      </c>
    </row>
    <row r="150" spans="2:23">
      <c r="B150" s="146" t="s">
        <v>771</v>
      </c>
      <c r="D150" s="146">
        <v>1001003002</v>
      </c>
      <c r="E150" s="146" t="str">
        <f>_xlfn.XLOOKUP(D150,'Detalhamento - G200'!A:A,'Detalhamento - G200'!B:B,0)</f>
        <v>SUPERESTRUTURA GALPÃO</v>
      </c>
      <c r="F150" s="175">
        <v>92905</v>
      </c>
      <c r="G150" s="175">
        <v>577</v>
      </c>
      <c r="H150" s="146" t="s">
        <v>790</v>
      </c>
      <c r="I150" s="173">
        <v>46127</v>
      </c>
      <c r="J150" s="173">
        <v>46147</v>
      </c>
      <c r="K150" s="146" t="s">
        <v>801</v>
      </c>
      <c r="L150" s="146" t="s">
        <v>298</v>
      </c>
      <c r="M150" s="154">
        <v>82.62</v>
      </c>
      <c r="N150" s="154">
        <v>0</v>
      </c>
      <c r="O150" s="154">
        <v>0</v>
      </c>
      <c r="P150" s="154">
        <v>0</v>
      </c>
      <c r="Q150" s="154">
        <v>0</v>
      </c>
      <c r="R150" s="154">
        <v>0</v>
      </c>
      <c r="S150" s="154">
        <f t="shared" si="12"/>
        <v>82.62</v>
      </c>
      <c r="T150" s="154">
        <f t="shared" si="17"/>
        <v>82.62</v>
      </c>
      <c r="V150" s="146" t="s">
        <v>371</v>
      </c>
      <c r="W150" s="146" t="s">
        <v>371</v>
      </c>
    </row>
    <row r="151" spans="2:23">
      <c r="B151" s="146" t="s">
        <v>771</v>
      </c>
      <c r="D151" s="146">
        <v>1001003006</v>
      </c>
      <c r="E151" s="146" t="str">
        <f>_xlfn.XLOOKUP(D151,'Detalhamento - G200'!A:A,'Detalhamento - G200'!B:B,0)</f>
        <v>IMPERMEABILIZAÇÃO</v>
      </c>
      <c r="F151" s="175">
        <v>92905</v>
      </c>
      <c r="G151" s="175">
        <v>577</v>
      </c>
      <c r="H151" s="146" t="s">
        <v>790</v>
      </c>
      <c r="I151" s="173">
        <v>46127</v>
      </c>
      <c r="J151" s="173">
        <v>46147</v>
      </c>
      <c r="K151" s="146" t="s">
        <v>801</v>
      </c>
      <c r="L151" s="146" t="s">
        <v>298</v>
      </c>
      <c r="M151" s="154">
        <v>292.36</v>
      </c>
      <c r="N151" s="154">
        <v>0</v>
      </c>
      <c r="O151" s="154">
        <v>0</v>
      </c>
      <c r="P151" s="154">
        <v>0</v>
      </c>
      <c r="Q151" s="154">
        <v>0</v>
      </c>
      <c r="R151" s="154">
        <v>0</v>
      </c>
      <c r="S151" s="154">
        <f t="shared" si="12"/>
        <v>292.36</v>
      </c>
      <c r="T151" s="154">
        <f t="shared" si="17"/>
        <v>292.36</v>
      </c>
      <c r="V151" s="146" t="s">
        <v>371</v>
      </c>
      <c r="W151" s="146" t="s">
        <v>371</v>
      </c>
    </row>
    <row r="152" spans="2:23" ht="36">
      <c r="B152" s="146" t="s">
        <v>771</v>
      </c>
      <c r="D152" s="146">
        <v>1001004002</v>
      </c>
      <c r="E152" s="146" t="str">
        <f>_xlfn.XLOOKUP(D152,'Detalhamento - G200'!A:A,'Detalhamento - G200'!B:B,0)</f>
        <v>APOIO (VESTIÁRIO + REFEITÓRIO)</v>
      </c>
      <c r="F152" s="175">
        <v>92905</v>
      </c>
      <c r="G152" s="175">
        <v>577</v>
      </c>
      <c r="H152" s="146" t="s">
        <v>790</v>
      </c>
      <c r="I152" s="173">
        <v>46127</v>
      </c>
      <c r="J152" s="173">
        <v>46147</v>
      </c>
      <c r="K152" s="146" t="s">
        <v>801</v>
      </c>
      <c r="L152" s="146" t="s">
        <v>298</v>
      </c>
      <c r="M152" s="154">
        <v>4595.08</v>
      </c>
      <c r="N152" s="154">
        <v>0</v>
      </c>
      <c r="O152" s="154">
        <v>0</v>
      </c>
      <c r="P152" s="154">
        <v>0</v>
      </c>
      <c r="Q152" s="154">
        <v>0</v>
      </c>
      <c r="R152" s="154">
        <v>0</v>
      </c>
      <c r="S152" s="154">
        <f t="shared" si="12"/>
        <v>4595.08</v>
      </c>
      <c r="T152" s="154">
        <f t="shared" si="17"/>
        <v>4595.08</v>
      </c>
      <c r="V152" s="146" t="s">
        <v>371</v>
      </c>
      <c r="W152" s="146" t="s">
        <v>371</v>
      </c>
    </row>
    <row r="153" spans="2:23">
      <c r="B153" s="146" t="s">
        <v>771</v>
      </c>
      <c r="D153" s="146">
        <v>1001004005</v>
      </c>
      <c r="E153" s="146" t="str">
        <f>_xlfn.XLOOKUP(D153,'Detalhamento - G200'!A:A,'Detalhamento - G200'!B:B,0)</f>
        <v>UTILIDADES</v>
      </c>
      <c r="F153" s="175">
        <v>92905</v>
      </c>
      <c r="G153" s="175">
        <v>577</v>
      </c>
      <c r="H153" s="146" t="s">
        <v>790</v>
      </c>
      <c r="I153" s="173">
        <v>46127</v>
      </c>
      <c r="J153" s="173">
        <v>46147</v>
      </c>
      <c r="K153" s="146" t="s">
        <v>801</v>
      </c>
      <c r="L153" s="146" t="s">
        <v>298</v>
      </c>
      <c r="M153" s="154">
        <v>470.31</v>
      </c>
      <c r="N153" s="154">
        <v>0</v>
      </c>
      <c r="O153" s="154">
        <v>0</v>
      </c>
      <c r="P153" s="154">
        <v>0</v>
      </c>
      <c r="Q153" s="154">
        <v>0</v>
      </c>
      <c r="R153" s="154">
        <v>0</v>
      </c>
      <c r="S153" s="154">
        <f t="shared" si="12"/>
        <v>470.31</v>
      </c>
      <c r="T153" s="154">
        <f t="shared" si="17"/>
        <v>470.31</v>
      </c>
      <c r="V153" s="146" t="s">
        <v>371</v>
      </c>
      <c r="W153" s="146" t="s">
        <v>371</v>
      </c>
    </row>
    <row r="154" spans="2:23" ht="36">
      <c r="B154" s="146" t="s">
        <v>771</v>
      </c>
      <c r="D154" s="146">
        <v>1001004006</v>
      </c>
      <c r="E154" s="146" t="str">
        <f>_xlfn.XLOOKUP(D154,'Detalhamento - G200'!A:A,'Detalhamento - G200'!B:B,0)</f>
        <v>SANITÁRIOS EXTERNOS AO GALPÃO</v>
      </c>
      <c r="F154" s="175">
        <v>92905</v>
      </c>
      <c r="G154" s="175">
        <v>577</v>
      </c>
      <c r="H154" s="146" t="s">
        <v>790</v>
      </c>
      <c r="I154" s="173">
        <v>46127</v>
      </c>
      <c r="J154" s="173">
        <v>46147</v>
      </c>
      <c r="K154" s="146" t="s">
        <v>801</v>
      </c>
      <c r="L154" s="146" t="s">
        <v>298</v>
      </c>
      <c r="M154" s="154">
        <v>3320.79</v>
      </c>
      <c r="N154" s="154">
        <v>0</v>
      </c>
      <c r="O154" s="154">
        <v>0</v>
      </c>
      <c r="P154" s="154">
        <v>0</v>
      </c>
      <c r="Q154" s="154">
        <v>0</v>
      </c>
      <c r="R154" s="154">
        <v>0</v>
      </c>
      <c r="S154" s="154">
        <f t="shared" si="12"/>
        <v>3320.79</v>
      </c>
      <c r="T154" s="154">
        <f t="shared" si="17"/>
        <v>3320.79</v>
      </c>
      <c r="V154" s="146" t="s">
        <v>371</v>
      </c>
      <c r="W154" s="146" t="s">
        <v>371</v>
      </c>
    </row>
    <row r="155" spans="2:23">
      <c r="B155" s="146" t="s">
        <v>771</v>
      </c>
      <c r="D155" s="146">
        <v>1001006006</v>
      </c>
      <c r="E155" s="146" t="str">
        <f>_xlfn.XLOOKUP(D155,'Detalhamento - G200'!A:A,'Detalhamento - G200'!B:B,0)</f>
        <v>ETE</v>
      </c>
      <c r="F155" s="175">
        <v>92905</v>
      </c>
      <c r="G155" s="175">
        <v>577</v>
      </c>
      <c r="H155" s="146" t="s">
        <v>790</v>
      </c>
      <c r="I155" s="173">
        <v>46127</v>
      </c>
      <c r="J155" s="173">
        <v>46147</v>
      </c>
      <c r="K155" s="146" t="s">
        <v>801</v>
      </c>
      <c r="L155" s="146" t="s">
        <v>298</v>
      </c>
      <c r="M155" s="154">
        <v>333.67</v>
      </c>
      <c r="N155" s="154">
        <v>0</v>
      </c>
      <c r="O155" s="154">
        <v>0</v>
      </c>
      <c r="P155" s="154">
        <v>0</v>
      </c>
      <c r="Q155" s="154">
        <v>0</v>
      </c>
      <c r="R155" s="154">
        <v>0</v>
      </c>
      <c r="S155" s="154">
        <f t="shared" si="12"/>
        <v>333.67</v>
      </c>
      <c r="T155" s="154">
        <f t="shared" si="17"/>
        <v>333.67</v>
      </c>
      <c r="V155" s="146" t="s">
        <v>371</v>
      </c>
      <c r="W155" s="146" t="s">
        <v>371</v>
      </c>
    </row>
    <row r="156" spans="2:23">
      <c r="B156" s="146" t="s">
        <v>771</v>
      </c>
      <c r="D156" s="146">
        <v>1002002001</v>
      </c>
      <c r="E156" s="146" t="str">
        <f>_xlfn.XLOOKUP(D156,'Detalhamento - G200'!A:A,'Detalhamento - G200'!B:B,0)</f>
        <v>FUNDAÇÃO</v>
      </c>
      <c r="F156" s="175">
        <v>92905</v>
      </c>
      <c r="G156" s="175">
        <v>577</v>
      </c>
      <c r="H156" s="146" t="s">
        <v>790</v>
      </c>
      <c r="I156" s="173">
        <v>46127</v>
      </c>
      <c r="J156" s="173">
        <v>46147</v>
      </c>
      <c r="K156" s="146" t="s">
        <v>801</v>
      </c>
      <c r="L156" s="146" t="s">
        <v>298</v>
      </c>
      <c r="M156" s="154">
        <v>1144</v>
      </c>
      <c r="N156" s="154">
        <v>0</v>
      </c>
      <c r="O156" s="154">
        <v>0</v>
      </c>
      <c r="P156" s="154">
        <v>0</v>
      </c>
      <c r="Q156" s="154">
        <v>0</v>
      </c>
      <c r="R156" s="154">
        <v>0</v>
      </c>
      <c r="S156" s="154">
        <f t="shared" si="12"/>
        <v>1144</v>
      </c>
      <c r="T156" s="154">
        <f t="shared" si="17"/>
        <v>1144</v>
      </c>
      <c r="V156" s="146" t="s">
        <v>371</v>
      </c>
      <c r="W156" s="146" t="s">
        <v>371</v>
      </c>
    </row>
    <row r="157" spans="2:23">
      <c r="B157" s="146" t="s">
        <v>771</v>
      </c>
      <c r="D157" s="146">
        <v>2001024001</v>
      </c>
      <c r="E157" s="146" t="str">
        <f>_xlfn.XLOOKUP(D157,'Detalhamento - G200'!A:A,'Detalhamento - G200'!B:B,0)</f>
        <v>ALIMENTAÇÃO</v>
      </c>
      <c r="F157" s="175">
        <v>92905</v>
      </c>
      <c r="G157" s="175">
        <v>577</v>
      </c>
      <c r="H157" s="146" t="s">
        <v>790</v>
      </c>
      <c r="I157" s="173">
        <v>46127</v>
      </c>
      <c r="J157" s="173">
        <v>46147</v>
      </c>
      <c r="K157" s="146" t="s">
        <v>801</v>
      </c>
      <c r="L157" s="146" t="s">
        <v>298</v>
      </c>
      <c r="M157" s="154">
        <v>14179.27</v>
      </c>
      <c r="N157" s="154">
        <v>0</v>
      </c>
      <c r="O157" s="154">
        <v>0</v>
      </c>
      <c r="P157" s="154">
        <v>0</v>
      </c>
      <c r="Q157" s="154">
        <v>0</v>
      </c>
      <c r="R157" s="154">
        <v>0</v>
      </c>
      <c r="S157" s="154">
        <f t="shared" si="12"/>
        <v>14179.27</v>
      </c>
      <c r="T157" s="154">
        <f t="shared" si="17"/>
        <v>14179.27</v>
      </c>
      <c r="V157" s="146" t="s">
        <v>371</v>
      </c>
      <c r="W157" s="146" t="s">
        <v>371</v>
      </c>
    </row>
    <row r="158" spans="2:23">
      <c r="B158" s="146" t="s">
        <v>771</v>
      </c>
      <c r="D158" s="146">
        <v>1003006001</v>
      </c>
      <c r="E158" s="146" t="str">
        <f>_xlfn.XLOOKUP(D158,'Detalhamento - G200'!A:A,'Detalhamento - G200'!B:B,0)</f>
        <v>PROJETOS, CQPS E AS BUILT</v>
      </c>
      <c r="F158" s="175">
        <v>92895</v>
      </c>
      <c r="G158" s="175">
        <v>152</v>
      </c>
      <c r="H158" s="146" t="s">
        <v>792</v>
      </c>
      <c r="I158" s="173">
        <v>46127</v>
      </c>
      <c r="J158" s="173">
        <v>46147</v>
      </c>
      <c r="K158" s="146" t="s">
        <v>808</v>
      </c>
      <c r="L158" s="146" t="s">
        <v>798</v>
      </c>
      <c r="M158" s="154">
        <v>142175</v>
      </c>
      <c r="N158" s="154">
        <v>8743.77</v>
      </c>
      <c r="O158" s="154">
        <v>0</v>
      </c>
      <c r="P158" s="154">
        <v>0</v>
      </c>
      <c r="Q158" s="154">
        <v>0</v>
      </c>
      <c r="R158" s="154">
        <v>0</v>
      </c>
      <c r="S158" s="154">
        <f t="shared" si="12"/>
        <v>133431.23000000001</v>
      </c>
      <c r="T158" s="154">
        <f t="shared" si="17"/>
        <v>142175</v>
      </c>
      <c r="V158" s="146" t="s">
        <v>590</v>
      </c>
      <c r="W158" s="146" t="s">
        <v>590</v>
      </c>
    </row>
    <row r="159" spans="2:23">
      <c r="B159" s="146" t="s">
        <v>771</v>
      </c>
      <c r="D159" s="146">
        <v>1001006006</v>
      </c>
      <c r="E159" s="146" t="str">
        <f>_xlfn.XLOOKUP(D159,'Detalhamento - G200'!A:A,'Detalhamento - G200'!B:B,0)</f>
        <v>ETE</v>
      </c>
      <c r="F159" s="175">
        <v>92869</v>
      </c>
      <c r="G159" s="175">
        <v>953</v>
      </c>
      <c r="H159" s="146" t="s">
        <v>790</v>
      </c>
      <c r="I159" s="173">
        <v>46126</v>
      </c>
      <c r="J159" s="173">
        <v>46147</v>
      </c>
      <c r="K159" s="146" t="s">
        <v>809</v>
      </c>
      <c r="L159" s="146" t="s">
        <v>799</v>
      </c>
      <c r="M159" s="154">
        <v>350000</v>
      </c>
      <c r="N159" s="154">
        <v>0</v>
      </c>
      <c r="O159" s="154">
        <v>0</v>
      </c>
      <c r="P159" s="154">
        <v>0</v>
      </c>
      <c r="Q159" s="154">
        <v>0</v>
      </c>
      <c r="R159" s="154">
        <v>0</v>
      </c>
      <c r="S159" s="154">
        <f t="shared" si="12"/>
        <v>350000</v>
      </c>
      <c r="T159" s="154">
        <f t="shared" si="17"/>
        <v>350000</v>
      </c>
      <c r="V159" s="146" t="s">
        <v>383</v>
      </c>
      <c r="W159" s="146" t="s">
        <v>383</v>
      </c>
    </row>
    <row r="160" spans="2:23" ht="36">
      <c r="B160" s="146" t="s">
        <v>771</v>
      </c>
      <c r="D160" s="146">
        <v>2001006001</v>
      </c>
      <c r="E160" s="146" t="str">
        <f>_xlfn.XLOOKUP(D160,'Detalhamento - G200'!A:A,'Detalhamento - G200'!B:B,0)</f>
        <v>DESCARTE DOS RESÍDUOS</v>
      </c>
      <c r="F160" s="175">
        <v>92791</v>
      </c>
      <c r="G160" s="175">
        <v>57863</v>
      </c>
      <c r="H160" s="146" t="s">
        <v>792</v>
      </c>
      <c r="I160" s="173">
        <v>46125</v>
      </c>
      <c r="J160" s="173">
        <v>46147</v>
      </c>
      <c r="K160" s="146" t="s">
        <v>810</v>
      </c>
      <c r="L160" s="146" t="s">
        <v>381</v>
      </c>
      <c r="M160" s="154">
        <v>6280</v>
      </c>
      <c r="N160" s="154">
        <v>1359.62</v>
      </c>
      <c r="O160" s="154">
        <v>0</v>
      </c>
      <c r="P160" s="154">
        <v>0</v>
      </c>
      <c r="Q160" s="154">
        <v>0</v>
      </c>
      <c r="R160" s="154">
        <v>0</v>
      </c>
      <c r="S160" s="154">
        <f t="shared" si="12"/>
        <v>4920.38</v>
      </c>
      <c r="T160" s="154">
        <f t="shared" si="17"/>
        <v>6280</v>
      </c>
      <c r="V160" s="146" t="s">
        <v>380</v>
      </c>
      <c r="W160" s="146" t="s">
        <v>380</v>
      </c>
    </row>
    <row r="161" spans="2:23" ht="54">
      <c r="B161" s="146" t="s">
        <v>771</v>
      </c>
      <c r="D161" s="146">
        <v>1001003002</v>
      </c>
      <c r="E161" s="146" t="str">
        <f>_xlfn.XLOOKUP(D161,'Detalhamento - G200'!A:A,'Detalhamento - G200'!B:B,0)</f>
        <v>SUPERESTRUTURA GALPÃO</v>
      </c>
      <c r="F161" s="175">
        <v>93475</v>
      </c>
      <c r="G161" s="175">
        <v>51658</v>
      </c>
      <c r="H161" s="146" t="s">
        <v>812</v>
      </c>
      <c r="I161" s="173">
        <v>46135</v>
      </c>
      <c r="J161" s="173">
        <v>46147</v>
      </c>
      <c r="K161" s="146" t="s">
        <v>811</v>
      </c>
      <c r="L161" s="146" t="s">
        <v>800</v>
      </c>
      <c r="M161" s="154">
        <v>179210.16</v>
      </c>
      <c r="N161" s="154">
        <v>0</v>
      </c>
      <c r="O161" s="154">
        <v>0</v>
      </c>
      <c r="P161" s="154">
        <v>0</v>
      </c>
      <c r="Q161" s="154">
        <v>0</v>
      </c>
      <c r="R161" s="154">
        <v>0</v>
      </c>
      <c r="S161" s="154">
        <f t="shared" si="12"/>
        <v>179210.16</v>
      </c>
      <c r="T161" s="154">
        <f t="shared" si="17"/>
        <v>179210.16</v>
      </c>
      <c r="V161" s="146" t="s">
        <v>764</v>
      </c>
      <c r="W161" s="146" t="s">
        <v>764</v>
      </c>
    </row>
    <row r="162" spans="2:23" ht="54">
      <c r="B162" s="146" t="s">
        <v>771</v>
      </c>
      <c r="D162" s="146">
        <v>1002002002</v>
      </c>
      <c r="E162" s="146" t="str">
        <f>_xlfn.XLOOKUP(D162,'Detalhamento - G200'!A:A,'Detalhamento - G200'!B:B,0)</f>
        <v>SUPERESTRUTURA</v>
      </c>
      <c r="F162" s="175">
        <v>93475</v>
      </c>
      <c r="G162" s="175">
        <v>51658</v>
      </c>
      <c r="H162" s="146" t="s">
        <v>812</v>
      </c>
      <c r="I162" s="173">
        <v>46135</v>
      </c>
      <c r="J162" s="173">
        <v>46147</v>
      </c>
      <c r="K162" s="146" t="s">
        <v>811</v>
      </c>
      <c r="L162" s="146" t="s">
        <v>800</v>
      </c>
      <c r="M162" s="154">
        <v>1015524.21</v>
      </c>
      <c r="N162" s="154">
        <v>0</v>
      </c>
      <c r="O162" s="154">
        <v>0</v>
      </c>
      <c r="P162" s="154">
        <v>0</v>
      </c>
      <c r="Q162" s="154">
        <v>0</v>
      </c>
      <c r="R162" s="154">
        <v>0</v>
      </c>
      <c r="S162" s="154">
        <f t="shared" ref="S162:S168" si="18">M162-SUM(N162:R162)</f>
        <v>1015524.21</v>
      </c>
      <c r="T162" s="154">
        <f t="shared" si="17"/>
        <v>1015524.21</v>
      </c>
      <c r="V162" s="146" t="s">
        <v>764</v>
      </c>
      <c r="W162" s="146" t="s">
        <v>764</v>
      </c>
    </row>
    <row r="163" spans="2:23" ht="54">
      <c r="B163" s="146" t="s">
        <v>771</v>
      </c>
      <c r="D163" s="146">
        <v>1001003001</v>
      </c>
      <c r="E163" s="146" t="str">
        <f>_xlfn.XLOOKUP(D163,'Detalhamento - G200'!A:A,'Detalhamento - G200'!B:B,0)</f>
        <v>FUNDAÇÃO GALPÃO</v>
      </c>
      <c r="F163" s="175">
        <v>93475</v>
      </c>
      <c r="G163" s="175">
        <v>51658</v>
      </c>
      <c r="H163" s="146" t="s">
        <v>812</v>
      </c>
      <c r="I163" s="173">
        <v>46135</v>
      </c>
      <c r="J163" s="173">
        <v>46147</v>
      </c>
      <c r="K163" s="146" t="s">
        <v>811</v>
      </c>
      <c r="L163" s="146" t="s">
        <v>800</v>
      </c>
      <c r="M163" s="154">
        <v>19559.560000000001</v>
      </c>
      <c r="N163" s="154">
        <v>0</v>
      </c>
      <c r="O163" s="154">
        <v>0</v>
      </c>
      <c r="P163" s="154">
        <v>0</v>
      </c>
      <c r="Q163" s="154">
        <v>0</v>
      </c>
      <c r="R163" s="154">
        <v>0</v>
      </c>
      <c r="S163" s="154">
        <f t="shared" si="18"/>
        <v>19559.560000000001</v>
      </c>
      <c r="T163" s="154">
        <f t="shared" si="17"/>
        <v>19559.560000000001</v>
      </c>
      <c r="V163" s="146" t="s">
        <v>764</v>
      </c>
      <c r="W163" s="146" t="s">
        <v>764</v>
      </c>
    </row>
    <row r="164" spans="2:23" ht="36">
      <c r="B164" s="146" t="s">
        <v>815</v>
      </c>
      <c r="D164" s="146">
        <v>1001001002</v>
      </c>
      <c r="E164" s="146" t="str">
        <f>_xlfn.XLOOKUP(D164,'Detalhamento - G200'!A:A,'Detalhamento - G200'!B:B,0)</f>
        <v>ENSAIOS E CONSULTORIAS</v>
      </c>
      <c r="F164" s="175">
        <v>92717</v>
      </c>
      <c r="G164" s="175">
        <v>2564</v>
      </c>
      <c r="H164" s="146" t="s">
        <v>792</v>
      </c>
      <c r="I164" s="173">
        <v>45790</v>
      </c>
      <c r="J164" s="173">
        <v>45947</v>
      </c>
      <c r="K164" s="146" t="s">
        <v>817</v>
      </c>
      <c r="L164" s="146" t="s">
        <v>816</v>
      </c>
      <c r="M164" s="154">
        <v>30899.200000000001</v>
      </c>
      <c r="N164" s="154">
        <v>3445.26</v>
      </c>
      <c r="O164" s="154">
        <v>0</v>
      </c>
      <c r="P164" s="154">
        <v>0</v>
      </c>
      <c r="Q164" s="154">
        <v>0</v>
      </c>
      <c r="R164" s="154">
        <v>0</v>
      </c>
      <c r="S164" s="154">
        <f t="shared" si="18"/>
        <v>27453.940000000002</v>
      </c>
      <c r="T164" s="154">
        <f t="shared" si="17"/>
        <v>30899.200000000004</v>
      </c>
      <c r="V164" s="146" t="s">
        <v>693</v>
      </c>
      <c r="W164" s="146" t="s">
        <v>935</v>
      </c>
    </row>
    <row r="165" spans="2:23" ht="36">
      <c r="B165" s="146" t="s">
        <v>818</v>
      </c>
      <c r="D165" s="146">
        <v>1001002002</v>
      </c>
      <c r="E165" s="146" t="str">
        <f>_xlfn.XLOOKUP(D165,'Detalhamento - G200'!A:A,'Detalhamento - G200'!B:B,0)</f>
        <v>MOVIMENTO DE TERRA - ESCOPO MÍNIMO</v>
      </c>
      <c r="F165" s="175">
        <v>92707</v>
      </c>
      <c r="G165" s="175">
        <v>1410</v>
      </c>
      <c r="H165" s="146" t="s">
        <v>792</v>
      </c>
      <c r="I165" s="173">
        <v>45950</v>
      </c>
      <c r="J165" s="173">
        <v>45959</v>
      </c>
      <c r="K165" s="146" t="s">
        <v>431</v>
      </c>
      <c r="L165" s="146" t="s">
        <v>432</v>
      </c>
      <c r="M165" s="154">
        <v>1585705.45</v>
      </c>
      <c r="N165" s="154">
        <v>105449.41</v>
      </c>
      <c r="O165" s="154">
        <v>0</v>
      </c>
      <c r="P165" s="154">
        <v>1480256.04</v>
      </c>
      <c r="Q165" s="154">
        <v>0</v>
      </c>
      <c r="R165" s="154">
        <v>0</v>
      </c>
      <c r="S165" s="154">
        <f t="shared" si="18"/>
        <v>0</v>
      </c>
      <c r="T165" s="154">
        <f t="shared" si="17"/>
        <v>105449.41</v>
      </c>
      <c r="V165" s="146" t="s">
        <v>644</v>
      </c>
      <c r="W165" s="146" t="s">
        <v>935</v>
      </c>
    </row>
    <row r="166" spans="2:23" ht="36">
      <c r="B166" s="146" t="s">
        <v>820</v>
      </c>
      <c r="D166" s="146">
        <v>1001002002</v>
      </c>
      <c r="E166" s="146" t="str">
        <f>_xlfn.XLOOKUP(D166,'Detalhamento - G200'!A:A,'Detalhamento - G200'!B:B,0)</f>
        <v>MOVIMENTO DE TERRA - ESCOPO MÍNIMO</v>
      </c>
      <c r="F166" s="175">
        <v>92707</v>
      </c>
      <c r="G166" s="175" t="s">
        <v>819</v>
      </c>
      <c r="H166" s="146" t="s">
        <v>814</v>
      </c>
      <c r="I166" s="173">
        <v>45950</v>
      </c>
      <c r="J166" s="173">
        <v>45959</v>
      </c>
      <c r="K166" s="146" t="s">
        <v>431</v>
      </c>
      <c r="L166" s="146" t="s">
        <v>432</v>
      </c>
      <c r="M166" s="154">
        <v>1480256.04</v>
      </c>
      <c r="N166" s="154">
        <v>0</v>
      </c>
      <c r="O166" s="154">
        <v>0</v>
      </c>
      <c r="P166" s="154">
        <v>0</v>
      </c>
      <c r="Q166" s="154">
        <v>0</v>
      </c>
      <c r="R166" s="154">
        <v>0</v>
      </c>
      <c r="S166" s="154">
        <f t="shared" si="18"/>
        <v>1480256.04</v>
      </c>
      <c r="T166" s="154">
        <f t="shared" si="17"/>
        <v>1480256.04</v>
      </c>
      <c r="V166" s="146" t="s">
        <v>644</v>
      </c>
      <c r="W166" s="146" t="s">
        <v>935</v>
      </c>
    </row>
    <row r="167" spans="2:23" ht="36">
      <c r="B167" s="146" t="s">
        <v>818</v>
      </c>
      <c r="D167" s="146">
        <v>1001002002</v>
      </c>
      <c r="E167" s="146" t="str">
        <f>_xlfn.XLOOKUP(D167,'Detalhamento - G200'!A:A,'Detalhamento - G200'!B:B,0)</f>
        <v>MOVIMENTO DE TERRA - ESCOPO MÍNIMO</v>
      </c>
      <c r="G167" s="175" t="s">
        <v>819</v>
      </c>
      <c r="H167" s="146" t="s">
        <v>814</v>
      </c>
      <c r="J167" s="173">
        <v>45898</v>
      </c>
      <c r="K167" s="146" t="s">
        <v>431</v>
      </c>
      <c r="L167" s="146" t="s">
        <v>432</v>
      </c>
      <c r="M167" s="154">
        <v>2848296.28</v>
      </c>
      <c r="N167" s="154">
        <v>0</v>
      </c>
      <c r="O167" s="154">
        <v>0</v>
      </c>
      <c r="P167" s="154">
        <v>0</v>
      </c>
      <c r="Q167" s="154">
        <v>0</v>
      </c>
      <c r="R167" s="154">
        <v>0</v>
      </c>
      <c r="S167" s="154">
        <f t="shared" si="18"/>
        <v>2848296.28</v>
      </c>
      <c r="T167" s="154">
        <f t="shared" si="17"/>
        <v>2848296.28</v>
      </c>
      <c r="V167" s="146" t="s">
        <v>644</v>
      </c>
      <c r="W167" s="146" t="s">
        <v>935</v>
      </c>
    </row>
    <row r="168" spans="2:23" ht="36">
      <c r="B168" s="146" t="s">
        <v>839</v>
      </c>
      <c r="D168" s="146">
        <v>1001003002</v>
      </c>
      <c r="E168" s="146" t="str">
        <f>_xlfn.XLOOKUP(D168,'Detalhamento - G200'!A:A,'Detalhamento - G200'!B:B,0)</f>
        <v>SUPERESTRUTURA GALPÃO</v>
      </c>
      <c r="F168" s="175">
        <v>92616</v>
      </c>
      <c r="G168" s="175" t="s">
        <v>819</v>
      </c>
      <c r="H168" s="146" t="s">
        <v>814</v>
      </c>
      <c r="I168" s="173">
        <v>46125</v>
      </c>
      <c r="J168" s="173">
        <v>46142</v>
      </c>
      <c r="K168" s="146" t="s">
        <v>811</v>
      </c>
      <c r="L168" s="146" t="s">
        <v>749</v>
      </c>
      <c r="M168" s="154">
        <v>20527831.699999999</v>
      </c>
      <c r="N168" s="154">
        <v>0</v>
      </c>
      <c r="O168" s="154">
        <v>0</v>
      </c>
      <c r="P168" s="154">
        <v>0</v>
      </c>
      <c r="Q168" s="154">
        <v>0</v>
      </c>
      <c r="R168" s="154">
        <v>0</v>
      </c>
      <c r="S168" s="154">
        <f t="shared" si="18"/>
        <v>20527831.699999999</v>
      </c>
      <c r="T168" s="154">
        <f t="shared" si="17"/>
        <v>20527831.699999999</v>
      </c>
      <c r="V168" s="146" t="s">
        <v>764</v>
      </c>
      <c r="W168" s="146" t="s">
        <v>764</v>
      </c>
    </row>
    <row r="169" spans="2:23" ht="54">
      <c r="B169" s="146" t="s">
        <v>839</v>
      </c>
      <c r="D169" s="146">
        <v>1001003002</v>
      </c>
      <c r="E169" s="146" t="str">
        <f>_xlfn.XLOOKUP(D169,'Detalhamento - G200'!A:A,'Detalhamento - G200'!B:B,0)</f>
        <v>SUPERESTRUTURA GALPÃO</v>
      </c>
      <c r="F169" s="175">
        <v>92618</v>
      </c>
      <c r="G169" s="175">
        <v>7264</v>
      </c>
      <c r="H169" s="146" t="s">
        <v>812</v>
      </c>
      <c r="I169" s="173">
        <v>46125</v>
      </c>
      <c r="J169" s="173">
        <v>46142</v>
      </c>
      <c r="K169" s="146" t="s">
        <v>841</v>
      </c>
      <c r="L169" s="146" t="s">
        <v>840</v>
      </c>
      <c r="M169" s="154">
        <v>18027520.760000002</v>
      </c>
      <c r="N169" s="154">
        <v>0</v>
      </c>
      <c r="O169" s="154">
        <v>0</v>
      </c>
      <c r="P169" s="154">
        <v>0</v>
      </c>
      <c r="Q169" s="154">
        <v>0</v>
      </c>
      <c r="R169" s="154">
        <v>0</v>
      </c>
      <c r="S169" s="154">
        <f t="shared" ref="S169" si="19">M169-SUM(N169:R169)</f>
        <v>18027520.760000002</v>
      </c>
      <c r="T169" s="154">
        <f t="shared" ref="T169" si="20">N169+S169</f>
        <v>18027520.760000002</v>
      </c>
      <c r="V169" s="146" t="s">
        <v>766</v>
      </c>
      <c r="W169" s="146" t="s">
        <v>766</v>
      </c>
    </row>
    <row r="170" spans="2:23" ht="36">
      <c r="B170" s="146" t="s">
        <v>839</v>
      </c>
      <c r="D170" s="146">
        <v>1001005001</v>
      </c>
      <c r="E170" s="146" t="str">
        <f>_xlfn.XLOOKUP(D170,'Detalhamento - G200'!A:A,'Detalhamento - G200'!B:B,0)</f>
        <v>ELETRICA, HIDRÁULICA E COMBATE A INCÊNDIO - MEP</v>
      </c>
      <c r="F170" s="175">
        <v>92620</v>
      </c>
      <c r="G170" s="175" t="s">
        <v>819</v>
      </c>
      <c r="H170" s="146" t="s">
        <v>814</v>
      </c>
      <c r="I170" s="173">
        <v>46125</v>
      </c>
      <c r="J170" s="173">
        <v>46142</v>
      </c>
      <c r="K170" s="146" t="s">
        <v>842</v>
      </c>
      <c r="L170" s="146" t="s">
        <v>751</v>
      </c>
      <c r="M170" s="154">
        <v>9070763.3399999999</v>
      </c>
      <c r="N170" s="154">
        <v>0</v>
      </c>
      <c r="O170" s="154">
        <v>0</v>
      </c>
      <c r="P170" s="154">
        <v>0</v>
      </c>
      <c r="Q170" s="154">
        <v>0</v>
      </c>
      <c r="R170" s="154">
        <v>0</v>
      </c>
      <c r="S170" s="154">
        <f t="shared" ref="S170" si="21">M170-SUM(N170:R170)</f>
        <v>9070763.3399999999</v>
      </c>
      <c r="T170" s="154">
        <f t="shared" ref="T170" si="22">N170+S170</f>
        <v>9070763.3399999999</v>
      </c>
      <c r="V170" s="146" t="s">
        <v>765</v>
      </c>
      <c r="W170" s="146" t="s">
        <v>765</v>
      </c>
    </row>
    <row r="171" spans="2:23" ht="36">
      <c r="B171" s="146" t="s">
        <v>839</v>
      </c>
      <c r="D171" s="146">
        <v>1001002006</v>
      </c>
      <c r="E171" s="146" t="str">
        <f>_xlfn.XLOOKUP(D171,'Detalhamento - G200'!A:A,'Detalhamento - G200'!B:B,0)</f>
        <v>CONTENÇÕES</v>
      </c>
      <c r="F171" s="175">
        <v>92798</v>
      </c>
      <c r="G171" s="175" t="s">
        <v>819</v>
      </c>
      <c r="H171" s="146" t="s">
        <v>814</v>
      </c>
      <c r="I171" s="173">
        <v>46126</v>
      </c>
      <c r="J171" s="173">
        <v>46142</v>
      </c>
      <c r="K171" s="146" t="s">
        <v>844</v>
      </c>
      <c r="L171" s="146" t="s">
        <v>734</v>
      </c>
      <c r="M171" s="154">
        <v>393610.92</v>
      </c>
      <c r="N171" s="154">
        <v>0</v>
      </c>
      <c r="O171" s="154">
        <v>0</v>
      </c>
      <c r="P171" s="154">
        <v>0</v>
      </c>
      <c r="Q171" s="154">
        <v>0</v>
      </c>
      <c r="R171" s="154">
        <v>0</v>
      </c>
      <c r="S171" s="154">
        <f t="shared" ref="S171:S174" si="23">M171-SUM(N171:R171)</f>
        <v>393610.92</v>
      </c>
      <c r="T171" s="154">
        <f t="shared" ref="T171:T174" si="24">N171+S171</f>
        <v>393610.92</v>
      </c>
      <c r="V171" s="146" t="s">
        <v>846</v>
      </c>
      <c r="W171" s="146" t="s">
        <v>846</v>
      </c>
    </row>
    <row r="172" spans="2:23" ht="54">
      <c r="B172" s="146" t="s">
        <v>839</v>
      </c>
      <c r="D172" s="146">
        <v>1001003010</v>
      </c>
      <c r="E172" s="146" t="str">
        <f>_xlfn.XLOOKUP(D172,'Detalhamento - G200'!A:A,'Detalhamento - G200'!B:B,0)</f>
        <v>SERRALHERIA GALPÃO</v>
      </c>
      <c r="F172" s="175">
        <v>93091</v>
      </c>
      <c r="G172" s="175">
        <v>2951</v>
      </c>
      <c r="H172" s="146" t="s">
        <v>812</v>
      </c>
      <c r="I172" s="173">
        <v>46129</v>
      </c>
      <c r="J172" s="173">
        <v>46142</v>
      </c>
      <c r="K172" s="146" t="s">
        <v>845</v>
      </c>
      <c r="L172" s="146" t="s">
        <v>729</v>
      </c>
      <c r="M172" s="154">
        <v>115550.02</v>
      </c>
      <c r="N172" s="154">
        <v>0</v>
      </c>
      <c r="O172" s="154">
        <v>0</v>
      </c>
      <c r="P172" s="154">
        <v>0</v>
      </c>
      <c r="Q172" s="154">
        <v>0</v>
      </c>
      <c r="R172" s="154">
        <v>0</v>
      </c>
      <c r="S172" s="154">
        <f t="shared" si="23"/>
        <v>115550.02</v>
      </c>
      <c r="T172" s="154">
        <f t="shared" si="24"/>
        <v>115550.02</v>
      </c>
      <c r="V172" s="146" t="s">
        <v>728</v>
      </c>
      <c r="W172" s="146" t="s">
        <v>728</v>
      </c>
    </row>
    <row r="173" spans="2:23" ht="54">
      <c r="B173" s="146" t="s">
        <v>839</v>
      </c>
      <c r="D173" s="146">
        <v>1002002004</v>
      </c>
      <c r="E173" s="146" t="str">
        <f>_xlfn.XLOOKUP(D173,'Detalhamento - G200'!A:A,'Detalhamento - G200'!B:B,0)</f>
        <v>SERRALHERIA</v>
      </c>
      <c r="F173" s="175">
        <v>93091</v>
      </c>
      <c r="G173" s="175">
        <v>2951</v>
      </c>
      <c r="H173" s="146" t="s">
        <v>812</v>
      </c>
      <c r="I173" s="173">
        <v>46129</v>
      </c>
      <c r="J173" s="173">
        <v>46142</v>
      </c>
      <c r="K173" s="146" t="s">
        <v>845</v>
      </c>
      <c r="L173" s="146" t="s">
        <v>729</v>
      </c>
      <c r="M173" s="154">
        <v>319750.06</v>
      </c>
      <c r="N173" s="154">
        <v>0</v>
      </c>
      <c r="O173" s="154">
        <v>0</v>
      </c>
      <c r="P173" s="154">
        <v>0</v>
      </c>
      <c r="Q173" s="154">
        <v>0</v>
      </c>
      <c r="R173" s="154">
        <v>0</v>
      </c>
      <c r="S173" s="154">
        <f t="shared" si="23"/>
        <v>319750.06</v>
      </c>
      <c r="T173" s="154">
        <f t="shared" si="24"/>
        <v>319750.06</v>
      </c>
      <c r="V173" s="146" t="s">
        <v>728</v>
      </c>
      <c r="W173" s="146" t="s">
        <v>728</v>
      </c>
    </row>
    <row r="174" spans="2:23" ht="54">
      <c r="B174" s="146" t="s">
        <v>839</v>
      </c>
      <c r="D174" s="146">
        <v>1003005001</v>
      </c>
      <c r="E174" s="146" t="str">
        <f>_xlfn.XLOOKUP(D174,'Detalhamento - G200'!A:A,'Detalhamento - G200'!B:B,0)</f>
        <v>SERVIÇO CIVIL</v>
      </c>
      <c r="F174" s="175">
        <v>93091</v>
      </c>
      <c r="G174" s="175">
        <v>2951</v>
      </c>
      <c r="H174" s="146" t="s">
        <v>812</v>
      </c>
      <c r="I174" s="173">
        <v>46129</v>
      </c>
      <c r="J174" s="173">
        <v>46142</v>
      </c>
      <c r="K174" s="146" t="s">
        <v>845</v>
      </c>
      <c r="L174" s="146" t="s">
        <v>729</v>
      </c>
      <c r="M174" s="154">
        <v>64700.01</v>
      </c>
      <c r="N174" s="154">
        <v>0</v>
      </c>
      <c r="O174" s="154">
        <v>0</v>
      </c>
      <c r="P174" s="154">
        <v>0</v>
      </c>
      <c r="Q174" s="154">
        <v>0</v>
      </c>
      <c r="R174" s="154">
        <v>0</v>
      </c>
      <c r="S174" s="154">
        <f t="shared" si="23"/>
        <v>64700.01</v>
      </c>
      <c r="T174" s="154">
        <f t="shared" si="24"/>
        <v>64700.01</v>
      </c>
      <c r="V174" s="146" t="s">
        <v>728</v>
      </c>
      <c r="W174" s="146" t="s">
        <v>728</v>
      </c>
    </row>
    <row r="175" spans="2:23" ht="36">
      <c r="B175" s="146" t="s">
        <v>843</v>
      </c>
      <c r="D175" s="146">
        <v>1001005002</v>
      </c>
      <c r="E175" s="146" t="str">
        <f>_xlfn.XLOOKUP(D175,'Detalhamento - G200'!A:A,'Detalhamento - G200'!B:B,0)</f>
        <v>SISTEMA DE AR CONDICIONADO E EXAUSTÃO</v>
      </c>
      <c r="F175" s="175">
        <v>93631</v>
      </c>
      <c r="G175" s="175" t="s">
        <v>819</v>
      </c>
      <c r="H175" s="146" t="s">
        <v>814</v>
      </c>
      <c r="I175" s="173">
        <v>46139</v>
      </c>
      <c r="J175" s="173">
        <v>46142</v>
      </c>
      <c r="K175" s="146" t="s">
        <v>848</v>
      </c>
      <c r="L175" s="146" t="s">
        <v>847</v>
      </c>
      <c r="M175" s="154">
        <v>42160.88</v>
      </c>
      <c r="N175" s="154">
        <v>0</v>
      </c>
      <c r="O175" s="154">
        <v>0</v>
      </c>
      <c r="P175" s="154">
        <v>0</v>
      </c>
      <c r="Q175" s="154">
        <v>0</v>
      </c>
      <c r="R175" s="154">
        <v>0</v>
      </c>
      <c r="S175" s="154">
        <f t="shared" ref="S175:S185" si="25">M175-SUM(N175:R175)</f>
        <v>42160.88</v>
      </c>
      <c r="T175" s="154">
        <f t="shared" ref="T175:T185" si="26">N175+S175</f>
        <v>42160.88</v>
      </c>
      <c r="V175" s="146" t="s">
        <v>769</v>
      </c>
      <c r="W175" s="146" t="s">
        <v>769</v>
      </c>
    </row>
    <row r="176" spans="2:23" ht="36">
      <c r="B176" s="146" t="s">
        <v>843</v>
      </c>
      <c r="D176" s="146">
        <v>1003001001</v>
      </c>
      <c r="E176" s="146" t="str">
        <f>_xlfn.XLOOKUP(D176,'Detalhamento - G200'!A:A,'Detalhamento - G200'!B:B,0)</f>
        <v>EQUIPAMENTO</v>
      </c>
      <c r="F176" s="175">
        <v>93631</v>
      </c>
      <c r="G176" s="175" t="s">
        <v>819</v>
      </c>
      <c r="H176" s="146" t="s">
        <v>814</v>
      </c>
      <c r="I176" s="173">
        <v>46139</v>
      </c>
      <c r="J176" s="173">
        <v>46142</v>
      </c>
      <c r="K176" s="146" t="s">
        <v>848</v>
      </c>
      <c r="L176" s="146" t="s">
        <v>847</v>
      </c>
      <c r="M176" s="154">
        <v>1992187.85</v>
      </c>
      <c r="N176" s="154">
        <v>0</v>
      </c>
      <c r="O176" s="154">
        <v>0</v>
      </c>
      <c r="P176" s="154">
        <v>0</v>
      </c>
      <c r="Q176" s="154">
        <v>0</v>
      </c>
      <c r="R176" s="154">
        <v>0</v>
      </c>
      <c r="S176" s="154">
        <f t="shared" si="25"/>
        <v>1992187.85</v>
      </c>
      <c r="T176" s="154">
        <f t="shared" si="26"/>
        <v>1992187.85</v>
      </c>
      <c r="V176" s="146" t="s">
        <v>769</v>
      </c>
      <c r="W176" s="146" t="s">
        <v>769</v>
      </c>
    </row>
    <row r="177" spans="2:23" ht="36">
      <c r="B177" s="146" t="s">
        <v>843</v>
      </c>
      <c r="D177" s="146">
        <v>1003002001</v>
      </c>
      <c r="E177" s="146" t="str">
        <f>_xlfn.XLOOKUP(D177,'Detalhamento - G200'!A:A,'Detalhamento - G200'!B:B,0)</f>
        <v>CAVALETES HIDRÁULICOS E VÁLVULAS</v>
      </c>
      <c r="F177" s="175">
        <v>93631</v>
      </c>
      <c r="G177" s="175" t="s">
        <v>819</v>
      </c>
      <c r="H177" s="146" t="s">
        <v>814</v>
      </c>
      <c r="I177" s="173">
        <v>46139</v>
      </c>
      <c r="J177" s="173">
        <v>46142</v>
      </c>
      <c r="K177" s="146" t="s">
        <v>848</v>
      </c>
      <c r="L177" s="146" t="s">
        <v>847</v>
      </c>
      <c r="M177" s="154">
        <v>131065.24</v>
      </c>
      <c r="N177" s="154">
        <v>0</v>
      </c>
      <c r="O177" s="154">
        <v>0</v>
      </c>
      <c r="P177" s="154">
        <v>0</v>
      </c>
      <c r="Q177" s="154">
        <v>0</v>
      </c>
      <c r="R177" s="154">
        <v>0</v>
      </c>
      <c r="S177" s="154">
        <f t="shared" si="25"/>
        <v>131065.24</v>
      </c>
      <c r="T177" s="154">
        <f t="shared" si="26"/>
        <v>131065.24</v>
      </c>
      <c r="V177" s="146" t="s">
        <v>769</v>
      </c>
      <c r="W177" s="146" t="s">
        <v>769</v>
      </c>
    </row>
    <row r="178" spans="2:23" ht="36">
      <c r="B178" s="146" t="s">
        <v>843</v>
      </c>
      <c r="D178" s="146">
        <v>1003002002</v>
      </c>
      <c r="E178" s="146" t="str">
        <f>_xlfn.XLOOKUP(D178,'Detalhamento - G200'!A:A,'Detalhamento - G200'!B:B,0)</f>
        <v>REDE HIDRÁULICA</v>
      </c>
      <c r="F178" s="175">
        <v>93631</v>
      </c>
      <c r="G178" s="175" t="s">
        <v>819</v>
      </c>
      <c r="H178" s="146" t="s">
        <v>814</v>
      </c>
      <c r="I178" s="173">
        <v>46139</v>
      </c>
      <c r="J178" s="173">
        <v>46142</v>
      </c>
      <c r="K178" s="146" t="s">
        <v>848</v>
      </c>
      <c r="L178" s="146" t="s">
        <v>847</v>
      </c>
      <c r="M178" s="154">
        <v>496972.38</v>
      </c>
      <c r="N178" s="154">
        <v>0</v>
      </c>
      <c r="O178" s="154">
        <v>0</v>
      </c>
      <c r="P178" s="154">
        <v>0</v>
      </c>
      <c r="Q178" s="154">
        <v>0</v>
      </c>
      <c r="R178" s="154">
        <v>0</v>
      </c>
      <c r="S178" s="154">
        <f t="shared" si="25"/>
        <v>496972.38</v>
      </c>
      <c r="T178" s="154">
        <f t="shared" si="26"/>
        <v>496972.38</v>
      </c>
      <c r="V178" s="146" t="s">
        <v>769</v>
      </c>
      <c r="W178" s="146" t="s">
        <v>769</v>
      </c>
    </row>
    <row r="179" spans="2:23" ht="36">
      <c r="B179" s="146" t="s">
        <v>843</v>
      </c>
      <c r="D179" s="146">
        <v>1003003001</v>
      </c>
      <c r="E179" s="146" t="str">
        <f>_xlfn.XLOOKUP(D179,'Detalhamento - G200'!A:A,'Detalhamento - G200'!B:B,0)</f>
        <v>QUADROS ELÉTRICOS E AUTOMAÇÃO</v>
      </c>
      <c r="F179" s="175">
        <v>93631</v>
      </c>
      <c r="G179" s="175" t="s">
        <v>819</v>
      </c>
      <c r="H179" s="146" t="s">
        <v>814</v>
      </c>
      <c r="I179" s="173">
        <v>46139</v>
      </c>
      <c r="J179" s="173">
        <v>46142</v>
      </c>
      <c r="K179" s="146" t="s">
        <v>848</v>
      </c>
      <c r="L179" s="146" t="s">
        <v>847</v>
      </c>
      <c r="M179" s="154">
        <v>541295.79</v>
      </c>
      <c r="N179" s="154">
        <v>0</v>
      </c>
      <c r="O179" s="154">
        <v>0</v>
      </c>
      <c r="P179" s="154">
        <v>0</v>
      </c>
      <c r="Q179" s="154">
        <v>0</v>
      </c>
      <c r="R179" s="154">
        <v>0</v>
      </c>
      <c r="S179" s="154">
        <f t="shared" si="25"/>
        <v>541295.79</v>
      </c>
      <c r="T179" s="154">
        <f t="shared" si="26"/>
        <v>541295.79</v>
      </c>
      <c r="V179" s="146" t="s">
        <v>769</v>
      </c>
      <c r="W179" s="146" t="s">
        <v>769</v>
      </c>
    </row>
    <row r="180" spans="2:23" ht="36">
      <c r="B180" s="146" t="s">
        <v>843</v>
      </c>
      <c r="D180" s="146">
        <v>1003003002</v>
      </c>
      <c r="E180" s="146" t="str">
        <f>_xlfn.XLOOKUP(D180,'Detalhamento - G200'!A:A,'Detalhamento - G200'!B:B,0)</f>
        <v>INTERLIGAÇÕES ELÉTRICAS</v>
      </c>
      <c r="F180" s="175">
        <v>93631</v>
      </c>
      <c r="G180" s="175" t="s">
        <v>819</v>
      </c>
      <c r="H180" s="146" t="s">
        <v>814</v>
      </c>
      <c r="I180" s="173">
        <v>46139</v>
      </c>
      <c r="J180" s="173">
        <v>46142</v>
      </c>
      <c r="K180" s="146" t="s">
        <v>848</v>
      </c>
      <c r="L180" s="146" t="s">
        <v>847</v>
      </c>
      <c r="M180" s="154">
        <v>688245.54</v>
      </c>
      <c r="N180" s="154">
        <v>0</v>
      </c>
      <c r="O180" s="154">
        <v>0</v>
      </c>
      <c r="P180" s="154">
        <v>0</v>
      </c>
      <c r="Q180" s="154">
        <v>0</v>
      </c>
      <c r="R180" s="154">
        <v>0</v>
      </c>
      <c r="S180" s="154">
        <f t="shared" si="25"/>
        <v>688245.54</v>
      </c>
      <c r="T180" s="154">
        <f t="shared" si="26"/>
        <v>688245.54</v>
      </c>
      <c r="V180" s="146" t="s">
        <v>769</v>
      </c>
      <c r="W180" s="146" t="s">
        <v>769</v>
      </c>
    </row>
    <row r="181" spans="2:23" ht="36">
      <c r="B181" s="146" t="s">
        <v>843</v>
      </c>
      <c r="D181" s="146">
        <v>1003004001</v>
      </c>
      <c r="E181" s="146" t="str">
        <f>_xlfn.XLOOKUP(D181,'Detalhamento - G200'!A:A,'Detalhamento - G200'!B:B,0)</f>
        <v>REDES DE DUTOS</v>
      </c>
      <c r="F181" s="175">
        <v>93631</v>
      </c>
      <c r="G181" s="175" t="s">
        <v>819</v>
      </c>
      <c r="H181" s="146" t="s">
        <v>814</v>
      </c>
      <c r="I181" s="173">
        <v>46139</v>
      </c>
      <c r="J181" s="173">
        <v>46142</v>
      </c>
      <c r="K181" s="146" t="s">
        <v>848</v>
      </c>
      <c r="L181" s="146" t="s">
        <v>847</v>
      </c>
      <c r="M181" s="154">
        <v>510571.29</v>
      </c>
      <c r="N181" s="154">
        <v>0</v>
      </c>
      <c r="O181" s="154">
        <v>0</v>
      </c>
      <c r="P181" s="154">
        <v>0</v>
      </c>
      <c r="Q181" s="154">
        <v>0</v>
      </c>
      <c r="R181" s="154">
        <v>0</v>
      </c>
      <c r="S181" s="154">
        <f t="shared" si="25"/>
        <v>510571.29</v>
      </c>
      <c r="T181" s="154">
        <f t="shared" si="26"/>
        <v>510571.29</v>
      </c>
      <c r="V181" s="146" t="s">
        <v>769</v>
      </c>
      <c r="W181" s="146" t="s">
        <v>769</v>
      </c>
    </row>
    <row r="182" spans="2:23" ht="36">
      <c r="B182" s="146" t="s">
        <v>843</v>
      </c>
      <c r="D182" s="146">
        <v>1003004002</v>
      </c>
      <c r="E182" s="146" t="str">
        <f>_xlfn.XLOOKUP(D182,'Detalhamento - G200'!A:A,'Detalhamento - G200'!B:B,0)</f>
        <v>DIFUSÃO</v>
      </c>
      <c r="F182" s="175">
        <v>93631</v>
      </c>
      <c r="G182" s="175" t="s">
        <v>819</v>
      </c>
      <c r="H182" s="146" t="s">
        <v>814</v>
      </c>
      <c r="I182" s="173">
        <v>46139</v>
      </c>
      <c r="J182" s="173">
        <v>46142</v>
      </c>
      <c r="K182" s="146" t="s">
        <v>848</v>
      </c>
      <c r="L182" s="146" t="s">
        <v>847</v>
      </c>
      <c r="M182" s="154">
        <v>117603.28</v>
      </c>
      <c r="N182" s="154">
        <v>0</v>
      </c>
      <c r="O182" s="154">
        <v>0</v>
      </c>
      <c r="P182" s="154">
        <v>0</v>
      </c>
      <c r="Q182" s="154">
        <v>0</v>
      </c>
      <c r="R182" s="154">
        <v>0</v>
      </c>
      <c r="S182" s="154">
        <f t="shared" si="25"/>
        <v>117603.28</v>
      </c>
      <c r="T182" s="154">
        <f t="shared" si="26"/>
        <v>117603.28</v>
      </c>
      <c r="V182" s="146" t="s">
        <v>769</v>
      </c>
      <c r="W182" s="146" t="s">
        <v>769</v>
      </c>
    </row>
    <row r="183" spans="2:23" ht="36">
      <c r="B183" s="146" t="s">
        <v>843</v>
      </c>
      <c r="D183" s="146">
        <v>1003006001</v>
      </c>
      <c r="E183" s="146" t="str">
        <f>_xlfn.XLOOKUP(D183,'Detalhamento - G200'!A:A,'Detalhamento - G200'!B:B,0)</f>
        <v>PROJETOS, CQPS E AS BUILT</v>
      </c>
      <c r="F183" s="175">
        <v>93631</v>
      </c>
      <c r="G183" s="175" t="s">
        <v>819</v>
      </c>
      <c r="H183" s="146" t="s">
        <v>814</v>
      </c>
      <c r="I183" s="173">
        <v>46139</v>
      </c>
      <c r="J183" s="173">
        <v>46142</v>
      </c>
      <c r="K183" s="146" t="s">
        <v>848</v>
      </c>
      <c r="L183" s="146" t="s">
        <v>847</v>
      </c>
      <c r="M183" s="154">
        <v>395292.63</v>
      </c>
      <c r="N183" s="154">
        <v>0</v>
      </c>
      <c r="O183" s="154">
        <v>0</v>
      </c>
      <c r="P183" s="154">
        <v>0</v>
      </c>
      <c r="Q183" s="154">
        <v>0</v>
      </c>
      <c r="R183" s="154">
        <v>0</v>
      </c>
      <c r="S183" s="154">
        <f t="shared" si="25"/>
        <v>395292.63</v>
      </c>
      <c r="T183" s="154">
        <f t="shared" si="26"/>
        <v>395292.63</v>
      </c>
      <c r="V183" s="146" t="s">
        <v>769</v>
      </c>
      <c r="W183" s="146" t="s">
        <v>769</v>
      </c>
    </row>
    <row r="184" spans="2:23" ht="36">
      <c r="B184" s="146" t="s">
        <v>843</v>
      </c>
      <c r="D184" s="146">
        <v>1004001004</v>
      </c>
      <c r="E184" s="146" t="str">
        <f>_xlfn.XLOOKUP(D184,'Detalhamento - G200'!A:A,'Detalhamento - G200'!B:B,0)</f>
        <v>HVAC - COZINHA E REFEITÓRIO</v>
      </c>
      <c r="F184" s="175">
        <v>93631</v>
      </c>
      <c r="G184" s="175" t="s">
        <v>819</v>
      </c>
      <c r="H184" s="146" t="s">
        <v>814</v>
      </c>
      <c r="I184" s="173">
        <v>46139</v>
      </c>
      <c r="J184" s="173">
        <v>46142</v>
      </c>
      <c r="K184" s="146" t="s">
        <v>848</v>
      </c>
      <c r="L184" s="146" t="s">
        <v>847</v>
      </c>
      <c r="M184" s="154">
        <v>14073.42</v>
      </c>
      <c r="N184" s="154">
        <v>0</v>
      </c>
      <c r="O184" s="154">
        <v>0</v>
      </c>
      <c r="P184" s="154">
        <v>0</v>
      </c>
      <c r="Q184" s="154">
        <v>0</v>
      </c>
      <c r="R184" s="154">
        <v>0</v>
      </c>
      <c r="S184" s="154">
        <f t="shared" si="25"/>
        <v>14073.42</v>
      </c>
      <c r="T184" s="154">
        <f t="shared" si="26"/>
        <v>14073.42</v>
      </c>
      <c r="V184" s="146" t="s">
        <v>769</v>
      </c>
      <c r="W184" s="146" t="s">
        <v>769</v>
      </c>
    </row>
    <row r="185" spans="2:23" ht="54">
      <c r="B185" s="146" t="s">
        <v>843</v>
      </c>
      <c r="D185" s="146">
        <v>1004002009</v>
      </c>
      <c r="E185" s="146" t="str">
        <f>_xlfn.XLOOKUP(D185,'Detalhamento - G200'!A:A,'Detalhamento - G200'!B:B,0)</f>
        <v>INCLUSÃO DE EXAUSTÃO E INSUFLAMENTO PARA ÁREAS DE UTENSÍLIOS</v>
      </c>
      <c r="F185" s="175">
        <v>93631</v>
      </c>
      <c r="G185" s="175" t="s">
        <v>819</v>
      </c>
      <c r="H185" s="146" t="s">
        <v>814</v>
      </c>
      <c r="I185" s="173">
        <v>46139</v>
      </c>
      <c r="J185" s="173">
        <v>46142</v>
      </c>
      <c r="K185" s="146" t="s">
        <v>848</v>
      </c>
      <c r="L185" s="146" t="s">
        <v>847</v>
      </c>
      <c r="M185" s="154">
        <v>70531.7</v>
      </c>
      <c r="N185" s="154">
        <v>0</v>
      </c>
      <c r="O185" s="154">
        <v>0</v>
      </c>
      <c r="P185" s="154">
        <v>0</v>
      </c>
      <c r="Q185" s="154">
        <v>0</v>
      </c>
      <c r="R185" s="154">
        <v>0</v>
      </c>
      <c r="S185" s="154">
        <f t="shared" si="25"/>
        <v>70531.7</v>
      </c>
      <c r="T185" s="154">
        <f t="shared" si="26"/>
        <v>70531.7</v>
      </c>
      <c r="V185" s="146" t="s">
        <v>769</v>
      </c>
      <c r="W185" s="146" t="s">
        <v>769</v>
      </c>
    </row>
    <row r="186" spans="2:23">
      <c r="B186" s="146" t="s">
        <v>850</v>
      </c>
      <c r="D186" s="146">
        <v>2001013001</v>
      </c>
      <c r="E186" s="146" t="str">
        <f>_xlfn.XLOOKUP(D186,'Detalhamento - G200'!A:A,'Detalhamento - G200'!B:B,0)</f>
        <v>LOCAÇÃO - SANITÁRIO QUÍMICO</v>
      </c>
      <c r="F186" s="175">
        <v>93550</v>
      </c>
      <c r="G186" s="175">
        <v>14107</v>
      </c>
      <c r="H186" s="146" t="s">
        <v>792</v>
      </c>
      <c r="I186" s="173">
        <v>46136</v>
      </c>
      <c r="J186" s="173">
        <v>46156</v>
      </c>
      <c r="K186" s="146" t="s">
        <v>772</v>
      </c>
      <c r="L186" s="146" t="s">
        <v>307</v>
      </c>
      <c r="M186" s="154">
        <v>640.5</v>
      </c>
      <c r="N186" s="154">
        <v>119.45</v>
      </c>
      <c r="O186" s="154">
        <v>0</v>
      </c>
      <c r="P186" s="154">
        <v>0</v>
      </c>
      <c r="Q186" s="154">
        <v>0</v>
      </c>
      <c r="R186" s="154">
        <v>0</v>
      </c>
      <c r="S186" s="154">
        <f t="shared" ref="S186:S195" si="27">M186-SUM(N186:R186)</f>
        <v>521.04999999999995</v>
      </c>
      <c r="T186" s="154">
        <f t="shared" ref="T186:T195" si="28">N186+S186</f>
        <v>640.5</v>
      </c>
      <c r="V186" s="146" t="s">
        <v>361</v>
      </c>
      <c r="W186" s="146" t="s">
        <v>361</v>
      </c>
    </row>
    <row r="187" spans="2:23" ht="36">
      <c r="B187" s="146" t="s">
        <v>850</v>
      </c>
      <c r="D187" s="146">
        <v>2001002001</v>
      </c>
      <c r="E187" s="146" t="str">
        <f>_xlfn.XLOOKUP(D187,'Detalhamento - G200'!A:A,'Detalhamento - G200'!B:B,0)</f>
        <v>SEGURANÇA PATRIMONIAL - VIGILÂNCIA</v>
      </c>
      <c r="F187" s="175">
        <v>93504</v>
      </c>
      <c r="G187" s="175">
        <v>63</v>
      </c>
      <c r="H187" s="146" t="s">
        <v>792</v>
      </c>
      <c r="I187" s="173">
        <v>46120</v>
      </c>
      <c r="J187" s="173">
        <v>46147</v>
      </c>
      <c r="K187" s="146" t="s">
        <v>779</v>
      </c>
      <c r="L187" s="146" t="s">
        <v>778</v>
      </c>
      <c r="M187" s="154">
        <v>31042.04</v>
      </c>
      <c r="N187" s="154">
        <v>3414.62</v>
      </c>
      <c r="O187" s="154">
        <v>1552.1</v>
      </c>
      <c r="P187" s="154">
        <v>0</v>
      </c>
      <c r="Q187" s="154">
        <v>0</v>
      </c>
      <c r="R187" s="154">
        <v>0</v>
      </c>
      <c r="S187" s="154">
        <f t="shared" si="27"/>
        <v>26075.32</v>
      </c>
      <c r="T187" s="154">
        <f t="shared" si="28"/>
        <v>29489.94</v>
      </c>
      <c r="V187" s="146" t="s">
        <v>372</v>
      </c>
      <c r="W187" s="146" t="s">
        <v>372</v>
      </c>
    </row>
    <row r="188" spans="2:23" ht="36">
      <c r="B188" s="146" t="s">
        <v>850</v>
      </c>
      <c r="D188" s="146">
        <v>1001003005</v>
      </c>
      <c r="E188" s="146" t="str">
        <f>_xlfn.XLOOKUP(D188,'Detalhamento - G200'!A:A,'Detalhamento - G200'!B:B,0)</f>
        <v>ESQUADRIAS E CAIXILHOS</v>
      </c>
      <c r="F188" s="175">
        <v>93106</v>
      </c>
      <c r="G188" s="175">
        <v>1</v>
      </c>
      <c r="H188" s="146" t="s">
        <v>814</v>
      </c>
      <c r="I188" s="173">
        <v>46129</v>
      </c>
      <c r="J188" s="173">
        <v>46153</v>
      </c>
      <c r="K188" s="146" t="s">
        <v>806</v>
      </c>
      <c r="L188" s="146" t="s">
        <v>797</v>
      </c>
      <c r="M188" s="154">
        <v>414163.92</v>
      </c>
      <c r="N188" s="154">
        <v>0</v>
      </c>
      <c r="O188" s="154">
        <v>0</v>
      </c>
      <c r="P188" s="154">
        <v>0</v>
      </c>
      <c r="Q188" s="154">
        <v>0</v>
      </c>
      <c r="R188" s="154">
        <v>0</v>
      </c>
      <c r="S188" s="154">
        <f t="shared" si="27"/>
        <v>414163.92</v>
      </c>
      <c r="T188" s="154">
        <f t="shared" si="28"/>
        <v>414163.92</v>
      </c>
      <c r="V188" s="146" t="s">
        <v>595</v>
      </c>
      <c r="W188" s="146" t="s">
        <v>595</v>
      </c>
    </row>
    <row r="189" spans="2:23" ht="36">
      <c r="B189" s="146" t="s">
        <v>850</v>
      </c>
      <c r="D189" s="146">
        <v>1001003011</v>
      </c>
      <c r="E189" s="146" t="str">
        <f>_xlfn.XLOOKUP(D189,'Detalhamento - G200'!A:A,'Detalhamento - G200'!B:B,0)</f>
        <v>EQUIPAMENTOS GALPÃO</v>
      </c>
      <c r="F189" s="175">
        <v>93106</v>
      </c>
      <c r="G189" s="175">
        <v>1</v>
      </c>
      <c r="H189" s="146" t="s">
        <v>814</v>
      </c>
      <c r="I189" s="173">
        <v>46129</v>
      </c>
      <c r="J189" s="173">
        <v>46153</v>
      </c>
      <c r="K189" s="146" t="s">
        <v>806</v>
      </c>
      <c r="L189" s="146" t="s">
        <v>797</v>
      </c>
      <c r="M189" s="154">
        <v>613793.19999999995</v>
      </c>
      <c r="N189" s="154">
        <v>0</v>
      </c>
      <c r="O189" s="154">
        <v>0</v>
      </c>
      <c r="P189" s="154">
        <v>0</v>
      </c>
      <c r="Q189" s="154">
        <v>0</v>
      </c>
      <c r="R189" s="154">
        <v>0</v>
      </c>
      <c r="S189" s="154">
        <f t="shared" si="27"/>
        <v>613793.19999999995</v>
      </c>
      <c r="T189" s="154">
        <f t="shared" si="28"/>
        <v>613793.19999999995</v>
      </c>
      <c r="V189" s="146" t="s">
        <v>595</v>
      </c>
      <c r="W189" s="146" t="s">
        <v>595</v>
      </c>
    </row>
    <row r="190" spans="2:23">
      <c r="B190" s="146" t="s">
        <v>850</v>
      </c>
      <c r="D190" s="146">
        <v>1001002006</v>
      </c>
      <c r="E190" s="146" t="str">
        <f>_xlfn.XLOOKUP(D190,'Detalhamento - G200'!A:A,'Detalhamento - G200'!B:B,0)</f>
        <v>CONTENÇÕES</v>
      </c>
      <c r="F190" s="175">
        <v>93649</v>
      </c>
      <c r="G190" s="175">
        <v>2448</v>
      </c>
      <c r="H190" s="146" t="s">
        <v>790</v>
      </c>
      <c r="I190" s="173">
        <v>46121</v>
      </c>
      <c r="J190" s="173">
        <v>46153</v>
      </c>
      <c r="K190" s="146" t="s">
        <v>620</v>
      </c>
      <c r="L190" s="146" t="s">
        <v>281</v>
      </c>
      <c r="M190" s="154">
        <v>18150</v>
      </c>
      <c r="N190" s="154">
        <v>0</v>
      </c>
      <c r="O190" s="154">
        <v>0</v>
      </c>
      <c r="P190" s="154">
        <v>0</v>
      </c>
      <c r="Q190" s="154">
        <v>0</v>
      </c>
      <c r="R190" s="154">
        <v>0</v>
      </c>
      <c r="S190" s="154">
        <f t="shared" si="27"/>
        <v>18150</v>
      </c>
      <c r="T190" s="154">
        <f t="shared" si="28"/>
        <v>18150</v>
      </c>
      <c r="V190" s="146" t="s">
        <v>649</v>
      </c>
      <c r="W190" s="146" t="s">
        <v>731</v>
      </c>
    </row>
    <row r="191" spans="2:23" ht="36">
      <c r="B191" s="146" t="s">
        <v>850</v>
      </c>
      <c r="D191" s="146">
        <v>1001003001</v>
      </c>
      <c r="E191" s="146" t="str">
        <f>_xlfn.XLOOKUP(D191,'Detalhamento - G200'!A:A,'Detalhamento - G200'!B:B,0)</f>
        <v>FUNDAÇÃO GALPÃO</v>
      </c>
      <c r="F191" s="175">
        <v>93646</v>
      </c>
      <c r="G191" s="175">
        <v>79237</v>
      </c>
      <c r="H191" s="146" t="s">
        <v>790</v>
      </c>
      <c r="I191" s="173">
        <v>46128</v>
      </c>
      <c r="J191" s="173">
        <v>46157</v>
      </c>
      <c r="K191" s="146" t="s">
        <v>854</v>
      </c>
      <c r="L191" s="146" t="s">
        <v>851</v>
      </c>
      <c r="M191" s="154">
        <v>8493.1200000000008</v>
      </c>
      <c r="N191" s="154">
        <v>0</v>
      </c>
      <c r="O191" s="154">
        <v>0</v>
      </c>
      <c r="P191" s="154">
        <v>0</v>
      </c>
      <c r="Q191" s="154">
        <v>0</v>
      </c>
      <c r="R191" s="154">
        <v>0</v>
      </c>
      <c r="S191" s="154">
        <f t="shared" si="27"/>
        <v>8493.1200000000008</v>
      </c>
      <c r="T191" s="154">
        <f t="shared" si="28"/>
        <v>8493.1200000000008</v>
      </c>
      <c r="V191" s="146" t="s">
        <v>684</v>
      </c>
      <c r="W191" s="146" t="s">
        <v>935</v>
      </c>
    </row>
    <row r="192" spans="2:23">
      <c r="B192" s="146" t="s">
        <v>850</v>
      </c>
      <c r="D192" s="146">
        <v>1001003001</v>
      </c>
      <c r="E192" s="146" t="str">
        <f>_xlfn.XLOOKUP(D192,'Detalhamento - G200'!A:A,'Detalhamento - G200'!B:B,0)</f>
        <v>FUNDAÇÃO GALPÃO</v>
      </c>
      <c r="F192" s="175">
        <v>93647</v>
      </c>
      <c r="G192" s="175">
        <v>1569</v>
      </c>
      <c r="H192" s="146" t="s">
        <v>790</v>
      </c>
      <c r="I192" s="173">
        <v>46128</v>
      </c>
      <c r="J192" s="173">
        <v>46158</v>
      </c>
      <c r="K192" s="146" t="s">
        <v>855</v>
      </c>
      <c r="L192" s="146" t="s">
        <v>852</v>
      </c>
      <c r="M192" s="154">
        <v>330</v>
      </c>
      <c r="N192" s="154">
        <v>0</v>
      </c>
      <c r="O192" s="154">
        <v>0</v>
      </c>
      <c r="P192" s="154">
        <v>0</v>
      </c>
      <c r="Q192" s="154">
        <v>0</v>
      </c>
      <c r="R192" s="154">
        <v>0</v>
      </c>
      <c r="S192" s="154">
        <f t="shared" si="27"/>
        <v>330</v>
      </c>
      <c r="T192" s="154">
        <f t="shared" si="28"/>
        <v>330</v>
      </c>
      <c r="V192" s="146" t="s">
        <v>691</v>
      </c>
      <c r="W192" s="146" t="s">
        <v>935</v>
      </c>
    </row>
    <row r="193" spans="2:23" ht="36">
      <c r="B193" s="146" t="s">
        <v>850</v>
      </c>
      <c r="D193" s="146">
        <v>2001001002</v>
      </c>
      <c r="E193" s="146" t="str">
        <f>_xlfn.XLOOKUP(D193,'Detalhamento - G200'!A:A,'Detalhamento - G200'!B:B,0)</f>
        <v>IMPLANTAÇÃO DE CANTEIRO - ELETRICA</v>
      </c>
      <c r="F193" s="175">
        <v>93650</v>
      </c>
      <c r="G193" s="175">
        <v>3170</v>
      </c>
      <c r="H193" s="146" t="s">
        <v>790</v>
      </c>
      <c r="I193" s="173">
        <v>46134</v>
      </c>
      <c r="J193" s="173">
        <v>46164</v>
      </c>
      <c r="K193" s="146" t="s">
        <v>619</v>
      </c>
      <c r="L193" s="146" t="s">
        <v>288</v>
      </c>
      <c r="M193" s="154">
        <v>390</v>
      </c>
      <c r="N193" s="154">
        <v>0</v>
      </c>
      <c r="O193" s="154">
        <v>0</v>
      </c>
      <c r="P193" s="154">
        <v>0</v>
      </c>
      <c r="Q193" s="154">
        <v>0</v>
      </c>
      <c r="R193" s="154">
        <v>0</v>
      </c>
      <c r="S193" s="154">
        <f t="shared" si="27"/>
        <v>390</v>
      </c>
      <c r="T193" s="154">
        <f t="shared" si="28"/>
        <v>390</v>
      </c>
      <c r="V193" s="146" t="s">
        <v>683</v>
      </c>
      <c r="W193" s="146" t="s">
        <v>935</v>
      </c>
    </row>
    <row r="194" spans="2:23" ht="36">
      <c r="B194" s="146" t="s">
        <v>850</v>
      </c>
      <c r="D194" s="146">
        <v>1001003001</v>
      </c>
      <c r="E194" s="146" t="str">
        <f>_xlfn.XLOOKUP(D194,'Detalhamento - G200'!A:A,'Detalhamento - G200'!B:B,0)</f>
        <v>FUNDAÇÃO GALPÃO</v>
      </c>
      <c r="F194" s="175">
        <v>93654</v>
      </c>
      <c r="G194" s="175">
        <v>79221</v>
      </c>
      <c r="H194" s="146" t="s">
        <v>790</v>
      </c>
      <c r="I194" s="173">
        <v>46128</v>
      </c>
      <c r="J194" s="173">
        <v>46157</v>
      </c>
      <c r="K194" s="146" t="s">
        <v>854</v>
      </c>
      <c r="L194" s="146" t="s">
        <v>851</v>
      </c>
      <c r="M194" s="154">
        <v>35287.019999999997</v>
      </c>
      <c r="N194" s="154">
        <v>0</v>
      </c>
      <c r="O194" s="154">
        <v>0</v>
      </c>
      <c r="P194" s="154">
        <v>0</v>
      </c>
      <c r="Q194" s="154">
        <v>0</v>
      </c>
      <c r="R194" s="154">
        <v>0</v>
      </c>
      <c r="S194" s="154">
        <f t="shared" si="27"/>
        <v>35287.019999999997</v>
      </c>
      <c r="T194" s="154">
        <f t="shared" si="28"/>
        <v>35287.019999999997</v>
      </c>
      <c r="V194" s="146" t="s">
        <v>684</v>
      </c>
      <c r="W194" s="146" t="s">
        <v>935</v>
      </c>
    </row>
    <row r="195" spans="2:23">
      <c r="B195" s="146" t="s">
        <v>850</v>
      </c>
      <c r="D195" s="146">
        <v>2001001007</v>
      </c>
      <c r="E195" s="146" t="str">
        <f>_xlfn.XLOOKUP(D195,'Detalhamento - G200'!A:A,'Detalhamento - G200'!B:B,0)</f>
        <v>LOCAÇÃO DE TOLDO</v>
      </c>
      <c r="F195" s="175">
        <v>93764</v>
      </c>
      <c r="G195" s="175">
        <v>734</v>
      </c>
      <c r="H195" s="146" t="s">
        <v>790</v>
      </c>
      <c r="I195" s="173">
        <v>46140</v>
      </c>
      <c r="J195" s="173">
        <v>46170</v>
      </c>
      <c r="K195" s="146" t="s">
        <v>856</v>
      </c>
      <c r="L195" s="146" t="s">
        <v>853</v>
      </c>
      <c r="M195" s="154">
        <v>3150</v>
      </c>
      <c r="N195" s="154">
        <v>0</v>
      </c>
      <c r="O195" s="154">
        <v>0</v>
      </c>
      <c r="P195" s="154">
        <v>0</v>
      </c>
      <c r="Q195" s="154">
        <v>0</v>
      </c>
      <c r="R195" s="154">
        <v>0</v>
      </c>
      <c r="S195" s="154">
        <f t="shared" si="27"/>
        <v>3150</v>
      </c>
      <c r="T195" s="154">
        <f t="shared" si="28"/>
        <v>3150</v>
      </c>
      <c r="V195" s="146" t="s">
        <v>745</v>
      </c>
      <c r="W195" s="146" t="s">
        <v>935</v>
      </c>
    </row>
    <row r="196" spans="2:23">
      <c r="B196" s="146" t="s">
        <v>891</v>
      </c>
      <c r="D196" s="146">
        <v>1001002006</v>
      </c>
      <c r="E196" s="146" t="str">
        <f>_xlfn.XLOOKUP(D196,'Detalhamento - G200'!A:A,'Detalhamento - G200'!B:B,0)</f>
        <v>CONTENÇÕES</v>
      </c>
      <c r="F196" s="175">
        <v>93834</v>
      </c>
      <c r="G196" s="175">
        <v>64643</v>
      </c>
      <c r="H196" s="146" t="s">
        <v>790</v>
      </c>
      <c r="I196" s="173">
        <v>46128</v>
      </c>
      <c r="J196" s="173">
        <v>46163</v>
      </c>
      <c r="K196" s="146" t="s">
        <v>886</v>
      </c>
      <c r="L196" s="146" t="s">
        <v>303</v>
      </c>
      <c r="M196" s="154">
        <v>423560.41</v>
      </c>
      <c r="N196" s="154">
        <v>0</v>
      </c>
      <c r="O196" s="154">
        <v>0</v>
      </c>
      <c r="P196" s="154">
        <v>0</v>
      </c>
      <c r="Q196" s="154">
        <v>0</v>
      </c>
      <c r="R196" s="154">
        <v>0</v>
      </c>
      <c r="S196" s="154">
        <f t="shared" ref="S196:S202" si="29">M196-SUM(N196:R196)</f>
        <v>423560.41</v>
      </c>
      <c r="T196" s="154">
        <f t="shared" ref="T196:T202" si="30">N196+S196</f>
        <v>423560.41</v>
      </c>
      <c r="V196" s="146" t="s">
        <v>933</v>
      </c>
      <c r="W196" s="146" t="s">
        <v>731</v>
      </c>
    </row>
    <row r="197" spans="2:23" ht="36">
      <c r="B197" s="146" t="s">
        <v>891</v>
      </c>
      <c r="D197" s="146">
        <v>2001004002</v>
      </c>
      <c r="E197" s="146" t="str">
        <f>_xlfn.XLOOKUP(D197,'Detalhamento - G200'!A:A,'Detalhamento - G200'!B:B,0)</f>
        <v>LOCAÇÃO DE BOBCAT</v>
      </c>
      <c r="F197" s="175">
        <v>94058</v>
      </c>
      <c r="G197" s="175">
        <v>208</v>
      </c>
      <c r="H197" s="146" t="s">
        <v>890</v>
      </c>
      <c r="I197" s="173">
        <v>46146</v>
      </c>
      <c r="J197" s="173">
        <v>46162</v>
      </c>
      <c r="K197" s="146" t="s">
        <v>887</v>
      </c>
      <c r="L197" s="146" t="s">
        <v>883</v>
      </c>
      <c r="M197" s="154">
        <v>10115</v>
      </c>
      <c r="N197" s="154">
        <v>0</v>
      </c>
      <c r="O197" s="154">
        <v>0</v>
      </c>
      <c r="P197" s="154">
        <v>0</v>
      </c>
      <c r="Q197" s="154">
        <v>0</v>
      </c>
      <c r="R197" s="154">
        <v>0</v>
      </c>
      <c r="S197" s="154">
        <f t="shared" si="29"/>
        <v>10115</v>
      </c>
      <c r="T197" s="154">
        <f t="shared" si="30"/>
        <v>10115</v>
      </c>
      <c r="V197" s="146" t="s">
        <v>707</v>
      </c>
      <c r="W197" s="146" t="s">
        <v>935</v>
      </c>
    </row>
    <row r="198" spans="2:23">
      <c r="B198" s="146" t="s">
        <v>891</v>
      </c>
      <c r="D198" s="146">
        <v>1001002006</v>
      </c>
      <c r="E198" s="146" t="str">
        <f>_xlfn.XLOOKUP(D198,'Detalhamento - G200'!A:A,'Detalhamento - G200'!B:B,0)</f>
        <v>CONTENÇÕES</v>
      </c>
      <c r="F198" s="175">
        <v>93832</v>
      </c>
      <c r="G198" s="175">
        <v>64619</v>
      </c>
      <c r="H198" s="146" t="s">
        <v>790</v>
      </c>
      <c r="I198" s="173">
        <v>46127</v>
      </c>
      <c r="J198" s="173">
        <v>46162</v>
      </c>
      <c r="K198" s="146" t="s">
        <v>886</v>
      </c>
      <c r="L198" s="146" t="s">
        <v>303</v>
      </c>
      <c r="M198" s="154">
        <v>45858.69</v>
      </c>
      <c r="N198" s="154">
        <v>0</v>
      </c>
      <c r="O198" s="154">
        <v>0</v>
      </c>
      <c r="P198" s="154">
        <v>0</v>
      </c>
      <c r="Q198" s="154">
        <v>0</v>
      </c>
      <c r="R198" s="154">
        <v>0</v>
      </c>
      <c r="S198" s="154">
        <f t="shared" si="29"/>
        <v>45858.69</v>
      </c>
      <c r="T198" s="154">
        <f t="shared" si="30"/>
        <v>45858.69</v>
      </c>
      <c r="V198" s="146" t="s">
        <v>933</v>
      </c>
      <c r="W198" s="146" t="s">
        <v>731</v>
      </c>
    </row>
    <row r="199" spans="2:23">
      <c r="B199" s="146" t="s">
        <v>891</v>
      </c>
      <c r="D199" s="146">
        <v>1001002006</v>
      </c>
      <c r="E199" s="146" t="str">
        <f>_xlfn.XLOOKUP(D199,'Detalhamento - G200'!A:A,'Detalhamento - G200'!B:B,0)</f>
        <v>CONTENÇÕES</v>
      </c>
      <c r="F199" s="175">
        <v>93830</v>
      </c>
      <c r="G199" s="175">
        <v>64618</v>
      </c>
      <c r="H199" s="146" t="s">
        <v>790</v>
      </c>
      <c r="I199" s="173">
        <v>46127</v>
      </c>
      <c r="J199" s="173">
        <v>46162</v>
      </c>
      <c r="K199" s="146" t="s">
        <v>886</v>
      </c>
      <c r="L199" s="146" t="s">
        <v>303</v>
      </c>
      <c r="M199" s="154">
        <v>512122.89</v>
      </c>
      <c r="N199" s="154">
        <v>0</v>
      </c>
      <c r="O199" s="154">
        <v>0</v>
      </c>
      <c r="P199" s="154">
        <v>0</v>
      </c>
      <c r="Q199" s="154">
        <v>0</v>
      </c>
      <c r="R199" s="154">
        <v>0</v>
      </c>
      <c r="S199" s="154">
        <f t="shared" si="29"/>
        <v>512122.89</v>
      </c>
      <c r="T199" s="154">
        <f t="shared" si="30"/>
        <v>512122.89</v>
      </c>
      <c r="V199" s="146" t="s">
        <v>933</v>
      </c>
      <c r="W199" s="146" t="s">
        <v>731</v>
      </c>
    </row>
    <row r="200" spans="2:23" ht="36">
      <c r="B200" s="146" t="s">
        <v>891</v>
      </c>
      <c r="D200" s="146">
        <v>1004001002</v>
      </c>
      <c r="E200" s="146" t="str">
        <f>_xlfn.XLOOKUP(D200,'Detalhamento - G200'!A:A,'Detalhamento - G200'!B:B,0)</f>
        <v>ELEVADOR MEZANINO</v>
      </c>
      <c r="F200" s="175">
        <v>91939</v>
      </c>
      <c r="G200" s="175">
        <v>2</v>
      </c>
      <c r="H200" s="146" t="s">
        <v>814</v>
      </c>
      <c r="I200" s="173">
        <v>46118</v>
      </c>
      <c r="J200" s="173">
        <v>46162</v>
      </c>
      <c r="K200" s="146" t="s">
        <v>888</v>
      </c>
      <c r="L200" s="146" t="s">
        <v>884</v>
      </c>
      <c r="M200" s="154">
        <v>43605</v>
      </c>
      <c r="N200" s="154">
        <v>0</v>
      </c>
      <c r="O200" s="154">
        <v>0</v>
      </c>
      <c r="P200" s="154">
        <v>0</v>
      </c>
      <c r="Q200" s="154">
        <v>0</v>
      </c>
      <c r="R200" s="154">
        <v>0</v>
      </c>
      <c r="S200" s="154">
        <f t="shared" si="29"/>
        <v>43605</v>
      </c>
      <c r="T200" s="154">
        <f t="shared" si="30"/>
        <v>43605</v>
      </c>
      <c r="V200" s="146" t="s">
        <v>600</v>
      </c>
      <c r="W200" s="146" t="s">
        <v>600</v>
      </c>
    </row>
    <row r="201" spans="2:23">
      <c r="B201" s="146" t="s">
        <v>891</v>
      </c>
      <c r="D201" s="146">
        <v>1001006003</v>
      </c>
      <c r="E201" s="146" t="str">
        <f>_xlfn.XLOOKUP(D201,'Detalhamento - G200'!A:A,'Detalhamento - G200'!B:B,0)</f>
        <v>POÇO ARTESIANO</v>
      </c>
      <c r="F201" s="175">
        <v>94050</v>
      </c>
      <c r="G201" s="175">
        <v>69</v>
      </c>
      <c r="H201" s="146" t="s">
        <v>792</v>
      </c>
      <c r="I201" s="173">
        <v>46136</v>
      </c>
      <c r="J201" s="173">
        <v>46147</v>
      </c>
      <c r="K201" s="146" t="s">
        <v>889</v>
      </c>
      <c r="L201" s="146" t="s">
        <v>885</v>
      </c>
      <c r="M201" s="154">
        <v>143228.14000000001</v>
      </c>
      <c r="N201" s="154">
        <v>7161.41</v>
      </c>
      <c r="O201" s="154">
        <v>7161.41</v>
      </c>
      <c r="P201" s="154">
        <v>0</v>
      </c>
      <c r="Q201" s="154">
        <v>0</v>
      </c>
      <c r="R201" s="154">
        <v>0</v>
      </c>
      <c r="S201" s="154">
        <f t="shared" si="29"/>
        <v>128905.32</v>
      </c>
      <c r="T201" s="154">
        <f t="shared" si="30"/>
        <v>136066.73000000001</v>
      </c>
      <c r="V201" s="146" t="s">
        <v>366</v>
      </c>
      <c r="W201" s="146" t="s">
        <v>366</v>
      </c>
    </row>
    <row r="202" spans="2:23">
      <c r="B202" s="146" t="s">
        <v>916</v>
      </c>
      <c r="D202" s="146">
        <v>2001004001</v>
      </c>
      <c r="E202" s="146" t="str">
        <f>_xlfn.XLOOKUP(D202,'Detalhamento - G200'!A:A,'Detalhamento - G200'!B:B,0)</f>
        <v>LOCAÇÃO DE MUNCK</v>
      </c>
      <c r="F202" s="175">
        <v>93675</v>
      </c>
      <c r="G202" s="175">
        <v>1489</v>
      </c>
      <c r="H202" s="146" t="s">
        <v>890</v>
      </c>
      <c r="I202" s="173">
        <v>46136</v>
      </c>
      <c r="J202" s="173">
        <v>46153</v>
      </c>
      <c r="K202" s="146" t="s">
        <v>912</v>
      </c>
      <c r="L202" s="146" t="s">
        <v>909</v>
      </c>
      <c r="M202" s="154">
        <v>36042.800000000003</v>
      </c>
      <c r="N202" s="154">
        <v>0</v>
      </c>
      <c r="O202" s="154">
        <v>0</v>
      </c>
      <c r="P202" s="154">
        <v>0</v>
      </c>
      <c r="Q202" s="154">
        <v>0</v>
      </c>
      <c r="R202" s="154">
        <v>0</v>
      </c>
      <c r="S202" s="154">
        <f t="shared" si="29"/>
        <v>36042.800000000003</v>
      </c>
      <c r="T202" s="154">
        <f t="shared" si="30"/>
        <v>36042.800000000003</v>
      </c>
      <c r="V202" s="146" t="s">
        <v>681</v>
      </c>
      <c r="W202" s="146" t="s">
        <v>935</v>
      </c>
    </row>
    <row r="203" spans="2:23">
      <c r="B203" s="146" t="s">
        <v>916</v>
      </c>
      <c r="D203" s="146">
        <v>2001004001</v>
      </c>
      <c r="E203" s="146" t="str">
        <f>_xlfn.XLOOKUP(D203,'Detalhamento - G200'!A:A,'Detalhamento - G200'!B:B,0)</f>
        <v>LOCAÇÃO DE MUNCK</v>
      </c>
      <c r="F203" s="175">
        <v>92721</v>
      </c>
      <c r="G203" s="175">
        <v>1466</v>
      </c>
      <c r="H203" s="146" t="s">
        <v>890</v>
      </c>
      <c r="I203" s="173">
        <v>46113</v>
      </c>
      <c r="J203" s="173">
        <v>46149</v>
      </c>
      <c r="K203" s="146" t="s">
        <v>912</v>
      </c>
      <c r="L203" s="146" t="s">
        <v>909</v>
      </c>
      <c r="M203" s="154">
        <v>8800</v>
      </c>
      <c r="N203" s="154">
        <v>0</v>
      </c>
      <c r="O203" s="154">
        <v>0</v>
      </c>
      <c r="P203" s="154">
        <v>0</v>
      </c>
      <c r="Q203" s="154">
        <v>0</v>
      </c>
      <c r="R203" s="154">
        <v>0</v>
      </c>
      <c r="S203" s="154">
        <f t="shared" ref="S203:S229" si="31">M203-SUM(N203:R203)</f>
        <v>8800</v>
      </c>
      <c r="T203" s="154">
        <f t="shared" ref="T203:T229" si="32">N203+S203</f>
        <v>8800</v>
      </c>
      <c r="V203" s="146" t="s">
        <v>663</v>
      </c>
      <c r="W203" s="146" t="s">
        <v>935</v>
      </c>
    </row>
    <row r="204" spans="2:23">
      <c r="B204" s="146" t="s">
        <v>916</v>
      </c>
      <c r="D204" s="146">
        <v>2001001007</v>
      </c>
      <c r="E204" s="146" t="str">
        <f>_xlfn.XLOOKUP(D204,'Detalhamento - G200'!A:A,'Detalhamento - G200'!B:B,0)</f>
        <v>LOCAÇÃO DE TOLDO</v>
      </c>
      <c r="F204" s="175">
        <v>93225</v>
      </c>
      <c r="G204" s="175">
        <v>106121</v>
      </c>
      <c r="H204" s="146" t="s">
        <v>890</v>
      </c>
      <c r="I204" s="173">
        <v>46125</v>
      </c>
      <c r="J204" s="173">
        <v>46148</v>
      </c>
      <c r="K204" s="146" t="s">
        <v>913</v>
      </c>
      <c r="L204" s="146" t="s">
        <v>588</v>
      </c>
      <c r="M204" s="154">
        <v>1500</v>
      </c>
      <c r="N204" s="154">
        <v>0</v>
      </c>
      <c r="O204" s="154">
        <v>0</v>
      </c>
      <c r="P204" s="154">
        <v>0</v>
      </c>
      <c r="Q204" s="154">
        <v>0</v>
      </c>
      <c r="R204" s="154">
        <v>0</v>
      </c>
      <c r="S204" s="154">
        <f t="shared" si="31"/>
        <v>1500</v>
      </c>
      <c r="T204" s="154">
        <f t="shared" si="32"/>
        <v>1500</v>
      </c>
      <c r="V204" s="146" t="s">
        <v>680</v>
      </c>
      <c r="W204" s="146" t="s">
        <v>935</v>
      </c>
    </row>
    <row r="205" spans="2:23" ht="36">
      <c r="B205" s="146" t="s">
        <v>916</v>
      </c>
      <c r="D205" s="146">
        <v>1001005002</v>
      </c>
      <c r="E205" s="146" t="str">
        <f>_xlfn.XLOOKUP(D205,'Detalhamento - G200'!A:A,'Detalhamento - G200'!B:B,0)</f>
        <v>SISTEMA DE AR CONDICIONADO E EXAUSTÃO</v>
      </c>
      <c r="F205" s="175">
        <v>93642</v>
      </c>
      <c r="G205" s="175">
        <v>2</v>
      </c>
      <c r="H205" s="146" t="s">
        <v>814</v>
      </c>
      <c r="I205" s="173">
        <v>46139</v>
      </c>
      <c r="J205" s="173">
        <v>46148</v>
      </c>
      <c r="K205" s="146" t="s">
        <v>848</v>
      </c>
      <c r="L205" s="146" t="s">
        <v>847</v>
      </c>
      <c r="M205" s="154">
        <v>33498.86</v>
      </c>
      <c r="N205" s="154">
        <v>0</v>
      </c>
      <c r="O205" s="154">
        <v>0</v>
      </c>
      <c r="P205" s="154">
        <v>0</v>
      </c>
      <c r="Q205" s="154">
        <v>0</v>
      </c>
      <c r="R205" s="154">
        <v>0</v>
      </c>
      <c r="S205" s="154">
        <f t="shared" si="31"/>
        <v>33498.86</v>
      </c>
      <c r="T205" s="154">
        <f t="shared" si="32"/>
        <v>33498.86</v>
      </c>
      <c r="V205" s="146" t="s">
        <v>769</v>
      </c>
      <c r="W205" s="146" t="s">
        <v>769</v>
      </c>
    </row>
    <row r="206" spans="2:23" ht="36">
      <c r="B206" s="146" t="s">
        <v>916</v>
      </c>
      <c r="D206" s="146">
        <v>1003001001</v>
      </c>
      <c r="E206" s="146" t="str">
        <f>_xlfn.XLOOKUP(D206,'Detalhamento - G200'!A:A,'Detalhamento - G200'!B:B,0)</f>
        <v>EQUIPAMENTO</v>
      </c>
      <c r="F206" s="175">
        <v>93642</v>
      </c>
      <c r="G206" s="175">
        <v>2</v>
      </c>
      <c r="H206" s="146" t="s">
        <v>814</v>
      </c>
      <c r="I206" s="173">
        <v>46139</v>
      </c>
      <c r="J206" s="173">
        <v>46148</v>
      </c>
      <c r="K206" s="146" t="s">
        <v>848</v>
      </c>
      <c r="L206" s="146" t="s">
        <v>847</v>
      </c>
      <c r="M206" s="154">
        <v>1582889.81</v>
      </c>
      <c r="N206" s="154">
        <v>0</v>
      </c>
      <c r="O206" s="154">
        <v>0</v>
      </c>
      <c r="P206" s="154">
        <v>0</v>
      </c>
      <c r="Q206" s="154">
        <v>0</v>
      </c>
      <c r="R206" s="154">
        <v>0</v>
      </c>
      <c r="S206" s="154">
        <f t="shared" si="31"/>
        <v>1582889.81</v>
      </c>
      <c r="T206" s="154">
        <f t="shared" si="32"/>
        <v>1582889.81</v>
      </c>
      <c r="V206" s="146" t="s">
        <v>769</v>
      </c>
      <c r="W206" s="146" t="s">
        <v>769</v>
      </c>
    </row>
    <row r="207" spans="2:23" ht="36">
      <c r="B207" s="146" t="s">
        <v>916</v>
      </c>
      <c r="D207" s="146">
        <v>1003002001</v>
      </c>
      <c r="E207" s="146" t="str">
        <f>_xlfn.XLOOKUP(D207,'Detalhamento - G200'!A:A,'Detalhamento - G200'!B:B,0)</f>
        <v>CAVALETES HIDRÁULICOS E VÁLVULAS</v>
      </c>
      <c r="F207" s="175">
        <v>93642</v>
      </c>
      <c r="G207" s="175">
        <v>2</v>
      </c>
      <c r="H207" s="146" t="s">
        <v>814</v>
      </c>
      <c r="I207" s="173">
        <v>46139</v>
      </c>
      <c r="J207" s="173">
        <v>46148</v>
      </c>
      <c r="K207" s="146" t="s">
        <v>848</v>
      </c>
      <c r="L207" s="146" t="s">
        <v>847</v>
      </c>
      <c r="M207" s="154">
        <v>104137.68</v>
      </c>
      <c r="N207" s="154">
        <v>0</v>
      </c>
      <c r="O207" s="154">
        <v>0</v>
      </c>
      <c r="P207" s="154">
        <v>0</v>
      </c>
      <c r="Q207" s="154">
        <v>0</v>
      </c>
      <c r="R207" s="154">
        <v>0</v>
      </c>
      <c r="S207" s="154">
        <f t="shared" si="31"/>
        <v>104137.68</v>
      </c>
      <c r="T207" s="154">
        <f t="shared" si="32"/>
        <v>104137.68</v>
      </c>
      <c r="V207" s="146" t="s">
        <v>769</v>
      </c>
      <c r="W207" s="146" t="s">
        <v>769</v>
      </c>
    </row>
    <row r="208" spans="2:23" ht="36">
      <c r="B208" s="146" t="s">
        <v>916</v>
      </c>
      <c r="D208" s="146">
        <v>1003002002</v>
      </c>
      <c r="E208" s="146" t="str">
        <f>_xlfn.XLOOKUP(D208,'Detalhamento - G200'!A:A,'Detalhamento - G200'!B:B,0)</f>
        <v>REDE HIDRÁULICA</v>
      </c>
      <c r="F208" s="175">
        <v>93642</v>
      </c>
      <c r="G208" s="175">
        <v>2</v>
      </c>
      <c r="H208" s="146" t="s">
        <v>814</v>
      </c>
      <c r="I208" s="173">
        <v>46139</v>
      </c>
      <c r="J208" s="173">
        <v>46148</v>
      </c>
      <c r="K208" s="146" t="s">
        <v>848</v>
      </c>
      <c r="L208" s="146" t="s">
        <v>847</v>
      </c>
      <c r="M208" s="154">
        <v>394868.65</v>
      </c>
      <c r="N208" s="154">
        <v>0</v>
      </c>
      <c r="O208" s="154">
        <v>0</v>
      </c>
      <c r="P208" s="154">
        <v>0</v>
      </c>
      <c r="Q208" s="154">
        <v>0</v>
      </c>
      <c r="R208" s="154">
        <v>0</v>
      </c>
      <c r="S208" s="154">
        <f t="shared" si="31"/>
        <v>394868.65</v>
      </c>
      <c r="T208" s="154">
        <f t="shared" si="32"/>
        <v>394868.65</v>
      </c>
      <c r="V208" s="146" t="s">
        <v>769</v>
      </c>
      <c r="W208" s="146" t="s">
        <v>769</v>
      </c>
    </row>
    <row r="209" spans="2:23" ht="36">
      <c r="B209" s="146" t="s">
        <v>916</v>
      </c>
      <c r="D209" s="146">
        <v>1003003001</v>
      </c>
      <c r="E209" s="146" t="str">
        <f>_xlfn.XLOOKUP(D209,'Detalhamento - G200'!A:A,'Detalhamento - G200'!B:B,0)</f>
        <v>QUADROS ELÉTRICOS E AUTOMAÇÃO</v>
      </c>
      <c r="F209" s="175">
        <v>93642</v>
      </c>
      <c r="G209" s="175">
        <v>2</v>
      </c>
      <c r="H209" s="146" t="s">
        <v>814</v>
      </c>
      <c r="I209" s="173">
        <v>46139</v>
      </c>
      <c r="J209" s="173">
        <v>46148</v>
      </c>
      <c r="K209" s="146" t="s">
        <v>848</v>
      </c>
      <c r="L209" s="146" t="s">
        <v>847</v>
      </c>
      <c r="M209" s="154">
        <v>430085.74</v>
      </c>
      <c r="N209" s="154">
        <v>0</v>
      </c>
      <c r="O209" s="154">
        <v>0</v>
      </c>
      <c r="P209" s="154">
        <v>0</v>
      </c>
      <c r="Q209" s="154">
        <v>0</v>
      </c>
      <c r="R209" s="154">
        <v>0</v>
      </c>
      <c r="S209" s="154">
        <f t="shared" si="31"/>
        <v>430085.74</v>
      </c>
      <c r="T209" s="154">
        <f t="shared" si="32"/>
        <v>430085.74</v>
      </c>
      <c r="V209" s="146" t="s">
        <v>769</v>
      </c>
      <c r="W209" s="146" t="s">
        <v>769</v>
      </c>
    </row>
    <row r="210" spans="2:23" ht="36">
      <c r="B210" s="146" t="s">
        <v>916</v>
      </c>
      <c r="D210" s="146">
        <v>1003003002</v>
      </c>
      <c r="E210" s="146" t="str">
        <f>_xlfn.XLOOKUP(D210,'Detalhamento - G200'!A:A,'Detalhamento - G200'!B:B,0)</f>
        <v>INTERLIGAÇÕES ELÉTRICAS</v>
      </c>
      <c r="F210" s="175">
        <v>93642</v>
      </c>
      <c r="G210" s="175">
        <v>2</v>
      </c>
      <c r="H210" s="146" t="s">
        <v>814</v>
      </c>
      <c r="I210" s="173">
        <v>46139</v>
      </c>
      <c r="J210" s="173">
        <v>46148</v>
      </c>
      <c r="K210" s="146" t="s">
        <v>848</v>
      </c>
      <c r="L210" s="146" t="s">
        <v>847</v>
      </c>
      <c r="M210" s="154">
        <v>546844.43999999994</v>
      </c>
      <c r="N210" s="154">
        <v>0</v>
      </c>
      <c r="O210" s="154">
        <v>0</v>
      </c>
      <c r="P210" s="154">
        <v>0</v>
      </c>
      <c r="Q210" s="154">
        <v>0</v>
      </c>
      <c r="R210" s="154">
        <v>0</v>
      </c>
      <c r="S210" s="154">
        <f t="shared" si="31"/>
        <v>546844.43999999994</v>
      </c>
      <c r="T210" s="154">
        <f t="shared" si="32"/>
        <v>546844.43999999994</v>
      </c>
      <c r="V210" s="146" t="s">
        <v>769</v>
      </c>
      <c r="W210" s="146" t="s">
        <v>769</v>
      </c>
    </row>
    <row r="211" spans="2:23" ht="36">
      <c r="B211" s="146" t="s">
        <v>916</v>
      </c>
      <c r="D211" s="146">
        <v>1003004001</v>
      </c>
      <c r="E211" s="146" t="str">
        <f>_xlfn.XLOOKUP(D211,'Detalhamento - G200'!A:A,'Detalhamento - G200'!B:B,0)</f>
        <v>REDES DE DUTOS</v>
      </c>
      <c r="F211" s="175">
        <v>93642</v>
      </c>
      <c r="G211" s="175">
        <v>2</v>
      </c>
      <c r="H211" s="146" t="s">
        <v>814</v>
      </c>
      <c r="I211" s="173">
        <v>46139</v>
      </c>
      <c r="J211" s="173">
        <v>46148</v>
      </c>
      <c r="K211" s="146" t="s">
        <v>848</v>
      </c>
      <c r="L211" s="146" t="s">
        <v>847</v>
      </c>
      <c r="M211" s="154">
        <v>405673.64</v>
      </c>
      <c r="N211" s="154">
        <v>0</v>
      </c>
      <c r="O211" s="154">
        <v>0</v>
      </c>
      <c r="P211" s="154">
        <v>0</v>
      </c>
      <c r="Q211" s="154">
        <v>0</v>
      </c>
      <c r="R211" s="154">
        <v>0</v>
      </c>
      <c r="S211" s="154">
        <f t="shared" si="31"/>
        <v>405673.64</v>
      </c>
      <c r="T211" s="154">
        <f t="shared" si="32"/>
        <v>405673.64</v>
      </c>
      <c r="V211" s="146" t="s">
        <v>769</v>
      </c>
      <c r="W211" s="146" t="s">
        <v>769</v>
      </c>
    </row>
    <row r="212" spans="2:23" ht="36">
      <c r="B212" s="146" t="s">
        <v>916</v>
      </c>
      <c r="D212" s="146">
        <v>1003004002</v>
      </c>
      <c r="E212" s="146" t="str">
        <f>_xlfn.XLOOKUP(D212,'Detalhamento - G200'!A:A,'Detalhamento - G200'!B:B,0)</f>
        <v>DIFUSÃO</v>
      </c>
      <c r="F212" s="175">
        <v>93642</v>
      </c>
      <c r="G212" s="175">
        <v>2</v>
      </c>
      <c r="H212" s="146" t="s">
        <v>814</v>
      </c>
      <c r="I212" s="173">
        <v>46139</v>
      </c>
      <c r="J212" s="173">
        <v>46148</v>
      </c>
      <c r="K212" s="146" t="s">
        <v>848</v>
      </c>
      <c r="L212" s="146" t="s">
        <v>847</v>
      </c>
      <c r="M212" s="154">
        <v>93441.5</v>
      </c>
      <c r="N212" s="154">
        <v>0</v>
      </c>
      <c r="O212" s="154">
        <v>0</v>
      </c>
      <c r="P212" s="154">
        <v>0</v>
      </c>
      <c r="Q212" s="154">
        <v>0</v>
      </c>
      <c r="R212" s="154">
        <v>0</v>
      </c>
      <c r="S212" s="154">
        <f t="shared" si="31"/>
        <v>93441.5</v>
      </c>
      <c r="T212" s="154">
        <f t="shared" si="32"/>
        <v>93441.5</v>
      </c>
      <c r="V212" s="146" t="s">
        <v>769</v>
      </c>
      <c r="W212" s="146" t="s">
        <v>769</v>
      </c>
    </row>
    <row r="213" spans="2:23" ht="36">
      <c r="B213" s="146" t="s">
        <v>916</v>
      </c>
      <c r="D213" s="146">
        <v>1003006001</v>
      </c>
      <c r="E213" s="146" t="str">
        <f>_xlfn.XLOOKUP(D213,'Detalhamento - G200'!A:A,'Detalhamento - G200'!B:B,0)</f>
        <v>PROJETOS, CQPS E AS BUILT</v>
      </c>
      <c r="F213" s="175">
        <v>93642</v>
      </c>
      <c r="G213" s="175">
        <v>2</v>
      </c>
      <c r="H213" s="146" t="s">
        <v>814</v>
      </c>
      <c r="I213" s="173">
        <v>46139</v>
      </c>
      <c r="J213" s="173">
        <v>46148</v>
      </c>
      <c r="K213" s="146" t="s">
        <v>848</v>
      </c>
      <c r="L213" s="146" t="s">
        <v>847</v>
      </c>
      <c r="M213" s="154">
        <v>314079.15999999997</v>
      </c>
      <c r="N213" s="154">
        <v>0</v>
      </c>
      <c r="O213" s="154">
        <v>0</v>
      </c>
      <c r="P213" s="154">
        <v>0</v>
      </c>
      <c r="Q213" s="154">
        <v>0</v>
      </c>
      <c r="R213" s="154">
        <v>0</v>
      </c>
      <c r="S213" s="154">
        <f t="shared" si="31"/>
        <v>314079.15999999997</v>
      </c>
      <c r="T213" s="154">
        <f t="shared" si="32"/>
        <v>314079.15999999997</v>
      </c>
      <c r="V213" s="146" t="s">
        <v>769</v>
      </c>
      <c r="W213" s="146" t="s">
        <v>769</v>
      </c>
    </row>
    <row r="214" spans="2:23" ht="36">
      <c r="B214" s="146" t="s">
        <v>916</v>
      </c>
      <c r="D214" s="146">
        <v>1004001004</v>
      </c>
      <c r="E214" s="146" t="str">
        <f>_xlfn.XLOOKUP(D214,'Detalhamento - G200'!A:A,'Detalhamento - G200'!B:B,0)</f>
        <v>HVAC - COZINHA E REFEITÓRIO</v>
      </c>
      <c r="F214" s="175">
        <v>93642</v>
      </c>
      <c r="G214" s="175">
        <v>2</v>
      </c>
      <c r="H214" s="146" t="s">
        <v>814</v>
      </c>
      <c r="I214" s="173">
        <v>46139</v>
      </c>
      <c r="J214" s="173">
        <v>46148</v>
      </c>
      <c r="K214" s="146" t="s">
        <v>848</v>
      </c>
      <c r="L214" s="146" t="s">
        <v>847</v>
      </c>
      <c r="M214" s="154">
        <v>11182.02</v>
      </c>
      <c r="N214" s="154">
        <v>0</v>
      </c>
      <c r="O214" s="154">
        <v>0</v>
      </c>
      <c r="P214" s="154">
        <v>0</v>
      </c>
      <c r="Q214" s="154">
        <v>0</v>
      </c>
      <c r="R214" s="154">
        <v>0</v>
      </c>
      <c r="S214" s="154">
        <f t="shared" si="31"/>
        <v>11182.02</v>
      </c>
      <c r="T214" s="154">
        <f t="shared" si="32"/>
        <v>11182.02</v>
      </c>
      <c r="V214" s="146" t="s">
        <v>769</v>
      </c>
      <c r="W214" s="146" t="s">
        <v>769</v>
      </c>
    </row>
    <row r="215" spans="2:23" ht="54">
      <c r="B215" s="146" t="s">
        <v>916</v>
      </c>
      <c r="D215" s="146">
        <v>1004002009</v>
      </c>
      <c r="E215" s="146" t="str">
        <f>_xlfn.XLOOKUP(D215,'Detalhamento - G200'!A:A,'Detalhamento - G200'!B:B,0)</f>
        <v>INCLUSÃO DE EXAUSTÃO E INSUFLAMENTO PARA ÁREAS DE UTENSÍLIOS</v>
      </c>
      <c r="F215" s="175">
        <v>93642</v>
      </c>
      <c r="G215" s="175">
        <v>2</v>
      </c>
      <c r="H215" s="146" t="s">
        <v>814</v>
      </c>
      <c r="I215" s="173">
        <v>46139</v>
      </c>
      <c r="J215" s="173">
        <v>46148</v>
      </c>
      <c r="K215" s="146" t="s">
        <v>848</v>
      </c>
      <c r="L215" s="146" t="s">
        <v>847</v>
      </c>
      <c r="M215" s="154">
        <v>56040.85</v>
      </c>
      <c r="N215" s="154">
        <v>0</v>
      </c>
      <c r="O215" s="154">
        <v>0</v>
      </c>
      <c r="P215" s="154">
        <v>0</v>
      </c>
      <c r="Q215" s="154">
        <v>0</v>
      </c>
      <c r="R215" s="154">
        <v>0</v>
      </c>
      <c r="S215" s="154">
        <f t="shared" si="31"/>
        <v>56040.85</v>
      </c>
      <c r="T215" s="154">
        <f t="shared" si="32"/>
        <v>56040.85</v>
      </c>
      <c r="V215" s="146" t="s">
        <v>769</v>
      </c>
      <c r="W215" s="146" t="s">
        <v>769</v>
      </c>
    </row>
    <row r="216" spans="2:23">
      <c r="B216" s="146" t="s">
        <v>916</v>
      </c>
      <c r="D216" s="146">
        <v>1001002003</v>
      </c>
      <c r="E216" s="146" t="str">
        <f>_xlfn.XLOOKUP(D216,'Detalhamento - G200'!A:A,'Detalhamento - G200'!B:B,0)</f>
        <v>MOVIMENTAÇÃO DE TERRA</v>
      </c>
      <c r="F216" s="175">
        <v>93557</v>
      </c>
      <c r="G216" s="175">
        <v>208</v>
      </c>
      <c r="H216" s="146" t="s">
        <v>917</v>
      </c>
      <c r="I216" s="173">
        <v>46136</v>
      </c>
      <c r="J216" s="173">
        <v>46148</v>
      </c>
      <c r="K216" s="146" t="s">
        <v>914</v>
      </c>
      <c r="L216" s="146" t="s">
        <v>910</v>
      </c>
      <c r="M216" s="154">
        <v>189.27</v>
      </c>
      <c r="N216" s="154">
        <v>0</v>
      </c>
      <c r="O216" s="154">
        <v>0</v>
      </c>
      <c r="P216" s="154">
        <v>0</v>
      </c>
      <c r="Q216" s="154">
        <v>0</v>
      </c>
      <c r="R216" s="154">
        <v>0</v>
      </c>
      <c r="S216" s="154">
        <f t="shared" si="31"/>
        <v>189.27</v>
      </c>
      <c r="T216" s="154">
        <f t="shared" si="32"/>
        <v>189.27</v>
      </c>
      <c r="V216" s="146" t="s">
        <v>388</v>
      </c>
      <c r="W216" s="146" t="s">
        <v>388</v>
      </c>
    </row>
    <row r="217" spans="2:23">
      <c r="B217" s="146" t="s">
        <v>916</v>
      </c>
      <c r="D217" s="146">
        <v>1001002006</v>
      </c>
      <c r="E217" s="146" t="str">
        <f>_xlfn.XLOOKUP(D217,'Detalhamento - G200'!A:A,'Detalhamento - G200'!B:B,0)</f>
        <v>CONTENÇÕES</v>
      </c>
      <c r="F217" s="175">
        <v>93557</v>
      </c>
      <c r="G217" s="175">
        <v>208</v>
      </c>
      <c r="H217" s="146" t="s">
        <v>917</v>
      </c>
      <c r="I217" s="173">
        <v>46136</v>
      </c>
      <c r="J217" s="173">
        <v>46148</v>
      </c>
      <c r="K217" s="146" t="s">
        <v>914</v>
      </c>
      <c r="L217" s="146" t="s">
        <v>910</v>
      </c>
      <c r="M217" s="154">
        <v>2839</v>
      </c>
      <c r="N217" s="154">
        <v>0</v>
      </c>
      <c r="O217" s="154">
        <v>0</v>
      </c>
      <c r="P217" s="154">
        <v>0</v>
      </c>
      <c r="Q217" s="154">
        <v>0</v>
      </c>
      <c r="R217" s="154">
        <v>0</v>
      </c>
      <c r="S217" s="154">
        <f t="shared" si="31"/>
        <v>2839</v>
      </c>
      <c r="T217" s="154">
        <f t="shared" si="32"/>
        <v>2839</v>
      </c>
      <c r="V217" s="146" t="s">
        <v>388</v>
      </c>
      <c r="W217" s="146" t="s">
        <v>388</v>
      </c>
    </row>
    <row r="218" spans="2:23">
      <c r="B218" s="146" t="s">
        <v>916</v>
      </c>
      <c r="D218" s="146">
        <v>1001002008</v>
      </c>
      <c r="E218" s="146" t="str">
        <f>_xlfn.XLOOKUP(D218,'Detalhamento - G200'!A:A,'Detalhamento - G200'!B:B,0)</f>
        <v>DRENAGEM</v>
      </c>
      <c r="F218" s="175">
        <v>93557</v>
      </c>
      <c r="G218" s="175">
        <v>208</v>
      </c>
      <c r="H218" s="146" t="s">
        <v>917</v>
      </c>
      <c r="I218" s="173">
        <v>46136</v>
      </c>
      <c r="J218" s="173">
        <v>46148</v>
      </c>
      <c r="K218" s="146" t="s">
        <v>914</v>
      </c>
      <c r="L218" s="146" t="s">
        <v>910</v>
      </c>
      <c r="M218" s="154">
        <v>3796.95</v>
      </c>
      <c r="N218" s="154">
        <v>0</v>
      </c>
      <c r="O218" s="154">
        <v>0</v>
      </c>
      <c r="P218" s="154">
        <v>0</v>
      </c>
      <c r="Q218" s="154">
        <v>0</v>
      </c>
      <c r="R218" s="154">
        <v>0</v>
      </c>
      <c r="S218" s="154">
        <f t="shared" si="31"/>
        <v>3796.95</v>
      </c>
      <c r="T218" s="154">
        <f t="shared" si="32"/>
        <v>3796.95</v>
      </c>
      <c r="V218" s="146" t="s">
        <v>388</v>
      </c>
      <c r="W218" s="146" t="s">
        <v>388</v>
      </c>
    </row>
    <row r="219" spans="2:23">
      <c r="B219" s="146" t="s">
        <v>916</v>
      </c>
      <c r="D219" s="146">
        <v>1001003001</v>
      </c>
      <c r="E219" s="146" t="str">
        <f>_xlfn.XLOOKUP(D219,'Detalhamento - G200'!A:A,'Detalhamento - G200'!B:B,0)</f>
        <v>FUNDAÇÃO GALPÃO</v>
      </c>
      <c r="F219" s="175">
        <v>93557</v>
      </c>
      <c r="G219" s="175">
        <v>208</v>
      </c>
      <c r="H219" s="146" t="s">
        <v>917</v>
      </c>
      <c r="I219" s="173">
        <v>46136</v>
      </c>
      <c r="J219" s="173">
        <v>46148</v>
      </c>
      <c r="K219" s="146" t="s">
        <v>914</v>
      </c>
      <c r="L219" s="146" t="s">
        <v>910</v>
      </c>
      <c r="M219" s="154">
        <v>1498.06</v>
      </c>
      <c r="N219" s="154">
        <v>0</v>
      </c>
      <c r="O219" s="154">
        <v>0</v>
      </c>
      <c r="P219" s="154">
        <v>0</v>
      </c>
      <c r="Q219" s="154">
        <v>0</v>
      </c>
      <c r="R219" s="154">
        <v>0</v>
      </c>
      <c r="S219" s="154">
        <f t="shared" si="31"/>
        <v>1498.06</v>
      </c>
      <c r="T219" s="154">
        <f t="shared" si="32"/>
        <v>1498.06</v>
      </c>
      <c r="V219" s="146" t="s">
        <v>388</v>
      </c>
      <c r="W219" s="146" t="s">
        <v>388</v>
      </c>
    </row>
    <row r="220" spans="2:23">
      <c r="B220" s="146" t="s">
        <v>916</v>
      </c>
      <c r="D220" s="146">
        <v>1001003002</v>
      </c>
      <c r="E220" s="146" t="str">
        <f>_xlfn.XLOOKUP(D220,'Detalhamento - G200'!A:A,'Detalhamento - G200'!B:B,0)</f>
        <v>SUPERESTRUTURA GALPÃO</v>
      </c>
      <c r="F220" s="175">
        <v>93557</v>
      </c>
      <c r="G220" s="175">
        <v>208</v>
      </c>
      <c r="H220" s="146" t="s">
        <v>917</v>
      </c>
      <c r="I220" s="173">
        <v>46136</v>
      </c>
      <c r="J220" s="173">
        <v>46148</v>
      </c>
      <c r="K220" s="146" t="s">
        <v>914</v>
      </c>
      <c r="L220" s="146" t="s">
        <v>910</v>
      </c>
      <c r="M220" s="154">
        <v>94.63</v>
      </c>
      <c r="N220" s="154">
        <v>0</v>
      </c>
      <c r="O220" s="154">
        <v>0</v>
      </c>
      <c r="P220" s="154">
        <v>0</v>
      </c>
      <c r="Q220" s="154">
        <v>0</v>
      </c>
      <c r="R220" s="154">
        <v>0</v>
      </c>
      <c r="S220" s="154">
        <f t="shared" si="31"/>
        <v>94.63</v>
      </c>
      <c r="T220" s="154">
        <f t="shared" si="32"/>
        <v>94.63</v>
      </c>
      <c r="V220" s="146" t="s">
        <v>388</v>
      </c>
      <c r="W220" s="146" t="s">
        <v>388</v>
      </c>
    </row>
    <row r="221" spans="2:23">
      <c r="B221" s="146" t="s">
        <v>916</v>
      </c>
      <c r="D221" s="146">
        <v>1001003006</v>
      </c>
      <c r="E221" s="146" t="str">
        <f>_xlfn.XLOOKUP(D221,'Detalhamento - G200'!A:A,'Detalhamento - G200'!B:B,0)</f>
        <v>IMPERMEABILIZAÇÃO</v>
      </c>
      <c r="F221" s="175">
        <v>93557</v>
      </c>
      <c r="G221" s="175">
        <v>208</v>
      </c>
      <c r="H221" s="146" t="s">
        <v>917</v>
      </c>
      <c r="I221" s="173">
        <v>46136</v>
      </c>
      <c r="J221" s="173">
        <v>46148</v>
      </c>
      <c r="K221" s="146" t="s">
        <v>914</v>
      </c>
      <c r="L221" s="146" t="s">
        <v>910</v>
      </c>
      <c r="M221" s="154">
        <v>331.22</v>
      </c>
      <c r="N221" s="154">
        <v>0</v>
      </c>
      <c r="O221" s="154">
        <v>0</v>
      </c>
      <c r="P221" s="154">
        <v>0</v>
      </c>
      <c r="Q221" s="154">
        <v>0</v>
      </c>
      <c r="R221" s="154">
        <v>0</v>
      </c>
      <c r="S221" s="154">
        <f t="shared" si="31"/>
        <v>331.22</v>
      </c>
      <c r="T221" s="154">
        <f t="shared" si="32"/>
        <v>331.22</v>
      </c>
      <c r="V221" s="146" t="s">
        <v>388</v>
      </c>
      <c r="W221" s="146" t="s">
        <v>388</v>
      </c>
    </row>
    <row r="222" spans="2:23" ht="36">
      <c r="B222" s="146" t="s">
        <v>916</v>
      </c>
      <c r="D222" s="146">
        <v>1001004002</v>
      </c>
      <c r="E222" s="146" t="str">
        <f>_xlfn.XLOOKUP(D222,'Detalhamento - G200'!A:A,'Detalhamento - G200'!B:B,0)</f>
        <v>APOIO (VESTIÁRIO + REFEITÓRIO)</v>
      </c>
      <c r="F222" s="175">
        <v>93557</v>
      </c>
      <c r="G222" s="175">
        <v>208</v>
      </c>
      <c r="H222" s="146" t="s">
        <v>917</v>
      </c>
      <c r="I222" s="173">
        <v>46136</v>
      </c>
      <c r="J222" s="173">
        <v>46148</v>
      </c>
      <c r="K222" s="146" t="s">
        <v>914</v>
      </c>
      <c r="L222" s="146" t="s">
        <v>910</v>
      </c>
      <c r="M222" s="154">
        <v>5199.59</v>
      </c>
      <c r="N222" s="154">
        <v>0</v>
      </c>
      <c r="O222" s="154">
        <v>0</v>
      </c>
      <c r="P222" s="154">
        <v>0</v>
      </c>
      <c r="Q222" s="154">
        <v>0</v>
      </c>
      <c r="R222" s="154">
        <v>0</v>
      </c>
      <c r="S222" s="154">
        <f t="shared" si="31"/>
        <v>5199.59</v>
      </c>
      <c r="T222" s="154">
        <f t="shared" si="32"/>
        <v>5199.59</v>
      </c>
      <c r="V222" s="146" t="s">
        <v>388</v>
      </c>
      <c r="W222" s="146" t="s">
        <v>388</v>
      </c>
    </row>
    <row r="223" spans="2:23">
      <c r="B223" s="146" t="s">
        <v>916</v>
      </c>
      <c r="D223" s="146">
        <v>1001004005</v>
      </c>
      <c r="E223" s="146" t="str">
        <f>_xlfn.XLOOKUP(D223,'Detalhamento - G200'!A:A,'Detalhamento - G200'!B:B,0)</f>
        <v>UTILIDADES</v>
      </c>
      <c r="F223" s="175">
        <v>93557</v>
      </c>
      <c r="G223" s="175">
        <v>208</v>
      </c>
      <c r="H223" s="146" t="s">
        <v>917</v>
      </c>
      <c r="I223" s="173">
        <v>46136</v>
      </c>
      <c r="J223" s="173">
        <v>46148</v>
      </c>
      <c r="K223" s="146" t="s">
        <v>914</v>
      </c>
      <c r="L223" s="146" t="s">
        <v>910</v>
      </c>
      <c r="M223" s="154">
        <v>530.53</v>
      </c>
      <c r="N223" s="154">
        <v>0</v>
      </c>
      <c r="O223" s="154">
        <v>0</v>
      </c>
      <c r="P223" s="154">
        <v>0</v>
      </c>
      <c r="Q223" s="154">
        <v>0</v>
      </c>
      <c r="R223" s="154">
        <v>0</v>
      </c>
      <c r="S223" s="154">
        <f t="shared" si="31"/>
        <v>530.53</v>
      </c>
      <c r="T223" s="154">
        <f t="shared" si="32"/>
        <v>530.53</v>
      </c>
      <c r="V223" s="146" t="s">
        <v>388</v>
      </c>
      <c r="W223" s="146" t="s">
        <v>388</v>
      </c>
    </row>
    <row r="224" spans="2:23" ht="36">
      <c r="B224" s="146" t="s">
        <v>916</v>
      </c>
      <c r="D224" s="146">
        <v>1001004006</v>
      </c>
      <c r="E224" s="146" t="str">
        <f>_xlfn.XLOOKUP(D224,'Detalhamento - G200'!A:A,'Detalhamento - G200'!B:B,0)</f>
        <v>SANITÁRIOS EXTERNOS AO GALPÃO</v>
      </c>
      <c r="F224" s="175">
        <v>93557</v>
      </c>
      <c r="G224" s="175">
        <v>208</v>
      </c>
      <c r="H224" s="146" t="s">
        <v>917</v>
      </c>
      <c r="I224" s="173">
        <v>46136</v>
      </c>
      <c r="J224" s="173">
        <v>46148</v>
      </c>
      <c r="K224" s="146" t="s">
        <v>914</v>
      </c>
      <c r="L224" s="146" t="s">
        <v>910</v>
      </c>
      <c r="M224" s="154">
        <v>3754.83</v>
      </c>
      <c r="N224" s="154">
        <v>0</v>
      </c>
      <c r="O224" s="154">
        <v>0</v>
      </c>
      <c r="P224" s="154">
        <v>0</v>
      </c>
      <c r="Q224" s="154">
        <v>0</v>
      </c>
      <c r="R224" s="154">
        <v>0</v>
      </c>
      <c r="S224" s="154">
        <f t="shared" si="31"/>
        <v>3754.83</v>
      </c>
      <c r="T224" s="154">
        <f t="shared" si="32"/>
        <v>3754.83</v>
      </c>
      <c r="V224" s="146" t="s">
        <v>388</v>
      </c>
      <c r="W224" s="146" t="s">
        <v>388</v>
      </c>
    </row>
    <row r="225" spans="2:23">
      <c r="B225" s="146" t="s">
        <v>916</v>
      </c>
      <c r="D225" s="146">
        <v>1001006006</v>
      </c>
      <c r="E225" s="146" t="str">
        <f>_xlfn.XLOOKUP(D225,'Detalhamento - G200'!A:A,'Detalhamento - G200'!B:B,0)</f>
        <v>ETE</v>
      </c>
      <c r="F225" s="175">
        <v>93557</v>
      </c>
      <c r="G225" s="175">
        <v>208</v>
      </c>
      <c r="H225" s="146" t="s">
        <v>917</v>
      </c>
      <c r="I225" s="173">
        <v>46136</v>
      </c>
      <c r="J225" s="173">
        <v>46148</v>
      </c>
      <c r="K225" s="146" t="s">
        <v>914</v>
      </c>
      <c r="L225" s="146" t="s">
        <v>910</v>
      </c>
      <c r="M225" s="154">
        <v>378.53</v>
      </c>
      <c r="N225" s="154">
        <v>0</v>
      </c>
      <c r="O225" s="154">
        <v>0</v>
      </c>
      <c r="P225" s="154">
        <v>0</v>
      </c>
      <c r="Q225" s="154">
        <v>0</v>
      </c>
      <c r="R225" s="154">
        <v>0</v>
      </c>
      <c r="S225" s="154">
        <f t="shared" si="31"/>
        <v>378.53</v>
      </c>
      <c r="T225" s="154">
        <f t="shared" si="32"/>
        <v>378.53</v>
      </c>
      <c r="V225" s="146" t="s">
        <v>388</v>
      </c>
      <c r="W225" s="146" t="s">
        <v>388</v>
      </c>
    </row>
    <row r="226" spans="2:23">
      <c r="B226" s="146" t="s">
        <v>916</v>
      </c>
      <c r="D226" s="146">
        <v>1002002001</v>
      </c>
      <c r="E226" s="146" t="str">
        <f>_xlfn.XLOOKUP(D226,'Detalhamento - G200'!A:A,'Detalhamento - G200'!B:B,0)</f>
        <v>FUNDAÇÃO</v>
      </c>
      <c r="F226" s="175">
        <v>93557</v>
      </c>
      <c r="G226" s="175">
        <v>208</v>
      </c>
      <c r="H226" s="146" t="s">
        <v>917</v>
      </c>
      <c r="I226" s="173">
        <v>46136</v>
      </c>
      <c r="J226" s="173">
        <v>46148</v>
      </c>
      <c r="K226" s="146" t="s">
        <v>914</v>
      </c>
      <c r="L226" s="146" t="s">
        <v>910</v>
      </c>
      <c r="M226" s="154">
        <v>1295.18</v>
      </c>
      <c r="N226" s="154">
        <v>0</v>
      </c>
      <c r="O226" s="154">
        <v>0</v>
      </c>
      <c r="P226" s="154">
        <v>0</v>
      </c>
      <c r="Q226" s="154">
        <v>0</v>
      </c>
      <c r="R226" s="154">
        <v>0</v>
      </c>
      <c r="S226" s="154">
        <f t="shared" si="31"/>
        <v>1295.18</v>
      </c>
      <c r="T226" s="154">
        <f t="shared" si="32"/>
        <v>1295.18</v>
      </c>
      <c r="V226" s="146" t="s">
        <v>388</v>
      </c>
      <c r="W226" s="146" t="s">
        <v>388</v>
      </c>
    </row>
    <row r="227" spans="2:23">
      <c r="B227" s="146" t="s">
        <v>916</v>
      </c>
      <c r="D227" s="146">
        <v>2001003001</v>
      </c>
      <c r="E227" s="146" t="str">
        <f>_xlfn.XLOOKUP(D227,'Detalhamento - G200'!A:A,'Detalhamento - G200'!B:B,0)</f>
        <v>TRANSPORTE SSA-LSF</v>
      </c>
      <c r="F227" s="175">
        <v>93557</v>
      </c>
      <c r="G227" s="175">
        <v>208</v>
      </c>
      <c r="H227" s="146" t="s">
        <v>917</v>
      </c>
      <c r="I227" s="173">
        <v>46136</v>
      </c>
      <c r="J227" s="173">
        <v>46148</v>
      </c>
      <c r="K227" s="146" t="s">
        <v>914</v>
      </c>
      <c r="L227" s="146" t="s">
        <v>910</v>
      </c>
      <c r="M227" s="154">
        <v>26257.59</v>
      </c>
      <c r="N227" s="154">
        <v>0</v>
      </c>
      <c r="O227" s="154">
        <v>0</v>
      </c>
      <c r="P227" s="154">
        <v>0</v>
      </c>
      <c r="Q227" s="154">
        <v>0</v>
      </c>
      <c r="R227" s="154">
        <v>0</v>
      </c>
      <c r="S227" s="154">
        <f t="shared" si="31"/>
        <v>26257.59</v>
      </c>
      <c r="T227" s="154">
        <f t="shared" si="32"/>
        <v>26257.59</v>
      </c>
      <c r="V227" s="146" t="s">
        <v>388</v>
      </c>
      <c r="W227" s="146" t="s">
        <v>388</v>
      </c>
    </row>
    <row r="228" spans="2:23" ht="36">
      <c r="B228" s="146" t="s">
        <v>916</v>
      </c>
      <c r="D228" s="146">
        <v>2001024010</v>
      </c>
      <c r="E228" s="146" t="str">
        <f>_xlfn.XLOOKUP(D228,'Detalhamento - G200'!A:A,'Detalhamento - G200'!B:B,0)</f>
        <v>RÁDIO</v>
      </c>
      <c r="F228" s="175">
        <v>92903</v>
      </c>
      <c r="G228" s="175">
        <v>6200</v>
      </c>
      <c r="H228" s="146" t="s">
        <v>890</v>
      </c>
      <c r="I228" s="173">
        <v>46127</v>
      </c>
      <c r="J228" s="173">
        <v>46148</v>
      </c>
      <c r="K228" s="146" t="s">
        <v>915</v>
      </c>
      <c r="L228" s="146" t="s">
        <v>911</v>
      </c>
      <c r="M228" s="154">
        <v>2100</v>
      </c>
      <c r="N228" s="154">
        <v>0</v>
      </c>
      <c r="O228" s="154">
        <v>0</v>
      </c>
      <c r="P228" s="154">
        <v>0</v>
      </c>
      <c r="Q228" s="154">
        <v>0</v>
      </c>
      <c r="R228" s="154">
        <v>0</v>
      </c>
      <c r="S228" s="154">
        <f t="shared" si="31"/>
        <v>2100</v>
      </c>
      <c r="T228" s="154">
        <f t="shared" si="32"/>
        <v>2100</v>
      </c>
      <c r="V228" s="146" t="s">
        <v>377</v>
      </c>
      <c r="W228" s="146" t="s">
        <v>377</v>
      </c>
    </row>
    <row r="229" spans="2:23" ht="36">
      <c r="B229" s="146" t="s">
        <v>916</v>
      </c>
      <c r="D229" s="146">
        <v>2001024010</v>
      </c>
      <c r="E229" s="146" t="str">
        <f>_xlfn.XLOOKUP(D229,'Detalhamento - G200'!A:A,'Detalhamento - G200'!B:B,0)</f>
        <v>RÁDIO</v>
      </c>
      <c r="F229" s="175">
        <v>92902</v>
      </c>
      <c r="G229" s="175">
        <v>6202</v>
      </c>
      <c r="H229" s="146" t="s">
        <v>890</v>
      </c>
      <c r="I229" s="173">
        <v>46127</v>
      </c>
      <c r="J229" s="173">
        <v>46153</v>
      </c>
      <c r="K229" s="146" t="s">
        <v>915</v>
      </c>
      <c r="L229" s="146" t="s">
        <v>911</v>
      </c>
      <c r="M229" s="154">
        <v>2100</v>
      </c>
      <c r="N229" s="154">
        <v>0</v>
      </c>
      <c r="O229" s="154">
        <v>0</v>
      </c>
      <c r="P229" s="154">
        <v>0</v>
      </c>
      <c r="Q229" s="154">
        <v>0</v>
      </c>
      <c r="R229" s="154">
        <v>0</v>
      </c>
      <c r="S229" s="154">
        <f t="shared" si="31"/>
        <v>2100</v>
      </c>
      <c r="T229" s="154">
        <f t="shared" si="32"/>
        <v>2100</v>
      </c>
      <c r="V229" s="146" t="s">
        <v>377</v>
      </c>
      <c r="W229" s="146" t="s">
        <v>377</v>
      </c>
    </row>
    <row r="230" spans="2:23" ht="36">
      <c r="B230" s="146" t="s">
        <v>953</v>
      </c>
      <c r="D230" s="146">
        <v>1005001003</v>
      </c>
      <c r="E230" s="146" t="str">
        <f>_xlfn.XLOOKUP(D230,'Detalhamento - G200'!A:A,'Detalhamento - G200'!B:B,0)</f>
        <v>OM 03 - REGULARIZAÇÃO DO LICENCIAMENTO AMBIENTAL</v>
      </c>
      <c r="F230" s="175">
        <v>94662</v>
      </c>
      <c r="G230" s="175">
        <v>195</v>
      </c>
      <c r="H230" s="146" t="s">
        <v>792</v>
      </c>
      <c r="I230" s="173">
        <v>46153</v>
      </c>
      <c r="J230" s="173">
        <v>46154</v>
      </c>
      <c r="K230" s="146" t="s">
        <v>408</v>
      </c>
      <c r="L230" s="146" t="s">
        <v>315</v>
      </c>
      <c r="M230" s="154">
        <v>532457.23</v>
      </c>
      <c r="N230" s="154">
        <v>26622.89</v>
      </c>
      <c r="O230" s="154">
        <v>0</v>
      </c>
      <c r="P230" s="154">
        <v>0</v>
      </c>
      <c r="Q230" s="154">
        <v>0</v>
      </c>
      <c r="R230" s="154">
        <v>0</v>
      </c>
      <c r="S230" s="154">
        <f t="shared" ref="S230:S236" si="33">M230-SUM(N230:R230)</f>
        <v>505834.33999999997</v>
      </c>
      <c r="T230" s="154">
        <f t="shared" ref="T230:T236" si="34">N230+S230</f>
        <v>532457.23</v>
      </c>
      <c r="V230" s="146" t="s">
        <v>956</v>
      </c>
      <c r="W230" s="146" t="s">
        <v>956</v>
      </c>
    </row>
    <row r="231" spans="2:23" ht="36">
      <c r="B231" s="146" t="s">
        <v>953</v>
      </c>
      <c r="D231" s="146">
        <v>1005001002</v>
      </c>
      <c r="E231" s="146" t="str">
        <f>_xlfn.XLOOKUP(D231,'Detalhamento - G200'!A:A,'Detalhamento - G200'!B:B,0)</f>
        <v>OM 02 - ÍNDICES PLUVIOMÉTRICOS</v>
      </c>
      <c r="F231" s="175">
        <v>94660</v>
      </c>
      <c r="G231" s="175">
        <v>194</v>
      </c>
      <c r="H231" s="146" t="s">
        <v>792</v>
      </c>
      <c r="I231" s="173">
        <v>46153</v>
      </c>
      <c r="J231" s="173">
        <v>46154</v>
      </c>
      <c r="K231" s="146" t="s">
        <v>408</v>
      </c>
      <c r="L231" s="146" t="s">
        <v>315</v>
      </c>
      <c r="M231" s="154">
        <v>207090.9</v>
      </c>
      <c r="N231" s="154">
        <v>10354.549999999999</v>
      </c>
      <c r="O231" s="154">
        <v>0</v>
      </c>
      <c r="P231" s="154">
        <v>0</v>
      </c>
      <c r="Q231" s="154">
        <v>0</v>
      </c>
      <c r="R231" s="154">
        <v>0</v>
      </c>
      <c r="S231" s="154">
        <f t="shared" si="33"/>
        <v>196736.35</v>
      </c>
      <c r="T231" s="154">
        <f t="shared" si="34"/>
        <v>207090.9</v>
      </c>
      <c r="V231" s="146" t="s">
        <v>955</v>
      </c>
      <c r="W231" s="146" t="s">
        <v>955</v>
      </c>
    </row>
    <row r="232" spans="2:23" ht="36">
      <c r="B232" s="146" t="s">
        <v>953</v>
      </c>
      <c r="D232" s="146">
        <v>1005001001</v>
      </c>
      <c r="E232" s="146" t="str">
        <f>_xlfn.XLOOKUP(D232,'Detalhamento - G200'!A:A,'Detalhamento - G200'!B:B,0)</f>
        <v>OM 01 - EVENTOS GEOPOLÍTICOS EUA &amp; IRÃ</v>
      </c>
      <c r="F232" s="175">
        <v>94658</v>
      </c>
      <c r="G232" s="175">
        <v>193</v>
      </c>
      <c r="H232" s="146" t="s">
        <v>792</v>
      </c>
      <c r="I232" s="173">
        <v>46153</v>
      </c>
      <c r="J232" s="173">
        <v>46154</v>
      </c>
      <c r="K232" s="146" t="s">
        <v>408</v>
      </c>
      <c r="L232" s="146" t="s">
        <v>315</v>
      </c>
      <c r="M232" s="154">
        <v>453155.09</v>
      </c>
      <c r="N232" s="154">
        <v>22657.75</v>
      </c>
      <c r="O232" s="154">
        <v>0</v>
      </c>
      <c r="P232" s="154">
        <v>0</v>
      </c>
      <c r="Q232" s="154">
        <v>0</v>
      </c>
      <c r="R232" s="154">
        <v>0</v>
      </c>
      <c r="S232" s="154">
        <f t="shared" si="33"/>
        <v>430497.34</v>
      </c>
      <c r="T232" s="154">
        <f t="shared" si="34"/>
        <v>453155.09</v>
      </c>
      <c r="V232" s="146" t="s">
        <v>954</v>
      </c>
      <c r="W232" s="146" t="s">
        <v>954</v>
      </c>
    </row>
    <row r="233" spans="2:23" ht="36">
      <c r="B233" s="146" t="s">
        <v>988</v>
      </c>
      <c r="D233" s="146">
        <v>2001001006</v>
      </c>
      <c r="E233" s="146" t="str">
        <f>_xlfn.XLOOKUP(D233,'Detalhamento - G200'!A:A,'Detalhamento - G200'!B:B,0)</f>
        <v>IMPLANTAÇÃO DE CANTEIRO - CIVIL</v>
      </c>
      <c r="F233" s="175">
        <v>94120</v>
      </c>
      <c r="G233" s="175">
        <v>58</v>
      </c>
      <c r="H233" s="146" t="s">
        <v>790</v>
      </c>
      <c r="I233" s="173">
        <v>46140</v>
      </c>
      <c r="J233" s="173">
        <v>46170</v>
      </c>
      <c r="K233" s="146" t="s">
        <v>986</v>
      </c>
      <c r="L233" s="146" t="s">
        <v>984</v>
      </c>
      <c r="M233" s="154">
        <v>11747.5</v>
      </c>
      <c r="N233" s="154">
        <v>0</v>
      </c>
      <c r="O233" s="154">
        <v>0</v>
      </c>
      <c r="P233" s="154">
        <v>0</v>
      </c>
      <c r="Q233" s="154">
        <v>0</v>
      </c>
      <c r="R233" s="154">
        <v>0</v>
      </c>
      <c r="S233" s="154">
        <f t="shared" si="33"/>
        <v>11747.5</v>
      </c>
      <c r="T233" s="154">
        <f t="shared" si="34"/>
        <v>11747.5</v>
      </c>
      <c r="V233" s="146" t="s">
        <v>679</v>
      </c>
      <c r="W233" s="146" t="s">
        <v>679</v>
      </c>
    </row>
    <row r="234" spans="2:23" ht="36">
      <c r="B234" s="146" t="s">
        <v>988</v>
      </c>
      <c r="D234" s="146">
        <v>2001004002</v>
      </c>
      <c r="E234" s="146" t="str">
        <f>_xlfn.XLOOKUP(D234,'Detalhamento - G200'!A:A,'Detalhamento - G200'!B:B,0)</f>
        <v>LOCAÇÃO DE BOBCAT</v>
      </c>
      <c r="F234" s="175">
        <v>94054</v>
      </c>
      <c r="G234" s="175">
        <v>1072</v>
      </c>
      <c r="H234" s="146" t="s">
        <v>792</v>
      </c>
      <c r="I234" s="173">
        <v>46146</v>
      </c>
      <c r="J234" s="173">
        <v>46164</v>
      </c>
      <c r="K234" s="146" t="s">
        <v>887</v>
      </c>
      <c r="L234" s="146" t="s">
        <v>883</v>
      </c>
      <c r="M234" s="154">
        <v>1785</v>
      </c>
      <c r="N234" s="154">
        <v>118.7</v>
      </c>
      <c r="O234" s="154">
        <v>0</v>
      </c>
      <c r="P234" s="154">
        <v>0</v>
      </c>
      <c r="Q234" s="154">
        <v>0</v>
      </c>
      <c r="R234" s="154">
        <v>0</v>
      </c>
      <c r="S234" s="154">
        <f t="shared" si="33"/>
        <v>1666.3</v>
      </c>
      <c r="T234" s="154">
        <f t="shared" si="34"/>
        <v>1785</v>
      </c>
      <c r="V234" s="146" t="s">
        <v>707</v>
      </c>
      <c r="W234" s="146" t="s">
        <v>707</v>
      </c>
    </row>
    <row r="235" spans="2:23" ht="36">
      <c r="B235" s="146" t="s">
        <v>988</v>
      </c>
      <c r="D235" s="146">
        <v>2001001003</v>
      </c>
      <c r="E235" s="146" t="str">
        <f>_xlfn.XLOOKUP(D235,'Detalhamento - G200'!A:A,'Detalhamento - G200'!B:B,0)</f>
        <v>GERADOR BACK-UP</v>
      </c>
      <c r="F235" s="175">
        <v>94242</v>
      </c>
      <c r="G235" s="175">
        <v>4862</v>
      </c>
      <c r="H235" s="146" t="s">
        <v>792</v>
      </c>
      <c r="I235" s="173">
        <v>46147</v>
      </c>
      <c r="J235" s="173">
        <v>46178</v>
      </c>
      <c r="K235" s="146" t="s">
        <v>622</v>
      </c>
      <c r="L235" s="146" t="s">
        <v>283</v>
      </c>
      <c r="M235" s="154">
        <v>4302</v>
      </c>
      <c r="N235" s="154">
        <v>0</v>
      </c>
      <c r="O235" s="154">
        <v>0</v>
      </c>
      <c r="P235" s="154">
        <v>0</v>
      </c>
      <c r="Q235" s="154">
        <v>0</v>
      </c>
      <c r="R235" s="154">
        <v>0</v>
      </c>
      <c r="S235" s="154">
        <f t="shared" si="33"/>
        <v>4302</v>
      </c>
      <c r="T235" s="154">
        <f t="shared" si="34"/>
        <v>4302</v>
      </c>
      <c r="V235" s="146" t="s">
        <v>652</v>
      </c>
      <c r="W235" s="146" t="s">
        <v>652</v>
      </c>
    </row>
    <row r="236" spans="2:23">
      <c r="B236" s="146" t="s">
        <v>988</v>
      </c>
      <c r="D236" s="146">
        <v>1001002006</v>
      </c>
      <c r="E236" s="146" t="str">
        <f>_xlfn.XLOOKUP(D236,'Detalhamento - G200'!A:A,'Detalhamento - G200'!B:B,0)</f>
        <v>CONTENÇÕES</v>
      </c>
      <c r="F236" s="175">
        <v>94218</v>
      </c>
      <c r="G236" s="175">
        <v>15572</v>
      </c>
      <c r="H236" s="146" t="s">
        <v>790</v>
      </c>
      <c r="I236" s="173">
        <v>46139</v>
      </c>
      <c r="J236" s="173">
        <v>46167</v>
      </c>
      <c r="K236" s="146" t="s">
        <v>987</v>
      </c>
      <c r="L236" s="146" t="s">
        <v>985</v>
      </c>
      <c r="M236" s="154">
        <v>11564</v>
      </c>
      <c r="N236" s="154">
        <v>0</v>
      </c>
      <c r="O236" s="154">
        <v>0</v>
      </c>
      <c r="P236" s="154">
        <v>0</v>
      </c>
      <c r="Q236" s="154">
        <v>0</v>
      </c>
      <c r="R236" s="154">
        <v>0</v>
      </c>
      <c r="S236" s="154">
        <f t="shared" si="33"/>
        <v>11564</v>
      </c>
      <c r="T236" s="154">
        <f t="shared" si="34"/>
        <v>11564</v>
      </c>
      <c r="V236" s="146" t="s">
        <v>989</v>
      </c>
      <c r="W236" s="146" t="s">
        <v>731</v>
      </c>
    </row>
    <row r="237" spans="2:23">
      <c r="B237" s="146" t="s">
        <v>1022</v>
      </c>
      <c r="D237" s="146">
        <v>1001003002</v>
      </c>
      <c r="E237" s="146" t="str">
        <f>_xlfn.XLOOKUP(D237,'Detalhamento - G200'!A:A,'Detalhamento - G200'!B:B,0)</f>
        <v>SUPERESTRUTURA GALPÃO</v>
      </c>
      <c r="F237" s="175">
        <v>95043</v>
      </c>
      <c r="G237" s="175">
        <v>124738</v>
      </c>
      <c r="H237" s="146" t="s">
        <v>790</v>
      </c>
      <c r="I237" s="173">
        <v>46121</v>
      </c>
      <c r="J237" s="173">
        <v>46163</v>
      </c>
      <c r="K237" s="146" t="s">
        <v>1021</v>
      </c>
      <c r="L237" s="146" t="s">
        <v>278</v>
      </c>
      <c r="M237" s="154">
        <v>23458</v>
      </c>
      <c r="N237" s="154">
        <v>0</v>
      </c>
      <c r="O237" s="154">
        <v>0</v>
      </c>
      <c r="P237" s="154">
        <v>0</v>
      </c>
      <c r="Q237" s="154">
        <v>0</v>
      </c>
      <c r="R237" s="154">
        <v>0</v>
      </c>
      <c r="S237" s="154">
        <f t="shared" ref="S237:S238" si="35">M237-SUM(N237:R237)</f>
        <v>23458</v>
      </c>
      <c r="T237" s="154">
        <f t="shared" ref="T237:T238" si="36">N237+S237</f>
        <v>23458</v>
      </c>
      <c r="V237" s="146" t="s">
        <v>659</v>
      </c>
      <c r="W237" s="146" t="s">
        <v>659</v>
      </c>
    </row>
    <row r="238" spans="2:23">
      <c r="B238" s="146" t="s">
        <v>1022</v>
      </c>
      <c r="D238" s="146">
        <v>1001003002</v>
      </c>
      <c r="E238" s="146" t="str">
        <f>_xlfn.XLOOKUP(D238,'Detalhamento - G200'!A:A,'Detalhamento - G200'!B:B,0)</f>
        <v>SUPERESTRUTURA GALPÃO</v>
      </c>
      <c r="F238" s="175">
        <v>95043</v>
      </c>
      <c r="G238" s="175">
        <v>124738</v>
      </c>
      <c r="H238" s="146" t="s">
        <v>790</v>
      </c>
      <c r="I238" s="173">
        <v>46121</v>
      </c>
      <c r="J238" s="173">
        <v>46163</v>
      </c>
      <c r="K238" s="146" t="s">
        <v>1021</v>
      </c>
      <c r="L238" s="146" t="s">
        <v>278</v>
      </c>
      <c r="M238" s="154">
        <v>5933</v>
      </c>
      <c r="N238" s="154">
        <v>0</v>
      </c>
      <c r="O238" s="154">
        <v>0</v>
      </c>
      <c r="P238" s="154">
        <v>0</v>
      </c>
      <c r="Q238" s="154">
        <v>0</v>
      </c>
      <c r="R238" s="154">
        <v>0</v>
      </c>
      <c r="S238" s="154">
        <f t="shared" si="35"/>
        <v>5933</v>
      </c>
      <c r="T238" s="154">
        <f t="shared" si="36"/>
        <v>5933</v>
      </c>
      <c r="V238" s="146" t="s">
        <v>667</v>
      </c>
      <c r="W238" s="146" t="s">
        <v>667</v>
      </c>
    </row>
    <row r="239" spans="2:23" ht="54">
      <c r="B239" s="146" t="s">
        <v>1049</v>
      </c>
      <c r="D239" s="146">
        <v>1001005001</v>
      </c>
      <c r="E239" s="146" t="str">
        <f>_xlfn.XLOOKUP(D239,'Detalhamento - G200'!A:A,'Detalhamento - G200'!B:B,0)</f>
        <v>ELETRICA, HIDRÁULICA E COMBATE A INCÊNDIO - MEP</v>
      </c>
      <c r="F239" s="175">
        <v>94639</v>
      </c>
      <c r="G239" s="175">
        <v>45800</v>
      </c>
      <c r="H239" s="146" t="s">
        <v>812</v>
      </c>
      <c r="I239" s="173">
        <v>46134</v>
      </c>
      <c r="J239" s="173">
        <v>46171</v>
      </c>
      <c r="K239" s="146" t="s">
        <v>1037</v>
      </c>
      <c r="L239" s="146" t="s">
        <v>1031</v>
      </c>
      <c r="M239" s="154">
        <v>61746.03</v>
      </c>
      <c r="N239" s="154">
        <v>0</v>
      </c>
      <c r="O239" s="154">
        <v>0</v>
      </c>
      <c r="P239" s="154">
        <v>0</v>
      </c>
      <c r="Q239" s="154">
        <v>0</v>
      </c>
      <c r="R239" s="154">
        <v>0</v>
      </c>
      <c r="S239" s="154">
        <f t="shared" ref="S239" si="37">M239-SUM(N239:R239)</f>
        <v>61746.03</v>
      </c>
      <c r="T239" s="154">
        <f t="shared" ref="T239" si="38">N239+S239</f>
        <v>61746.03</v>
      </c>
      <c r="V239" s="146" t="s">
        <v>714</v>
      </c>
      <c r="W239" s="146" t="s">
        <v>765</v>
      </c>
    </row>
    <row r="240" spans="2:23" ht="54">
      <c r="B240" s="146" t="s">
        <v>1049</v>
      </c>
      <c r="D240" s="146">
        <v>1001005001</v>
      </c>
      <c r="E240" s="146" t="str">
        <f>_xlfn.XLOOKUP(D240,'Detalhamento - G200'!A:A,'Detalhamento - G200'!B:B,0)</f>
        <v>ELETRICA, HIDRÁULICA E COMBATE A INCÊNDIO - MEP</v>
      </c>
      <c r="F240" s="175">
        <v>94638</v>
      </c>
      <c r="G240" s="175">
        <v>45799</v>
      </c>
      <c r="H240" s="146" t="s">
        <v>812</v>
      </c>
      <c r="I240" s="173">
        <v>46134</v>
      </c>
      <c r="J240" s="173">
        <v>46171</v>
      </c>
      <c r="K240" s="146" t="s">
        <v>1037</v>
      </c>
      <c r="L240" s="146" t="s">
        <v>1031</v>
      </c>
      <c r="M240" s="154">
        <v>145790.66</v>
      </c>
      <c r="N240" s="154">
        <v>0</v>
      </c>
      <c r="O240" s="154">
        <v>0</v>
      </c>
      <c r="P240" s="154">
        <v>0</v>
      </c>
      <c r="Q240" s="154">
        <v>0</v>
      </c>
      <c r="R240" s="154">
        <v>0</v>
      </c>
      <c r="S240" s="154">
        <f t="shared" ref="S240:S241" si="39">M240-SUM(N240:R240)</f>
        <v>145790.66</v>
      </c>
      <c r="T240" s="154">
        <f t="shared" ref="T240:T241" si="40">N240+S240</f>
        <v>145790.66</v>
      </c>
      <c r="V240" s="146" t="s">
        <v>716</v>
      </c>
      <c r="W240" s="146" t="s">
        <v>765</v>
      </c>
    </row>
    <row r="241" spans="2:23" ht="36">
      <c r="B241" s="146" t="s">
        <v>1049</v>
      </c>
      <c r="D241" s="146">
        <v>2001008001</v>
      </c>
      <c r="E241" s="146" t="str">
        <f>_xlfn.XLOOKUP(D241,'Detalhamento - G200'!A:A,'Detalhamento - G200'!B:B,0)</f>
        <v>MATERIAIS DE COPA E LIMPEZA</v>
      </c>
      <c r="F241" s="175">
        <v>93818</v>
      </c>
      <c r="G241" s="175">
        <v>3212</v>
      </c>
      <c r="H241" s="146" t="s">
        <v>790</v>
      </c>
      <c r="I241" s="173">
        <v>46140</v>
      </c>
      <c r="J241" s="173">
        <v>46171</v>
      </c>
      <c r="K241" s="146" t="s">
        <v>619</v>
      </c>
      <c r="L241" s="146" t="s">
        <v>288</v>
      </c>
      <c r="M241" s="154">
        <v>3114.11</v>
      </c>
      <c r="N241" s="154">
        <v>0</v>
      </c>
      <c r="O241" s="154">
        <v>0</v>
      </c>
      <c r="P241" s="154">
        <v>0</v>
      </c>
      <c r="Q241" s="154">
        <v>0</v>
      </c>
      <c r="R241" s="154">
        <v>0</v>
      </c>
      <c r="S241" s="154">
        <f t="shared" si="39"/>
        <v>3114.11</v>
      </c>
      <c r="T241" s="154">
        <f t="shared" si="40"/>
        <v>3114.11</v>
      </c>
      <c r="V241" s="146" t="s">
        <v>648</v>
      </c>
      <c r="W241" s="146" t="s">
        <v>648</v>
      </c>
    </row>
    <row r="242" spans="2:23">
      <c r="B242" s="146" t="s">
        <v>1049</v>
      </c>
      <c r="D242" s="146">
        <v>1001006003</v>
      </c>
      <c r="E242" s="146" t="str">
        <f>_xlfn.XLOOKUP(D242,'Detalhamento - G200'!A:A,'Detalhamento - G200'!B:B,0)</f>
        <v>POÇO ARTESIANO</v>
      </c>
      <c r="F242" s="175">
        <v>94854</v>
      </c>
      <c r="G242" s="175">
        <v>3358</v>
      </c>
      <c r="H242" s="146" t="s">
        <v>790</v>
      </c>
      <c r="I242" s="173">
        <v>46150</v>
      </c>
      <c r="J242" s="173">
        <v>46171</v>
      </c>
      <c r="K242" s="146" t="s">
        <v>1038</v>
      </c>
      <c r="L242" s="146" t="s">
        <v>861</v>
      </c>
      <c r="M242" s="154">
        <v>1035</v>
      </c>
      <c r="N242" s="154">
        <v>0</v>
      </c>
      <c r="O242" s="154">
        <v>0</v>
      </c>
      <c r="P242" s="154">
        <v>0</v>
      </c>
      <c r="Q242" s="154">
        <v>0</v>
      </c>
      <c r="R242" s="154">
        <v>0</v>
      </c>
      <c r="S242" s="154">
        <f t="shared" ref="S242" si="41">M242-SUM(N242:R242)</f>
        <v>1035</v>
      </c>
      <c r="T242" s="154">
        <f t="shared" ref="T242" si="42">N242+S242</f>
        <v>1035</v>
      </c>
      <c r="V242" s="146" t="s">
        <v>860</v>
      </c>
      <c r="W242" s="146" t="s">
        <v>860</v>
      </c>
    </row>
    <row r="243" spans="2:23" ht="54">
      <c r="B243" s="146" t="s">
        <v>1049</v>
      </c>
      <c r="D243" s="146">
        <v>1001005001</v>
      </c>
      <c r="E243" s="146" t="str">
        <f>_xlfn.XLOOKUP(D243,'Detalhamento - G200'!A:A,'Detalhamento - G200'!B:B,0)</f>
        <v>ELETRICA, HIDRÁULICA E COMBATE A INCÊNDIO - MEP</v>
      </c>
      <c r="F243" s="175">
        <v>94839</v>
      </c>
      <c r="G243" s="175">
        <v>4622</v>
      </c>
      <c r="H243" s="146" t="s">
        <v>812</v>
      </c>
      <c r="I243" s="173">
        <v>46155</v>
      </c>
      <c r="J243" s="173">
        <v>46171</v>
      </c>
      <c r="K243" s="146" t="s">
        <v>1039</v>
      </c>
      <c r="L243" s="146" t="s">
        <v>713</v>
      </c>
      <c r="M243" s="154">
        <v>45500</v>
      </c>
      <c r="N243" s="154">
        <v>0</v>
      </c>
      <c r="O243" s="154">
        <v>0</v>
      </c>
      <c r="P243" s="154">
        <v>0</v>
      </c>
      <c r="Q243" s="154">
        <v>0</v>
      </c>
      <c r="R243" s="154">
        <v>0</v>
      </c>
      <c r="S243" s="154">
        <f t="shared" ref="S243" si="43">M243-SUM(N243:R243)</f>
        <v>45500</v>
      </c>
      <c r="T243" s="154">
        <f t="shared" ref="T243" si="44">N243+S243</f>
        <v>45500</v>
      </c>
      <c r="V243" s="146" t="s">
        <v>712</v>
      </c>
      <c r="W243" s="146" t="s">
        <v>765</v>
      </c>
    </row>
    <row r="244" spans="2:23" ht="54">
      <c r="B244" s="146" t="s">
        <v>1049</v>
      </c>
      <c r="D244" s="146">
        <v>1001005001</v>
      </c>
      <c r="E244" s="146" t="str">
        <f>_xlfn.XLOOKUP(D244,'Detalhamento - G200'!A:A,'Detalhamento - G200'!B:B,0)</f>
        <v>ELETRICA, HIDRÁULICA E COMBATE A INCÊNDIO - MEP</v>
      </c>
      <c r="F244" s="175">
        <v>94835</v>
      </c>
      <c r="G244" s="175">
        <v>78076</v>
      </c>
      <c r="H244" s="146" t="s">
        <v>812</v>
      </c>
      <c r="I244" s="173">
        <v>46155</v>
      </c>
      <c r="J244" s="173">
        <v>46171</v>
      </c>
      <c r="K244" s="146" t="s">
        <v>1040</v>
      </c>
      <c r="L244" s="146" t="s">
        <v>1032</v>
      </c>
      <c r="M244" s="154">
        <v>78094</v>
      </c>
      <c r="N244" s="154">
        <v>0</v>
      </c>
      <c r="O244" s="154">
        <v>0</v>
      </c>
      <c r="P244" s="154">
        <v>0</v>
      </c>
      <c r="Q244" s="154">
        <v>0</v>
      </c>
      <c r="R244" s="154">
        <v>0</v>
      </c>
      <c r="S244" s="154">
        <f t="shared" ref="S244" si="45">M244-SUM(N244:R244)</f>
        <v>78094</v>
      </c>
      <c r="T244" s="154">
        <f t="shared" ref="T244" si="46">N244+S244</f>
        <v>78094</v>
      </c>
      <c r="V244" s="146" t="s">
        <v>723</v>
      </c>
      <c r="W244" s="146" t="s">
        <v>765</v>
      </c>
    </row>
    <row r="245" spans="2:23" ht="54">
      <c r="B245" s="146" t="s">
        <v>1049</v>
      </c>
      <c r="D245" s="146">
        <v>1001005001</v>
      </c>
      <c r="E245" s="146" t="str">
        <f>_xlfn.XLOOKUP(D245,'Detalhamento - G200'!A:A,'Detalhamento - G200'!B:B,0)</f>
        <v>ELETRICA, HIDRÁULICA E COMBATE A INCÊNDIO - MEP</v>
      </c>
      <c r="F245" s="175">
        <v>94818</v>
      </c>
      <c r="G245" s="175">
        <v>5191</v>
      </c>
      <c r="H245" s="146" t="s">
        <v>812</v>
      </c>
      <c r="I245" s="173">
        <v>46146</v>
      </c>
      <c r="J245" s="173">
        <v>46171</v>
      </c>
      <c r="K245" s="146" t="s">
        <v>1041</v>
      </c>
      <c r="L245" s="146" t="s">
        <v>1033</v>
      </c>
      <c r="M245" s="154">
        <v>555496.17000000004</v>
      </c>
      <c r="N245" s="154">
        <v>0</v>
      </c>
      <c r="O245" s="154">
        <v>0</v>
      </c>
      <c r="P245" s="154">
        <v>0</v>
      </c>
      <c r="Q245" s="154">
        <v>0</v>
      </c>
      <c r="R245" s="154">
        <v>0</v>
      </c>
      <c r="S245" s="154">
        <f t="shared" ref="S245:S246" si="47">M245-SUM(N245:R245)</f>
        <v>555496.17000000004</v>
      </c>
      <c r="T245" s="154">
        <f t="shared" ref="T245:T246" si="48">N245+S245</f>
        <v>555496.17000000004</v>
      </c>
      <c r="V245" s="146" t="s">
        <v>862</v>
      </c>
      <c r="W245" s="146" t="s">
        <v>765</v>
      </c>
    </row>
    <row r="246" spans="2:23" ht="54">
      <c r="B246" s="146" t="s">
        <v>1049</v>
      </c>
      <c r="D246" s="146">
        <v>1002003001</v>
      </c>
      <c r="E246" s="146" t="str">
        <f>_xlfn.XLOOKUP(D246,'Detalhamento - G200'!A:A,'Detalhamento - G200'!B:B,0)</f>
        <v>ELETRICA, HIDRÁULICA E COMBATE A INCÊNDIO</v>
      </c>
      <c r="F246" s="175">
        <v>94818</v>
      </c>
      <c r="G246" s="175">
        <v>5191</v>
      </c>
      <c r="H246" s="146" t="s">
        <v>812</v>
      </c>
      <c r="I246" s="173">
        <v>46146</v>
      </c>
      <c r="J246" s="173">
        <v>46171</v>
      </c>
      <c r="K246" s="146" t="s">
        <v>1041</v>
      </c>
      <c r="L246" s="146" t="s">
        <v>1033</v>
      </c>
      <c r="M246" s="154">
        <v>555496.17000000004</v>
      </c>
      <c r="N246" s="154">
        <v>0</v>
      </c>
      <c r="O246" s="154">
        <v>0</v>
      </c>
      <c r="P246" s="154">
        <v>0</v>
      </c>
      <c r="Q246" s="154">
        <v>0</v>
      </c>
      <c r="R246" s="154">
        <v>0</v>
      </c>
      <c r="S246" s="154">
        <f t="shared" si="47"/>
        <v>555496.17000000004</v>
      </c>
      <c r="T246" s="154">
        <f t="shared" si="48"/>
        <v>555496.17000000004</v>
      </c>
      <c r="V246" s="146" t="s">
        <v>862</v>
      </c>
      <c r="W246" s="146" t="s">
        <v>765</v>
      </c>
    </row>
    <row r="247" spans="2:23" ht="54">
      <c r="B247" s="146" t="s">
        <v>1049</v>
      </c>
      <c r="D247" s="146">
        <v>1001005001</v>
      </c>
      <c r="E247" s="146" t="str">
        <f>_xlfn.XLOOKUP(D247,'Detalhamento - G200'!A:A,'Detalhamento - G200'!B:B,0)</f>
        <v>ELETRICA, HIDRÁULICA E COMBATE A INCÊNDIO - MEP</v>
      </c>
      <c r="F247" s="175">
        <v>94805</v>
      </c>
      <c r="G247" s="175">
        <v>316643</v>
      </c>
      <c r="H247" s="146" t="s">
        <v>812</v>
      </c>
      <c r="I247" s="173">
        <v>46141</v>
      </c>
      <c r="J247" s="173">
        <v>46171</v>
      </c>
      <c r="K247" s="146" t="s">
        <v>1042</v>
      </c>
      <c r="L247" s="146" t="s">
        <v>705</v>
      </c>
      <c r="M247" s="154">
        <v>117747.6</v>
      </c>
      <c r="N247" s="154">
        <v>0</v>
      </c>
      <c r="O247" s="154">
        <v>0</v>
      </c>
      <c r="P247" s="154">
        <v>0</v>
      </c>
      <c r="Q247" s="154">
        <v>0</v>
      </c>
      <c r="R247" s="154">
        <v>0</v>
      </c>
      <c r="S247" s="154">
        <f t="shared" ref="S247" si="49">M247-SUM(N247:R247)</f>
        <v>117747.6</v>
      </c>
      <c r="T247" s="154">
        <f t="shared" ref="T247" si="50">N247+S247</f>
        <v>117747.6</v>
      </c>
      <c r="V247" s="146" t="s">
        <v>821</v>
      </c>
      <c r="W247" s="146" t="s">
        <v>765</v>
      </c>
    </row>
    <row r="248" spans="2:23" ht="54">
      <c r="B248" s="146" t="s">
        <v>1049</v>
      </c>
      <c r="D248" s="146">
        <v>1001006004</v>
      </c>
      <c r="E248" s="146" t="str">
        <f>_xlfn.XLOOKUP(D248,'Detalhamento - G200'!A:A,'Detalhamento - G200'!B:B,0)</f>
        <v>RESERVATÓRIO METÁLICO</v>
      </c>
      <c r="F248" s="175">
        <v>94796</v>
      </c>
      <c r="G248" s="175">
        <v>10901</v>
      </c>
      <c r="H248" s="146" t="s">
        <v>812</v>
      </c>
      <c r="I248" s="173">
        <v>46155</v>
      </c>
      <c r="J248" s="173">
        <v>46171</v>
      </c>
      <c r="K248" s="146" t="s">
        <v>1043</v>
      </c>
      <c r="L248" s="146" t="s">
        <v>1034</v>
      </c>
      <c r="M248" s="154">
        <v>639200</v>
      </c>
      <c r="N248" s="154">
        <v>0</v>
      </c>
      <c r="O248" s="154">
        <v>0</v>
      </c>
      <c r="P248" s="154">
        <v>0</v>
      </c>
      <c r="Q248" s="154">
        <v>0</v>
      </c>
      <c r="R248" s="154">
        <v>0</v>
      </c>
      <c r="S248" s="154">
        <f t="shared" ref="S248" si="51">M248-SUM(N248:R248)</f>
        <v>639200</v>
      </c>
      <c r="T248" s="154">
        <f t="shared" ref="T248" si="52">N248+S248</f>
        <v>639200</v>
      </c>
      <c r="V248" s="146" t="s">
        <v>737</v>
      </c>
      <c r="W248" s="146" t="s">
        <v>737</v>
      </c>
    </row>
    <row r="249" spans="2:23" ht="54">
      <c r="B249" s="146" t="s">
        <v>1049</v>
      </c>
      <c r="D249" s="146">
        <v>1001005001</v>
      </c>
      <c r="E249" s="146" t="str">
        <f>_xlfn.XLOOKUP(D249,'Detalhamento - G200'!A:A,'Detalhamento - G200'!B:B,0)</f>
        <v>ELETRICA, HIDRÁULICA E COMBATE A INCÊNDIO - MEP</v>
      </c>
      <c r="F249" s="175">
        <v>94789</v>
      </c>
      <c r="G249" s="175">
        <v>107133</v>
      </c>
      <c r="H249" s="146" t="s">
        <v>812</v>
      </c>
      <c r="I249" s="173">
        <v>46141</v>
      </c>
      <c r="J249" s="173">
        <v>46171</v>
      </c>
      <c r="K249" s="146" t="s">
        <v>1044</v>
      </c>
      <c r="L249" s="146" t="s">
        <v>720</v>
      </c>
      <c r="M249" s="154">
        <v>214500.24</v>
      </c>
      <c r="N249" s="154">
        <v>0</v>
      </c>
      <c r="O249" s="154">
        <v>0</v>
      </c>
      <c r="P249" s="154">
        <v>0</v>
      </c>
      <c r="Q249" s="154">
        <v>0</v>
      </c>
      <c r="R249" s="154">
        <v>0</v>
      </c>
      <c r="S249" s="154">
        <f t="shared" ref="S249" si="53">M249-SUM(N249:R249)</f>
        <v>214500.24</v>
      </c>
      <c r="T249" s="154">
        <f t="shared" ref="T249" si="54">N249+S249</f>
        <v>214500.24</v>
      </c>
      <c r="V249" s="146" t="s">
        <v>719</v>
      </c>
      <c r="W249" s="146" t="s">
        <v>765</v>
      </c>
    </row>
    <row r="250" spans="2:23" ht="54">
      <c r="B250" s="146" t="s">
        <v>1049</v>
      </c>
      <c r="D250" s="146">
        <v>1001005001</v>
      </c>
      <c r="E250" s="146" t="str">
        <f>_xlfn.XLOOKUP(D250,'Detalhamento - G200'!A:A,'Detalhamento - G200'!B:B,0)</f>
        <v>ELETRICA, HIDRÁULICA E COMBATE A INCÊNDIO - MEP</v>
      </c>
      <c r="F250" s="175">
        <v>94759</v>
      </c>
      <c r="G250" s="175">
        <v>6952</v>
      </c>
      <c r="H250" s="146" t="s">
        <v>812</v>
      </c>
      <c r="I250" s="173">
        <v>46132</v>
      </c>
      <c r="J250" s="173">
        <v>46171</v>
      </c>
      <c r="K250" s="146" t="s">
        <v>1045</v>
      </c>
      <c r="L250" s="146" t="s">
        <v>1035</v>
      </c>
      <c r="M250" s="154">
        <v>30784</v>
      </c>
      <c r="N250" s="154">
        <v>0</v>
      </c>
      <c r="O250" s="154">
        <v>0</v>
      </c>
      <c r="P250" s="154">
        <v>0</v>
      </c>
      <c r="Q250" s="154">
        <v>0</v>
      </c>
      <c r="R250" s="154">
        <v>0</v>
      </c>
      <c r="S250" s="154">
        <f t="shared" ref="S250:S252" si="55">M250-SUM(N250:R250)</f>
        <v>30784</v>
      </c>
      <c r="T250" s="154">
        <f t="shared" ref="T250:T252" si="56">N250+S250</f>
        <v>30784</v>
      </c>
      <c r="V250" s="146" t="s">
        <v>824</v>
      </c>
      <c r="W250" s="146" t="s">
        <v>765</v>
      </c>
    </row>
    <row r="251" spans="2:23" ht="54">
      <c r="B251" s="146" t="s">
        <v>1049</v>
      </c>
      <c r="D251" s="146">
        <v>1001005001</v>
      </c>
      <c r="E251" s="146" t="str">
        <f>_xlfn.XLOOKUP(D251,'Detalhamento - G200'!A:A,'Detalhamento - G200'!B:B,0)</f>
        <v>ELETRICA, HIDRÁULICA E COMBATE A INCÊNDIO - MEP</v>
      </c>
      <c r="F251" s="175">
        <v>94644</v>
      </c>
      <c r="G251" s="175">
        <v>628930</v>
      </c>
      <c r="H251" s="146" t="s">
        <v>812</v>
      </c>
      <c r="I251" s="173">
        <v>46141</v>
      </c>
      <c r="J251" s="173">
        <v>46176</v>
      </c>
      <c r="K251" s="146" t="s">
        <v>1046</v>
      </c>
      <c r="L251" s="146" t="s">
        <v>1036</v>
      </c>
      <c r="M251" s="154">
        <v>72700.05</v>
      </c>
      <c r="N251" s="154">
        <v>0</v>
      </c>
      <c r="O251" s="154">
        <v>0</v>
      </c>
      <c r="P251" s="154">
        <v>0</v>
      </c>
      <c r="Q251" s="154">
        <v>0</v>
      </c>
      <c r="R251" s="154">
        <v>0</v>
      </c>
      <c r="S251" s="154">
        <f t="shared" si="55"/>
        <v>72700.05</v>
      </c>
      <c r="T251" s="154">
        <f t="shared" si="56"/>
        <v>72700.05</v>
      </c>
      <c r="V251" s="146" t="s">
        <v>836</v>
      </c>
      <c r="W251" s="146" t="s">
        <v>765</v>
      </c>
    </row>
    <row r="252" spans="2:23" ht="54">
      <c r="B252" s="146" t="s">
        <v>1049</v>
      </c>
      <c r="D252" s="146">
        <v>1002003001</v>
      </c>
      <c r="E252" s="146" t="str">
        <f>_xlfn.XLOOKUP(D252,'Detalhamento - G200'!A:A,'Detalhamento - G200'!B:B,0)</f>
        <v>ELETRICA, HIDRÁULICA E COMBATE A INCÊNDIO</v>
      </c>
      <c r="F252" s="175">
        <v>94644</v>
      </c>
      <c r="G252" s="175">
        <v>628930</v>
      </c>
      <c r="H252" s="146" t="s">
        <v>812</v>
      </c>
      <c r="I252" s="173">
        <v>46141</v>
      </c>
      <c r="J252" s="173">
        <v>46176</v>
      </c>
      <c r="K252" s="146" t="s">
        <v>1046</v>
      </c>
      <c r="L252" s="146" t="s">
        <v>1036</v>
      </c>
      <c r="M252" s="154">
        <v>72700.039999999994</v>
      </c>
      <c r="N252" s="154">
        <v>0</v>
      </c>
      <c r="O252" s="154">
        <v>0</v>
      </c>
      <c r="P252" s="154">
        <v>0</v>
      </c>
      <c r="Q252" s="154">
        <v>0</v>
      </c>
      <c r="R252" s="154">
        <v>0</v>
      </c>
      <c r="S252" s="154">
        <f t="shared" si="55"/>
        <v>72700.039999999994</v>
      </c>
      <c r="T252" s="154">
        <f t="shared" si="56"/>
        <v>72700.039999999994</v>
      </c>
      <c r="V252" s="146" t="s">
        <v>836</v>
      </c>
      <c r="W252" s="146" t="s">
        <v>765</v>
      </c>
    </row>
    <row r="253" spans="2:23" ht="54">
      <c r="B253" s="146" t="s">
        <v>1049</v>
      </c>
      <c r="D253" s="146">
        <v>1001005001</v>
      </c>
      <c r="E253" s="146" t="str">
        <f>_xlfn.XLOOKUP(D253,'Detalhamento - G200'!A:A,'Detalhamento - G200'!B:B,0)</f>
        <v>ELETRICA, HIDRÁULICA E COMBATE A INCÊNDIO - MEP</v>
      </c>
      <c r="F253" s="175">
        <v>94640</v>
      </c>
      <c r="G253" s="175">
        <v>332542</v>
      </c>
      <c r="H253" s="146" t="s">
        <v>812</v>
      </c>
      <c r="I253" s="173">
        <v>46129</v>
      </c>
      <c r="J253" s="173">
        <v>46171</v>
      </c>
      <c r="K253" s="146" t="s">
        <v>1047</v>
      </c>
      <c r="L253" s="146" t="s">
        <v>823</v>
      </c>
      <c r="M253" s="154">
        <v>184216</v>
      </c>
      <c r="N253" s="154">
        <v>0</v>
      </c>
      <c r="O253" s="154">
        <v>0</v>
      </c>
      <c r="P253" s="154">
        <v>0</v>
      </c>
      <c r="Q253" s="154">
        <v>0</v>
      </c>
      <c r="R253" s="154">
        <v>0</v>
      </c>
      <c r="S253" s="154">
        <f t="shared" ref="S253" si="57">M253-SUM(N253:R253)</f>
        <v>184216</v>
      </c>
      <c r="T253" s="154">
        <f t="shared" ref="T253" si="58">N253+S253</f>
        <v>184216</v>
      </c>
      <c r="V253" s="146" t="s">
        <v>822</v>
      </c>
      <c r="W253" s="146" t="s">
        <v>765</v>
      </c>
    </row>
    <row r="254" spans="2:23" ht="54">
      <c r="B254" s="146" t="s">
        <v>1049</v>
      </c>
      <c r="D254" s="146">
        <v>1001005001</v>
      </c>
      <c r="E254" s="146" t="str">
        <f>_xlfn.XLOOKUP(D254,'Detalhamento - G200'!A:A,'Detalhamento - G200'!B:B,0)</f>
        <v>ELETRICA, HIDRÁULICA E COMBATE A INCÊNDIO - MEP</v>
      </c>
      <c r="F254" s="175">
        <v>94637</v>
      </c>
      <c r="G254" s="175">
        <v>121771</v>
      </c>
      <c r="H254" s="146" t="s">
        <v>812</v>
      </c>
      <c r="I254" s="173">
        <v>46128</v>
      </c>
      <c r="J254" s="173">
        <v>46171</v>
      </c>
      <c r="K254" s="146" t="s">
        <v>1048</v>
      </c>
      <c r="L254" s="146" t="s">
        <v>718</v>
      </c>
      <c r="M254" s="154">
        <v>535492.74</v>
      </c>
      <c r="N254" s="154">
        <v>0</v>
      </c>
      <c r="O254" s="154">
        <v>0</v>
      </c>
      <c r="P254" s="154">
        <v>0</v>
      </c>
      <c r="Q254" s="154">
        <v>0</v>
      </c>
      <c r="R254" s="154">
        <v>0</v>
      </c>
      <c r="S254" s="154">
        <f t="shared" ref="S254:S255" si="59">M254-SUM(N254:R254)</f>
        <v>535492.74</v>
      </c>
      <c r="T254" s="154">
        <f t="shared" ref="T254:T255" si="60">N254+S254</f>
        <v>535492.74</v>
      </c>
      <c r="V254" s="146" t="s">
        <v>717</v>
      </c>
      <c r="W254" s="146" t="s">
        <v>765</v>
      </c>
    </row>
    <row r="255" spans="2:23" ht="54">
      <c r="B255" s="146" t="s">
        <v>1049</v>
      </c>
      <c r="D255" s="146">
        <v>1002003001</v>
      </c>
      <c r="E255" s="146" t="str">
        <f>_xlfn.XLOOKUP(D255,'Detalhamento - G200'!A:A,'Detalhamento - G200'!B:B,0)</f>
        <v>ELETRICA, HIDRÁULICA E COMBATE A INCÊNDIO</v>
      </c>
      <c r="F255" s="175">
        <v>94637</v>
      </c>
      <c r="G255" s="175">
        <v>121771</v>
      </c>
      <c r="H255" s="146" t="s">
        <v>812</v>
      </c>
      <c r="I255" s="173">
        <v>46128</v>
      </c>
      <c r="J255" s="173">
        <v>46171</v>
      </c>
      <c r="K255" s="146" t="s">
        <v>1048</v>
      </c>
      <c r="L255" s="146" t="s">
        <v>718</v>
      </c>
      <c r="M255" s="154">
        <v>535492.73</v>
      </c>
      <c r="N255" s="154">
        <v>0</v>
      </c>
      <c r="O255" s="154">
        <v>0</v>
      </c>
      <c r="P255" s="154">
        <v>0</v>
      </c>
      <c r="Q255" s="154">
        <v>0</v>
      </c>
      <c r="R255" s="154">
        <v>0</v>
      </c>
      <c r="S255" s="154">
        <f t="shared" si="59"/>
        <v>535492.73</v>
      </c>
      <c r="T255" s="154">
        <f t="shared" si="60"/>
        <v>535492.73</v>
      </c>
      <c r="V255" s="146" t="s">
        <v>717</v>
      </c>
      <c r="W255" s="146" t="s">
        <v>765</v>
      </c>
    </row>
    <row r="256" spans="2:23" ht="54">
      <c r="B256" s="146" t="s">
        <v>1062</v>
      </c>
      <c r="D256" s="146">
        <v>1001005001</v>
      </c>
      <c r="E256" s="146" t="str">
        <f>_xlfn.XLOOKUP(D256,'Detalhamento - G200'!A:A,'Detalhamento - G200'!B:B,0)</f>
        <v>ELETRICA, HIDRÁULICA E COMBATE A INCÊNDIO - MEP</v>
      </c>
      <c r="F256" s="175">
        <v>94760</v>
      </c>
      <c r="G256" s="175">
        <v>862605</v>
      </c>
      <c r="H256" s="146" t="s">
        <v>812</v>
      </c>
      <c r="I256" s="173">
        <v>46128</v>
      </c>
      <c r="J256" s="173">
        <v>46171</v>
      </c>
      <c r="K256" s="146" t="s">
        <v>1054</v>
      </c>
      <c r="L256" s="146" t="s">
        <v>1051</v>
      </c>
      <c r="M256" s="154">
        <v>161447.28</v>
      </c>
      <c r="N256" s="154">
        <v>0</v>
      </c>
      <c r="O256" s="154">
        <v>0</v>
      </c>
      <c r="P256" s="154">
        <v>0</v>
      </c>
      <c r="Q256" s="154">
        <v>0</v>
      </c>
      <c r="R256" s="154">
        <v>0</v>
      </c>
      <c r="S256" s="154">
        <f t="shared" ref="S256:S278" si="61">M256-SUM(N256:R256)</f>
        <v>161447.28</v>
      </c>
      <c r="T256" s="154">
        <f t="shared" ref="T256:T278" si="62">N256+S256</f>
        <v>161447.28</v>
      </c>
      <c r="V256" s="146" t="s">
        <v>725</v>
      </c>
      <c r="W256" s="146" t="s">
        <v>765</v>
      </c>
    </row>
    <row r="257" spans="2:23" ht="54">
      <c r="B257" s="146" t="s">
        <v>1062</v>
      </c>
      <c r="D257" s="146">
        <v>1001005001</v>
      </c>
      <c r="E257" s="146" t="str">
        <f>_xlfn.XLOOKUP(D257,'Detalhamento - G200'!A:A,'Detalhamento - G200'!B:B,0)</f>
        <v>ELETRICA, HIDRÁULICA E COMBATE A INCÊNDIO - MEP</v>
      </c>
      <c r="F257" s="175">
        <v>94760</v>
      </c>
      <c r="G257" s="175">
        <v>862605</v>
      </c>
      <c r="H257" s="146" t="s">
        <v>812</v>
      </c>
      <c r="I257" s="173">
        <v>46128</v>
      </c>
      <c r="J257" s="173">
        <v>46193</v>
      </c>
      <c r="K257" s="146" t="s">
        <v>1054</v>
      </c>
      <c r="L257" s="146" t="s">
        <v>1051</v>
      </c>
      <c r="M257" s="154">
        <v>80723.64</v>
      </c>
      <c r="N257" s="154">
        <v>0</v>
      </c>
      <c r="O257" s="154">
        <v>0</v>
      </c>
      <c r="P257" s="154">
        <v>0</v>
      </c>
      <c r="Q257" s="154">
        <v>0</v>
      </c>
      <c r="R257" s="154">
        <v>0</v>
      </c>
      <c r="S257" s="154">
        <f t="shared" si="61"/>
        <v>80723.64</v>
      </c>
      <c r="T257" s="154">
        <f t="shared" si="62"/>
        <v>80723.64</v>
      </c>
      <c r="V257" s="146" t="s">
        <v>725</v>
      </c>
      <c r="W257" s="146" t="s">
        <v>765</v>
      </c>
    </row>
    <row r="258" spans="2:23" ht="54">
      <c r="B258" s="146" t="s">
        <v>1062</v>
      </c>
      <c r="D258" s="146">
        <v>1001005001</v>
      </c>
      <c r="E258" s="146" t="str">
        <f>_xlfn.XLOOKUP(D258,'Detalhamento - G200'!A:A,'Detalhamento - G200'!B:B,0)</f>
        <v>ELETRICA, HIDRÁULICA E COMBATE A INCÊNDIO - MEP</v>
      </c>
      <c r="F258" s="175">
        <v>94760</v>
      </c>
      <c r="G258" s="175">
        <v>862605</v>
      </c>
      <c r="H258" s="146" t="s">
        <v>812</v>
      </c>
      <c r="I258" s="173">
        <v>46128</v>
      </c>
      <c r="J258" s="173">
        <v>46233</v>
      </c>
      <c r="K258" s="146" t="s">
        <v>1054</v>
      </c>
      <c r="L258" s="146" t="s">
        <v>1051</v>
      </c>
      <c r="M258" s="154">
        <v>80723.62</v>
      </c>
      <c r="N258" s="154">
        <v>0</v>
      </c>
      <c r="O258" s="154">
        <v>0</v>
      </c>
      <c r="P258" s="154">
        <v>0</v>
      </c>
      <c r="Q258" s="154">
        <v>0</v>
      </c>
      <c r="R258" s="154">
        <v>0</v>
      </c>
      <c r="S258" s="154">
        <f t="shared" si="61"/>
        <v>80723.62</v>
      </c>
      <c r="T258" s="154">
        <f t="shared" si="62"/>
        <v>80723.62</v>
      </c>
      <c r="V258" s="146" t="s">
        <v>725</v>
      </c>
      <c r="W258" s="146" t="s">
        <v>765</v>
      </c>
    </row>
    <row r="259" spans="2:23">
      <c r="B259" s="146" t="s">
        <v>1062</v>
      </c>
      <c r="D259" s="146">
        <v>2001006002</v>
      </c>
      <c r="E259" s="146" t="str">
        <f>_xlfn.XLOOKUP(D259,'Detalhamento - G200'!A:A,'Detalhamento - G200'!B:B,0)</f>
        <v>LIMPA FOSSA</v>
      </c>
      <c r="F259" s="175">
        <v>94514</v>
      </c>
      <c r="G259" s="175">
        <v>14155</v>
      </c>
      <c r="H259" s="146" t="s">
        <v>792</v>
      </c>
      <c r="I259" s="173">
        <v>46150</v>
      </c>
      <c r="J259" s="173">
        <v>46171</v>
      </c>
      <c r="K259" s="146" t="s">
        <v>772</v>
      </c>
      <c r="L259" s="146" t="s">
        <v>307</v>
      </c>
      <c r="M259" s="154">
        <v>56410</v>
      </c>
      <c r="N259" s="154">
        <v>11084.56</v>
      </c>
      <c r="O259" s="154">
        <v>0</v>
      </c>
      <c r="P259" s="154">
        <v>0</v>
      </c>
      <c r="Q259" s="154">
        <v>0</v>
      </c>
      <c r="R259" s="154">
        <v>0</v>
      </c>
      <c r="S259" s="154">
        <f t="shared" si="61"/>
        <v>45325.440000000002</v>
      </c>
      <c r="T259" s="154">
        <f t="shared" si="62"/>
        <v>56410</v>
      </c>
      <c r="V259" s="146" t="s">
        <v>695</v>
      </c>
      <c r="W259" s="146" t="s">
        <v>695</v>
      </c>
    </row>
    <row r="260" spans="2:23">
      <c r="B260" s="146" t="s">
        <v>1062</v>
      </c>
      <c r="D260" s="146">
        <v>2001010001</v>
      </c>
      <c r="E260" s="146" t="str">
        <f>_xlfn.XLOOKUP(D260,'Detalhamento - G200'!A:A,'Detalhamento - G200'!B:B,0)</f>
        <v>FRETE E CARRETO</v>
      </c>
      <c r="F260" s="175">
        <v>95249</v>
      </c>
      <c r="G260" s="175">
        <v>633175</v>
      </c>
      <c r="H260" s="146" t="s">
        <v>917</v>
      </c>
      <c r="I260" s="173">
        <v>46122</v>
      </c>
      <c r="J260" s="173">
        <v>46174</v>
      </c>
      <c r="K260" s="146" t="s">
        <v>1055</v>
      </c>
      <c r="L260" s="146" t="s">
        <v>700</v>
      </c>
      <c r="M260" s="154">
        <v>2301.0300000000002</v>
      </c>
      <c r="N260" s="154">
        <v>0</v>
      </c>
      <c r="O260" s="154">
        <v>0</v>
      </c>
      <c r="P260" s="154">
        <v>0</v>
      </c>
      <c r="Q260" s="154">
        <v>0</v>
      </c>
      <c r="R260" s="154">
        <v>0</v>
      </c>
      <c r="S260" s="154">
        <f t="shared" si="61"/>
        <v>2301.0300000000002</v>
      </c>
      <c r="T260" s="154">
        <f t="shared" si="62"/>
        <v>2301.0300000000002</v>
      </c>
      <c r="V260" s="146" t="s">
        <v>699</v>
      </c>
      <c r="W260" s="146" t="s">
        <v>699</v>
      </c>
    </row>
    <row r="261" spans="2:23">
      <c r="B261" s="146" t="s">
        <v>1062</v>
      </c>
      <c r="D261" s="146">
        <v>1001002003</v>
      </c>
      <c r="E261" s="146" t="str">
        <f>_xlfn.XLOOKUP(D261,'Detalhamento - G200'!A:A,'Detalhamento - G200'!B:B,0)</f>
        <v>MOVIMENTAÇÃO DE TERRA</v>
      </c>
      <c r="F261" s="175">
        <v>94596</v>
      </c>
      <c r="G261" s="175">
        <v>348086</v>
      </c>
      <c r="H261" s="146" t="s">
        <v>790</v>
      </c>
      <c r="I261" s="173">
        <v>46142</v>
      </c>
      <c r="J261" s="173">
        <v>46176</v>
      </c>
      <c r="K261" s="146" t="s">
        <v>608</v>
      </c>
      <c r="L261" s="146" t="s">
        <v>297</v>
      </c>
      <c r="M261" s="154">
        <v>4074</v>
      </c>
      <c r="N261" s="154">
        <v>0</v>
      </c>
      <c r="O261" s="154">
        <v>0</v>
      </c>
      <c r="P261" s="154">
        <v>0</v>
      </c>
      <c r="Q261" s="154">
        <v>0</v>
      </c>
      <c r="R261" s="154">
        <v>0</v>
      </c>
      <c r="S261" s="154">
        <f t="shared" si="61"/>
        <v>4074</v>
      </c>
      <c r="T261" s="154">
        <f t="shared" si="62"/>
        <v>4074</v>
      </c>
      <c r="V261" s="146" t="s">
        <v>702</v>
      </c>
      <c r="W261" s="146" t="s">
        <v>702</v>
      </c>
    </row>
    <row r="262" spans="2:23" ht="36">
      <c r="B262" s="146" t="s">
        <v>1062</v>
      </c>
      <c r="D262" s="146">
        <v>1001002006</v>
      </c>
      <c r="E262" s="146" t="str">
        <f>_xlfn.XLOOKUP(D262,'Detalhamento - G200'!A:A,'Detalhamento - G200'!B:B,0)</f>
        <v>CONTENÇÕES</v>
      </c>
      <c r="F262" s="175">
        <v>94935</v>
      </c>
      <c r="G262" s="175">
        <v>15495</v>
      </c>
      <c r="H262" s="146" t="s">
        <v>890</v>
      </c>
      <c r="I262" s="173">
        <v>46156</v>
      </c>
      <c r="J262" s="173">
        <v>46177</v>
      </c>
      <c r="K262" s="146" t="s">
        <v>1056</v>
      </c>
      <c r="L262" s="146" t="s">
        <v>1052</v>
      </c>
      <c r="M262" s="154">
        <v>1650</v>
      </c>
      <c r="N262" s="154">
        <v>0</v>
      </c>
      <c r="O262" s="154">
        <v>0</v>
      </c>
      <c r="P262" s="154">
        <v>0</v>
      </c>
      <c r="Q262" s="154">
        <v>0</v>
      </c>
      <c r="R262" s="154">
        <v>0</v>
      </c>
      <c r="S262" s="154">
        <f t="shared" si="61"/>
        <v>1650</v>
      </c>
      <c r="T262" s="154">
        <f t="shared" si="62"/>
        <v>1650</v>
      </c>
      <c r="V262" s="146" t="s">
        <v>1063</v>
      </c>
      <c r="W262" s="146" t="s">
        <v>731</v>
      </c>
    </row>
    <row r="263" spans="2:23">
      <c r="B263" s="146" t="s">
        <v>1062</v>
      </c>
      <c r="D263" s="146">
        <v>1001002006</v>
      </c>
      <c r="E263" s="146" t="str">
        <f>_xlfn.XLOOKUP(D263,'Detalhamento - G200'!A:A,'Detalhamento - G200'!B:B,0)</f>
        <v>CONTENÇÕES</v>
      </c>
      <c r="F263" s="175">
        <v>94656</v>
      </c>
      <c r="G263" s="175">
        <v>15692</v>
      </c>
      <c r="H263" s="146" t="s">
        <v>790</v>
      </c>
      <c r="I263" s="173">
        <v>46149</v>
      </c>
      <c r="J263" s="173">
        <v>46178</v>
      </c>
      <c r="K263" s="146" t="s">
        <v>987</v>
      </c>
      <c r="L263" s="146" t="s">
        <v>985</v>
      </c>
      <c r="M263" s="154">
        <v>11985.26</v>
      </c>
      <c r="N263" s="154">
        <v>0</v>
      </c>
      <c r="O263" s="154">
        <v>0</v>
      </c>
      <c r="P263" s="154">
        <v>0</v>
      </c>
      <c r="Q263" s="154">
        <v>0</v>
      </c>
      <c r="R263" s="154">
        <v>0</v>
      </c>
      <c r="S263" s="154">
        <f t="shared" si="61"/>
        <v>11985.26</v>
      </c>
      <c r="T263" s="154">
        <f t="shared" si="62"/>
        <v>11985.26</v>
      </c>
      <c r="V263" s="146" t="s">
        <v>989</v>
      </c>
      <c r="W263" s="146" t="s">
        <v>731</v>
      </c>
    </row>
    <row r="264" spans="2:23">
      <c r="B264" s="146" t="s">
        <v>1062</v>
      </c>
      <c r="D264" s="146">
        <v>1001002006</v>
      </c>
      <c r="E264" s="146" t="str">
        <f>_xlfn.XLOOKUP(D264,'Detalhamento - G200'!A:A,'Detalhamento - G200'!B:B,0)</f>
        <v>CONTENÇÕES</v>
      </c>
      <c r="F264" s="175">
        <v>94659</v>
      </c>
      <c r="G264" s="175">
        <v>15695</v>
      </c>
      <c r="H264" s="146" t="s">
        <v>790</v>
      </c>
      <c r="I264" s="173">
        <v>46149</v>
      </c>
      <c r="J264" s="173">
        <v>46178</v>
      </c>
      <c r="K264" s="146" t="s">
        <v>987</v>
      </c>
      <c r="L264" s="146" t="s">
        <v>985</v>
      </c>
      <c r="M264" s="154">
        <v>11985.26</v>
      </c>
      <c r="N264" s="154">
        <v>0</v>
      </c>
      <c r="O264" s="154">
        <v>0</v>
      </c>
      <c r="P264" s="154">
        <v>0</v>
      </c>
      <c r="Q264" s="154">
        <v>0</v>
      </c>
      <c r="R264" s="154">
        <v>0</v>
      </c>
      <c r="S264" s="154">
        <f t="shared" si="61"/>
        <v>11985.26</v>
      </c>
      <c r="T264" s="154">
        <f t="shared" si="62"/>
        <v>11985.26</v>
      </c>
      <c r="V264" s="146" t="s">
        <v>989</v>
      </c>
      <c r="W264" s="146" t="s">
        <v>731</v>
      </c>
    </row>
    <row r="265" spans="2:23" ht="36">
      <c r="B265" s="146" t="s">
        <v>1062</v>
      </c>
      <c r="D265" s="146">
        <v>2001007003</v>
      </c>
      <c r="E265" s="146" t="str">
        <f>_xlfn.XLOOKUP(D265,'Detalhamento - G200'!A:A,'Detalhamento - G200'!B:B,0)</f>
        <v>INTERNET LINK DEDICADO 100MBP</v>
      </c>
      <c r="F265" s="175">
        <v>95275</v>
      </c>
      <c r="G265" s="175">
        <v>3102</v>
      </c>
      <c r="H265" s="146" t="s">
        <v>890</v>
      </c>
      <c r="I265" s="173">
        <v>46161</v>
      </c>
      <c r="J265" s="173">
        <v>46178</v>
      </c>
      <c r="K265" s="146" t="s">
        <v>1057</v>
      </c>
      <c r="L265" s="146" t="s">
        <v>386</v>
      </c>
      <c r="M265" s="154">
        <v>800</v>
      </c>
      <c r="N265" s="154">
        <v>0</v>
      </c>
      <c r="O265" s="154">
        <v>0</v>
      </c>
      <c r="P265" s="154">
        <v>0</v>
      </c>
      <c r="Q265" s="154">
        <v>0</v>
      </c>
      <c r="R265" s="154">
        <v>0</v>
      </c>
      <c r="S265" s="154">
        <f t="shared" si="61"/>
        <v>800</v>
      </c>
      <c r="T265" s="154">
        <f t="shared" si="62"/>
        <v>800</v>
      </c>
      <c r="V265" s="146" t="s">
        <v>385</v>
      </c>
      <c r="W265" s="146" t="s">
        <v>385</v>
      </c>
    </row>
    <row r="266" spans="2:23" ht="36">
      <c r="B266" s="146" t="s">
        <v>1062</v>
      </c>
      <c r="D266" s="146">
        <v>2001001002</v>
      </c>
      <c r="E266" s="146" t="str">
        <f>_xlfn.XLOOKUP(D266,'Detalhamento - G200'!A:A,'Detalhamento - G200'!B:B,0)</f>
        <v>IMPLANTAÇÃO DE CANTEIRO - ELETRICA</v>
      </c>
      <c r="F266" s="175">
        <v>94852</v>
      </c>
      <c r="G266" s="175">
        <v>81208</v>
      </c>
      <c r="H266" s="146" t="s">
        <v>790</v>
      </c>
      <c r="I266" s="173">
        <v>46150</v>
      </c>
      <c r="J266" s="173">
        <v>46180</v>
      </c>
      <c r="K266" s="146" t="s">
        <v>854</v>
      </c>
      <c r="L266" s="146" t="s">
        <v>851</v>
      </c>
      <c r="M266" s="154">
        <v>758.5</v>
      </c>
      <c r="N266" s="154">
        <v>0</v>
      </c>
      <c r="O266" s="154">
        <v>0</v>
      </c>
      <c r="P266" s="154">
        <v>0</v>
      </c>
      <c r="Q266" s="154">
        <v>0</v>
      </c>
      <c r="R266" s="154">
        <v>0</v>
      </c>
      <c r="S266" s="154">
        <f t="shared" si="61"/>
        <v>758.5</v>
      </c>
      <c r="T266" s="154">
        <f t="shared" si="62"/>
        <v>758.5</v>
      </c>
      <c r="V266" s="146" t="s">
        <v>870</v>
      </c>
      <c r="W266" s="146" t="s">
        <v>870</v>
      </c>
    </row>
    <row r="267" spans="2:23" ht="36">
      <c r="B267" s="146" t="s">
        <v>1062</v>
      </c>
      <c r="D267" s="146">
        <v>1001005001</v>
      </c>
      <c r="E267" s="146" t="str">
        <f>_xlfn.XLOOKUP(D267,'Detalhamento - G200'!A:A,'Detalhamento - G200'!B:B,0)</f>
        <v>ELETRICA, HIDRÁULICA E COMBATE A INCÊNDIO - MEP</v>
      </c>
      <c r="F267" s="175">
        <v>94853</v>
      </c>
      <c r="G267" s="175">
        <v>81198</v>
      </c>
      <c r="H267" s="146" t="s">
        <v>790</v>
      </c>
      <c r="I267" s="173">
        <v>46150</v>
      </c>
      <c r="J267" s="173">
        <v>46180</v>
      </c>
      <c r="K267" s="146" t="s">
        <v>854</v>
      </c>
      <c r="L267" s="146" t="s">
        <v>851</v>
      </c>
      <c r="M267" s="154">
        <v>540</v>
      </c>
      <c r="N267" s="154">
        <v>0</v>
      </c>
      <c r="O267" s="154">
        <v>0</v>
      </c>
      <c r="P267" s="154">
        <v>0</v>
      </c>
      <c r="Q267" s="154">
        <v>0</v>
      </c>
      <c r="R267" s="154">
        <v>0</v>
      </c>
      <c r="S267" s="154">
        <f t="shared" si="61"/>
        <v>540</v>
      </c>
      <c r="T267" s="154">
        <f t="shared" si="62"/>
        <v>540</v>
      </c>
      <c r="V267" s="146" t="s">
        <v>895</v>
      </c>
      <c r="W267" s="146" t="s">
        <v>895</v>
      </c>
    </row>
    <row r="268" spans="2:23" ht="36">
      <c r="B268" s="146" t="s">
        <v>1062</v>
      </c>
      <c r="D268" s="146">
        <v>2001001002</v>
      </c>
      <c r="E268" s="146" t="str">
        <f>_xlfn.XLOOKUP(D268,'Detalhamento - G200'!A:A,'Detalhamento - G200'!B:B,0)</f>
        <v>IMPLANTAÇÃO DE CANTEIRO - ELETRICA</v>
      </c>
      <c r="F268" s="175">
        <v>94853</v>
      </c>
      <c r="G268" s="175">
        <v>81198</v>
      </c>
      <c r="H268" s="146" t="s">
        <v>790</v>
      </c>
      <c r="I268" s="173">
        <v>46150</v>
      </c>
      <c r="J268" s="173">
        <v>46180</v>
      </c>
      <c r="K268" s="146" t="s">
        <v>854</v>
      </c>
      <c r="L268" s="146" t="s">
        <v>851</v>
      </c>
      <c r="M268" s="154">
        <v>219.6</v>
      </c>
      <c r="N268" s="154">
        <v>0</v>
      </c>
      <c r="O268" s="154">
        <v>0</v>
      </c>
      <c r="P268" s="154">
        <v>0</v>
      </c>
      <c r="Q268" s="154">
        <v>0</v>
      </c>
      <c r="R268" s="154">
        <v>0</v>
      </c>
      <c r="S268" s="154">
        <f t="shared" si="61"/>
        <v>219.6</v>
      </c>
      <c r="T268" s="154">
        <f t="shared" si="62"/>
        <v>219.6</v>
      </c>
      <c r="V268" s="146" t="s">
        <v>895</v>
      </c>
      <c r="W268" s="146" t="s">
        <v>895</v>
      </c>
    </row>
    <row r="269" spans="2:23">
      <c r="B269" s="146" t="s">
        <v>1062</v>
      </c>
      <c r="D269" s="146">
        <v>2001001010</v>
      </c>
      <c r="E269" s="146" t="str">
        <f>_xlfn.XLOOKUP(D269,'Detalhamento - G200'!A:A,'Detalhamento - G200'!B:B,0)</f>
        <v>MANUTENÇÃO DE CANTEIRO</v>
      </c>
      <c r="F269" s="175">
        <v>94661</v>
      </c>
      <c r="G269" s="175">
        <v>7370</v>
      </c>
      <c r="H269" s="146" t="s">
        <v>790</v>
      </c>
      <c r="I269" s="173">
        <v>46153</v>
      </c>
      <c r="J269" s="173">
        <v>46183</v>
      </c>
      <c r="K269" s="146" t="s">
        <v>1058</v>
      </c>
      <c r="L269" s="146" t="s">
        <v>747</v>
      </c>
      <c r="M269" s="154">
        <v>1483.92</v>
      </c>
      <c r="N269" s="154">
        <v>0</v>
      </c>
      <c r="O269" s="154">
        <v>0</v>
      </c>
      <c r="P269" s="154">
        <v>0</v>
      </c>
      <c r="Q269" s="154">
        <v>0</v>
      </c>
      <c r="R269" s="154">
        <v>0</v>
      </c>
      <c r="S269" s="154">
        <f t="shared" si="61"/>
        <v>1483.92</v>
      </c>
      <c r="T269" s="154">
        <f t="shared" si="62"/>
        <v>1483.92</v>
      </c>
      <c r="V269" s="146" t="s">
        <v>748</v>
      </c>
      <c r="W269" s="146" t="s">
        <v>748</v>
      </c>
    </row>
    <row r="270" spans="2:23" ht="36">
      <c r="B270" s="146" t="s">
        <v>1062</v>
      </c>
      <c r="D270" s="146">
        <v>2001001006</v>
      </c>
      <c r="E270" s="146" t="str">
        <f>_xlfn.XLOOKUP(D270,'Detalhamento - G200'!A:A,'Detalhamento - G200'!B:B,0)</f>
        <v>IMPLANTAÇÃO DE CANTEIRO - CIVIL</v>
      </c>
      <c r="F270" s="175">
        <v>94661</v>
      </c>
      <c r="G270" s="175">
        <v>7370</v>
      </c>
      <c r="H270" s="146" t="s">
        <v>790</v>
      </c>
      <c r="I270" s="173">
        <v>46153</v>
      </c>
      <c r="J270" s="173">
        <v>46183</v>
      </c>
      <c r="K270" s="146" t="s">
        <v>1058</v>
      </c>
      <c r="L270" s="146" t="s">
        <v>747</v>
      </c>
      <c r="M270" s="154">
        <v>262.5</v>
      </c>
      <c r="N270" s="154">
        <v>0</v>
      </c>
      <c r="O270" s="154">
        <v>0</v>
      </c>
      <c r="P270" s="154">
        <v>0</v>
      </c>
      <c r="Q270" s="154">
        <v>0</v>
      </c>
      <c r="R270" s="154">
        <v>0</v>
      </c>
      <c r="S270" s="154">
        <f t="shared" si="61"/>
        <v>262.5</v>
      </c>
      <c r="T270" s="154">
        <f t="shared" si="62"/>
        <v>262.5</v>
      </c>
      <c r="V270" s="146" t="s">
        <v>748</v>
      </c>
      <c r="W270" s="146" t="s">
        <v>748</v>
      </c>
    </row>
    <row r="271" spans="2:23">
      <c r="B271" s="146" t="s">
        <v>1062</v>
      </c>
      <c r="D271" s="146">
        <v>1001006006</v>
      </c>
      <c r="E271" s="146" t="str">
        <f>_xlfn.XLOOKUP(D271,'Detalhamento - G200'!A:A,'Detalhamento - G200'!B:B,0)</f>
        <v>ETE</v>
      </c>
      <c r="F271" s="175">
        <v>94661</v>
      </c>
      <c r="G271" s="175">
        <v>7370</v>
      </c>
      <c r="H271" s="146" t="s">
        <v>790</v>
      </c>
      <c r="I271" s="173">
        <v>46153</v>
      </c>
      <c r="J271" s="173">
        <v>46183</v>
      </c>
      <c r="K271" s="146" t="s">
        <v>1058</v>
      </c>
      <c r="L271" s="146" t="s">
        <v>747</v>
      </c>
      <c r="M271" s="154">
        <v>693.18</v>
      </c>
      <c r="N271" s="154">
        <v>0</v>
      </c>
      <c r="O271" s="154">
        <v>0</v>
      </c>
      <c r="P271" s="154">
        <v>0</v>
      </c>
      <c r="Q271" s="154">
        <v>0</v>
      </c>
      <c r="R271" s="154">
        <v>0</v>
      </c>
      <c r="S271" s="154">
        <f t="shared" si="61"/>
        <v>693.18</v>
      </c>
      <c r="T271" s="154">
        <f t="shared" si="62"/>
        <v>693.18</v>
      </c>
      <c r="V271" s="146" t="s">
        <v>748</v>
      </c>
      <c r="W271" s="146" t="s">
        <v>748</v>
      </c>
    </row>
    <row r="272" spans="2:23" ht="36">
      <c r="B272" s="146" t="s">
        <v>1062</v>
      </c>
      <c r="D272" s="146">
        <v>1001005001</v>
      </c>
      <c r="E272" s="146" t="str">
        <f>_xlfn.XLOOKUP(D272,'Detalhamento - G200'!A:A,'Detalhamento - G200'!B:B,0)</f>
        <v>ELETRICA, HIDRÁULICA E COMBATE A INCÊNDIO - MEP</v>
      </c>
      <c r="F272" s="175">
        <v>94847</v>
      </c>
      <c r="G272" s="175">
        <v>290331</v>
      </c>
      <c r="H272" s="146" t="s">
        <v>790</v>
      </c>
      <c r="I272" s="173">
        <v>46153</v>
      </c>
      <c r="J272" s="173">
        <v>46183</v>
      </c>
      <c r="K272" s="146" t="s">
        <v>606</v>
      </c>
      <c r="L272" s="146" t="s">
        <v>284</v>
      </c>
      <c r="M272" s="154">
        <v>72.569999999999993</v>
      </c>
      <c r="N272" s="154">
        <v>0</v>
      </c>
      <c r="O272" s="154">
        <v>0</v>
      </c>
      <c r="P272" s="154">
        <v>0</v>
      </c>
      <c r="Q272" s="154">
        <v>0</v>
      </c>
      <c r="R272" s="154">
        <v>0</v>
      </c>
      <c r="S272" s="154">
        <f t="shared" si="61"/>
        <v>72.569999999999993</v>
      </c>
      <c r="T272" s="154">
        <f t="shared" si="62"/>
        <v>72.569999999999993</v>
      </c>
      <c r="V272" s="146" t="s">
        <v>873</v>
      </c>
      <c r="W272" s="146" t="s">
        <v>873</v>
      </c>
    </row>
    <row r="273" spans="2:23" ht="36">
      <c r="B273" s="146" t="s">
        <v>1062</v>
      </c>
      <c r="D273" s="146">
        <v>2001001002</v>
      </c>
      <c r="E273" s="146" t="str">
        <f>_xlfn.XLOOKUP(D273,'Detalhamento - G200'!A:A,'Detalhamento - G200'!B:B,0)</f>
        <v>IMPLANTAÇÃO DE CANTEIRO - ELETRICA</v>
      </c>
      <c r="F273" s="175">
        <v>94847</v>
      </c>
      <c r="G273" s="175">
        <v>290331</v>
      </c>
      <c r="H273" s="146" t="s">
        <v>790</v>
      </c>
      <c r="I273" s="173">
        <v>46153</v>
      </c>
      <c r="J273" s="173">
        <v>46183</v>
      </c>
      <c r="K273" s="146" t="s">
        <v>606</v>
      </c>
      <c r="L273" s="146" t="s">
        <v>284</v>
      </c>
      <c r="M273" s="154">
        <v>236.3</v>
      </c>
      <c r="N273" s="154">
        <v>0</v>
      </c>
      <c r="O273" s="154">
        <v>0</v>
      </c>
      <c r="P273" s="154">
        <v>0</v>
      </c>
      <c r="Q273" s="154">
        <v>0</v>
      </c>
      <c r="R273" s="154">
        <v>0</v>
      </c>
      <c r="S273" s="154">
        <f t="shared" si="61"/>
        <v>236.3</v>
      </c>
      <c r="T273" s="154">
        <f t="shared" si="62"/>
        <v>236.3</v>
      </c>
      <c r="V273" s="146" t="s">
        <v>873</v>
      </c>
      <c r="W273" s="146" t="s">
        <v>873</v>
      </c>
    </row>
    <row r="274" spans="2:23" ht="54">
      <c r="B274" s="146" t="s">
        <v>1062</v>
      </c>
      <c r="D274" s="146">
        <v>1001005001</v>
      </c>
      <c r="E274" s="146" t="str">
        <f>_xlfn.XLOOKUP(D274,'Detalhamento - G200'!A:A,'Detalhamento - G200'!B:B,0)</f>
        <v>ELETRICA, HIDRÁULICA E COMBATE A INCÊNDIO - MEP</v>
      </c>
      <c r="F274" s="175">
        <v>94808</v>
      </c>
      <c r="G274" s="175">
        <v>1289501</v>
      </c>
      <c r="H274" s="146" t="s">
        <v>812</v>
      </c>
      <c r="I274" s="173">
        <v>46141</v>
      </c>
      <c r="J274" s="173">
        <v>46171</v>
      </c>
      <c r="K274" s="146" t="s">
        <v>1059</v>
      </c>
      <c r="L274" s="146" t="s">
        <v>705</v>
      </c>
      <c r="M274" s="154">
        <v>814883.18</v>
      </c>
      <c r="N274" s="154">
        <v>0</v>
      </c>
      <c r="O274" s="154">
        <v>0</v>
      </c>
      <c r="P274" s="154">
        <v>0</v>
      </c>
      <c r="Q274" s="154">
        <v>0</v>
      </c>
      <c r="R274" s="154">
        <v>0</v>
      </c>
      <c r="S274" s="154">
        <f t="shared" si="61"/>
        <v>814883.18</v>
      </c>
      <c r="T274" s="154">
        <f t="shared" si="62"/>
        <v>814883.18</v>
      </c>
      <c r="V274" s="146" t="s">
        <v>706</v>
      </c>
      <c r="W274" s="146" t="s">
        <v>765</v>
      </c>
    </row>
    <row r="275" spans="2:23" ht="54">
      <c r="B275" s="146" t="s">
        <v>1062</v>
      </c>
      <c r="D275" s="146">
        <v>1002003001</v>
      </c>
      <c r="E275" s="146" t="str">
        <f>_xlfn.XLOOKUP(D275,'Detalhamento - G200'!A:A,'Detalhamento - G200'!B:B,0)</f>
        <v>ELETRICA, HIDRÁULICA E COMBATE A INCÊNDIO</v>
      </c>
      <c r="F275" s="175">
        <v>94808</v>
      </c>
      <c r="G275" s="175">
        <v>1289501</v>
      </c>
      <c r="H275" s="146" t="s">
        <v>812</v>
      </c>
      <c r="I275" s="173">
        <v>46141</v>
      </c>
      <c r="J275" s="173">
        <v>46171</v>
      </c>
      <c r="K275" s="146" t="s">
        <v>1059</v>
      </c>
      <c r="L275" s="146" t="s">
        <v>705</v>
      </c>
      <c r="M275" s="154">
        <v>814883.18</v>
      </c>
      <c r="N275" s="154">
        <v>0</v>
      </c>
      <c r="O275" s="154">
        <v>0</v>
      </c>
      <c r="P275" s="154">
        <v>0</v>
      </c>
      <c r="Q275" s="154">
        <v>0</v>
      </c>
      <c r="R275" s="154">
        <v>0</v>
      </c>
      <c r="S275" s="154">
        <f t="shared" si="61"/>
        <v>814883.18</v>
      </c>
      <c r="T275" s="154">
        <f t="shared" si="62"/>
        <v>814883.18</v>
      </c>
      <c r="V275" s="146" t="s">
        <v>706</v>
      </c>
      <c r="W275" s="146" t="s">
        <v>765</v>
      </c>
    </row>
    <row r="276" spans="2:23" ht="54">
      <c r="B276" s="146" t="s">
        <v>1062</v>
      </c>
      <c r="D276" s="146">
        <v>1001005001</v>
      </c>
      <c r="E276" s="146" t="str">
        <f>_xlfn.XLOOKUP(D276,'Detalhamento - G200'!A:A,'Detalhamento - G200'!B:B,0)</f>
        <v>ELETRICA, HIDRÁULICA E COMBATE A INCÊNDIO - MEP</v>
      </c>
      <c r="F276" s="175">
        <v>94925</v>
      </c>
      <c r="G276" s="175">
        <v>289864</v>
      </c>
      <c r="H276" s="146" t="s">
        <v>812</v>
      </c>
      <c r="I276" s="173">
        <v>46156</v>
      </c>
      <c r="J276" s="173">
        <v>46171</v>
      </c>
      <c r="K276" s="146" t="s">
        <v>1060</v>
      </c>
      <c r="L276" s="146" t="s">
        <v>1053</v>
      </c>
      <c r="M276" s="154">
        <v>175269</v>
      </c>
      <c r="N276" s="154">
        <v>0</v>
      </c>
      <c r="O276" s="154">
        <v>0</v>
      </c>
      <c r="P276" s="154">
        <v>0</v>
      </c>
      <c r="Q276" s="154">
        <v>0</v>
      </c>
      <c r="R276" s="154">
        <v>0</v>
      </c>
      <c r="S276" s="154">
        <f t="shared" si="61"/>
        <v>175269</v>
      </c>
      <c r="T276" s="154">
        <f t="shared" si="62"/>
        <v>175269</v>
      </c>
      <c r="V276" s="146" t="s">
        <v>727</v>
      </c>
      <c r="W276" s="146" t="s">
        <v>765</v>
      </c>
    </row>
    <row r="277" spans="2:23" ht="54">
      <c r="B277" s="146" t="s">
        <v>1062</v>
      </c>
      <c r="D277" s="146">
        <v>1001005001</v>
      </c>
      <c r="E277" s="146" t="str">
        <f>_xlfn.XLOOKUP(D277,'Detalhamento - G200'!A:A,'Detalhamento - G200'!B:B,0)</f>
        <v>ELETRICA, HIDRÁULICA E COMBATE A INCÊNDIO - MEP</v>
      </c>
      <c r="F277" s="175">
        <v>94925</v>
      </c>
      <c r="G277" s="175">
        <v>289864</v>
      </c>
      <c r="H277" s="146" t="s">
        <v>812</v>
      </c>
      <c r="I277" s="173">
        <v>46156</v>
      </c>
      <c r="J277" s="173">
        <v>46286</v>
      </c>
      <c r="K277" s="146" t="s">
        <v>1060</v>
      </c>
      <c r="L277" s="146" t="s">
        <v>1053</v>
      </c>
      <c r="M277" s="154">
        <v>175269</v>
      </c>
      <c r="N277" s="154">
        <v>0</v>
      </c>
      <c r="O277" s="154">
        <v>0</v>
      </c>
      <c r="P277" s="154">
        <v>0</v>
      </c>
      <c r="Q277" s="154">
        <v>0</v>
      </c>
      <c r="R277" s="154">
        <v>0</v>
      </c>
      <c r="S277" s="154">
        <f t="shared" si="61"/>
        <v>175269</v>
      </c>
      <c r="T277" s="154">
        <f t="shared" si="62"/>
        <v>175269</v>
      </c>
      <c r="V277" s="146" t="s">
        <v>727</v>
      </c>
      <c r="W277" s="146" t="s">
        <v>765</v>
      </c>
    </row>
    <row r="278" spans="2:23" ht="54">
      <c r="B278" s="146" t="s">
        <v>1062</v>
      </c>
      <c r="D278" s="146">
        <v>1002003001</v>
      </c>
      <c r="E278" s="146" t="str">
        <f>_xlfn.XLOOKUP(D278,'Detalhamento - G200'!A:A,'Detalhamento - G200'!B:B,0)</f>
        <v>ELETRICA, HIDRÁULICA E COMBATE A INCÊNDIO</v>
      </c>
      <c r="F278" s="175">
        <v>94929</v>
      </c>
      <c r="G278" s="175">
        <v>51864</v>
      </c>
      <c r="H278" s="146" t="s">
        <v>812</v>
      </c>
      <c r="I278" s="173">
        <v>46156</v>
      </c>
      <c r="J278" s="173">
        <v>46171</v>
      </c>
      <c r="K278" s="146" t="s">
        <v>1061</v>
      </c>
      <c r="L278" s="146" t="s">
        <v>993</v>
      </c>
      <c r="M278" s="154">
        <v>513756.51</v>
      </c>
      <c r="N278" s="154">
        <v>0</v>
      </c>
      <c r="O278" s="154">
        <v>0</v>
      </c>
      <c r="P278" s="154">
        <v>0</v>
      </c>
      <c r="Q278" s="154">
        <v>0</v>
      </c>
      <c r="R278" s="154">
        <v>0</v>
      </c>
      <c r="S278" s="154">
        <f t="shared" si="61"/>
        <v>513756.51</v>
      </c>
      <c r="T278" s="154">
        <f t="shared" si="62"/>
        <v>513756.51</v>
      </c>
      <c r="V278" s="146" t="s">
        <v>1064</v>
      </c>
      <c r="W278" s="146" t="s">
        <v>765</v>
      </c>
    </row>
    <row r="279" spans="2:23">
      <c r="H279" s="146"/>
    </row>
    <row r="280" spans="2:23">
      <c r="H280" s="146"/>
    </row>
    <row r="281" spans="2:23">
      <c r="H281" s="146"/>
    </row>
    <row r="282" spans="2:23">
      <c r="H282" s="146"/>
    </row>
    <row r="283" spans="2:23">
      <c r="H283" s="146"/>
    </row>
    <row r="284" spans="2:23">
      <c r="H284" s="146"/>
    </row>
    <row r="285" spans="2:23">
      <c r="H285" s="146"/>
    </row>
    <row r="286" spans="2:23">
      <c r="H286" s="146"/>
    </row>
    <row r="287" spans="2:23">
      <c r="H287" s="146"/>
    </row>
    <row r="288" spans="2:23">
      <c r="H288" s="146"/>
    </row>
    <row r="289" spans="8:8">
      <c r="H289" s="146"/>
    </row>
    <row r="290" spans="8:8">
      <c r="H290" s="146"/>
    </row>
    <row r="291" spans="8:8">
      <c r="H291" s="146"/>
    </row>
    <row r="292" spans="8:8">
      <c r="H292" s="146"/>
    </row>
    <row r="293" spans="8:8">
      <c r="H293" s="146"/>
    </row>
    <row r="294" spans="8:8">
      <c r="H294" s="146"/>
    </row>
    <row r="295" spans="8:8">
      <c r="H295" s="146"/>
    </row>
    <row r="296" spans="8:8">
      <c r="H296" s="146"/>
    </row>
    <row r="297" spans="8:8">
      <c r="H297" s="146"/>
    </row>
    <row r="298" spans="8:8">
      <c r="H298" s="146"/>
    </row>
    <row r="299" spans="8:8">
      <c r="H299" s="146"/>
    </row>
    <row r="300" spans="8:8">
      <c r="H300" s="146"/>
    </row>
    <row r="301" spans="8:8">
      <c r="H301" s="146"/>
    </row>
    <row r="302" spans="8:8">
      <c r="H302" s="146"/>
    </row>
    <row r="303" spans="8:8">
      <c r="H303" s="146"/>
    </row>
    <row r="304" spans="8:8">
      <c r="H304" s="146"/>
    </row>
    <row r="305" spans="8:8">
      <c r="H305" s="146"/>
    </row>
    <row r="306" spans="8:8">
      <c r="H306" s="146"/>
    </row>
    <row r="307" spans="8:8">
      <c r="H307" s="146"/>
    </row>
    <row r="308" spans="8:8">
      <c r="H308" s="146"/>
    </row>
    <row r="309" spans="8:8">
      <c r="H309" s="146"/>
    </row>
    <row r="310" spans="8:8">
      <c r="H310" s="146"/>
    </row>
    <row r="311" spans="8:8">
      <c r="H311" s="146"/>
    </row>
    <row r="312" spans="8:8">
      <c r="H312" s="146"/>
    </row>
    <row r="313" spans="8:8">
      <c r="H313" s="146"/>
    </row>
    <row r="314" spans="8:8">
      <c r="H314" s="146"/>
    </row>
    <row r="315" spans="8:8">
      <c r="H315" s="146"/>
    </row>
    <row r="316" spans="8:8">
      <c r="H316" s="146"/>
    </row>
    <row r="317" spans="8:8">
      <c r="H317" s="146"/>
    </row>
    <row r="318" spans="8:8">
      <c r="H318" s="146"/>
    </row>
    <row r="319" spans="8:8">
      <c r="H319" s="146"/>
    </row>
    <row r="320" spans="8:8">
      <c r="H320" s="146"/>
    </row>
    <row r="321" spans="8:8">
      <c r="H321" s="146"/>
    </row>
    <row r="322" spans="8:8">
      <c r="H322" s="146"/>
    </row>
    <row r="323" spans="8:8">
      <c r="H323" s="146"/>
    </row>
    <row r="324" spans="8:8">
      <c r="H324" s="146"/>
    </row>
    <row r="325" spans="8:8">
      <c r="H325" s="146"/>
    </row>
    <row r="326" spans="8:8">
      <c r="H326" s="146"/>
    </row>
    <row r="327" spans="8:8">
      <c r="H327" s="146"/>
    </row>
    <row r="328" spans="8:8">
      <c r="H328" s="146"/>
    </row>
    <row r="329" spans="8:8">
      <c r="H329" s="146"/>
    </row>
    <row r="330" spans="8:8">
      <c r="H330" s="146"/>
    </row>
    <row r="331" spans="8:8">
      <c r="H331" s="146"/>
    </row>
    <row r="332" spans="8:8">
      <c r="H332" s="146"/>
    </row>
    <row r="333" spans="8:8">
      <c r="H333" s="146"/>
    </row>
    <row r="334" spans="8:8">
      <c r="H334" s="146"/>
    </row>
    <row r="335" spans="8:8">
      <c r="H335" s="146"/>
    </row>
    <row r="336" spans="8:8">
      <c r="H336" s="146"/>
    </row>
    <row r="337" spans="8:8">
      <c r="H337" s="146"/>
    </row>
    <row r="338" spans="8:8">
      <c r="H338" s="146"/>
    </row>
    <row r="339" spans="8:8">
      <c r="H339" s="146"/>
    </row>
    <row r="340" spans="8:8">
      <c r="H340" s="146"/>
    </row>
    <row r="341" spans="8:8">
      <c r="H341" s="146"/>
    </row>
    <row r="342" spans="8:8">
      <c r="H342" s="146"/>
    </row>
    <row r="343" spans="8:8">
      <c r="H343" s="146"/>
    </row>
    <row r="344" spans="8:8">
      <c r="H344" s="146"/>
    </row>
    <row r="345" spans="8:8">
      <c r="H345" s="146"/>
    </row>
    <row r="346" spans="8:8">
      <c r="H346" s="146"/>
    </row>
    <row r="347" spans="8:8">
      <c r="H347" s="146"/>
    </row>
    <row r="348" spans="8:8">
      <c r="H348" s="146"/>
    </row>
    <row r="349" spans="8:8">
      <c r="H349" s="146"/>
    </row>
    <row r="350" spans="8:8">
      <c r="H350" s="146"/>
    </row>
    <row r="351" spans="8:8">
      <c r="H351" s="146"/>
    </row>
    <row r="352" spans="8:8">
      <c r="H352" s="146"/>
    </row>
    <row r="353" spans="8:8">
      <c r="H353" s="146"/>
    </row>
    <row r="354" spans="8:8">
      <c r="H354" s="146"/>
    </row>
    <row r="355" spans="8:8">
      <c r="H355" s="146"/>
    </row>
    <row r="356" spans="8:8">
      <c r="H356" s="146"/>
    </row>
    <row r="357" spans="8:8">
      <c r="H357" s="146"/>
    </row>
    <row r="358" spans="8:8">
      <c r="H358" s="146"/>
    </row>
    <row r="359" spans="8:8">
      <c r="H359" s="146"/>
    </row>
    <row r="360" spans="8:8">
      <c r="H360" s="146"/>
    </row>
    <row r="361" spans="8:8">
      <c r="H361" s="146"/>
    </row>
    <row r="362" spans="8:8">
      <c r="H362" s="146"/>
    </row>
    <row r="363" spans="8:8">
      <c r="H363" s="146"/>
    </row>
    <row r="364" spans="8:8">
      <c r="H364" s="146"/>
    </row>
    <row r="365" spans="8:8">
      <c r="H365" s="146"/>
    </row>
    <row r="366" spans="8:8">
      <c r="H366" s="146"/>
    </row>
    <row r="367" spans="8:8">
      <c r="H367" s="146"/>
    </row>
    <row r="368" spans="8:8">
      <c r="H368" s="146"/>
    </row>
    <row r="369" spans="8:8">
      <c r="H369" s="146"/>
    </row>
    <row r="370" spans="8:8">
      <c r="H370" s="146"/>
    </row>
    <row r="371" spans="8:8">
      <c r="H371" s="146"/>
    </row>
    <row r="372" spans="8:8">
      <c r="H372" s="146"/>
    </row>
    <row r="373" spans="8:8">
      <c r="H373" s="146"/>
    </row>
    <row r="374" spans="8:8">
      <c r="H374" s="146"/>
    </row>
    <row r="375" spans="8:8">
      <c r="H375" s="146"/>
    </row>
    <row r="376" spans="8:8">
      <c r="H376" s="146"/>
    </row>
    <row r="377" spans="8:8">
      <c r="H377" s="146"/>
    </row>
    <row r="378" spans="8:8">
      <c r="H378" s="146"/>
    </row>
    <row r="379" spans="8:8">
      <c r="H379" s="146"/>
    </row>
    <row r="380" spans="8:8">
      <c r="H380" s="146"/>
    </row>
    <row r="381" spans="8:8">
      <c r="H381" s="146"/>
    </row>
    <row r="382" spans="8:8">
      <c r="H382" s="146"/>
    </row>
    <row r="383" spans="8:8">
      <c r="H383" s="146"/>
    </row>
    <row r="384" spans="8:8">
      <c r="H384" s="146"/>
    </row>
    <row r="385" spans="8:8">
      <c r="H385" s="146"/>
    </row>
    <row r="386" spans="8:8">
      <c r="H386" s="146"/>
    </row>
    <row r="387" spans="8:8">
      <c r="H387" s="146"/>
    </row>
    <row r="388" spans="8:8">
      <c r="H388" s="146"/>
    </row>
    <row r="389" spans="8:8">
      <c r="H389" s="146"/>
    </row>
    <row r="390" spans="8:8">
      <c r="H390" s="146"/>
    </row>
    <row r="391" spans="8:8">
      <c r="H391" s="146"/>
    </row>
    <row r="392" spans="8:8">
      <c r="H392" s="146"/>
    </row>
    <row r="393" spans="8:8">
      <c r="H393" s="146"/>
    </row>
    <row r="394" spans="8:8">
      <c r="H394" s="146"/>
    </row>
    <row r="395" spans="8:8">
      <c r="H395" s="146"/>
    </row>
    <row r="396" spans="8:8">
      <c r="H396" s="146"/>
    </row>
    <row r="397" spans="8:8">
      <c r="H397" s="146"/>
    </row>
    <row r="398" spans="8:8">
      <c r="H398" s="146"/>
    </row>
    <row r="399" spans="8:8">
      <c r="H399" s="146"/>
    </row>
    <row r="400" spans="8:8">
      <c r="H400" s="146"/>
    </row>
    <row r="401" spans="8:8">
      <c r="H401" s="146"/>
    </row>
    <row r="402" spans="8:8">
      <c r="H402" s="146"/>
    </row>
    <row r="403" spans="8:8">
      <c r="H403" s="146"/>
    </row>
    <row r="404" spans="8:8">
      <c r="H404" s="146"/>
    </row>
    <row r="405" spans="8:8">
      <c r="H405" s="146"/>
    </row>
    <row r="406" spans="8:8">
      <c r="H406" s="146"/>
    </row>
    <row r="407" spans="8:8">
      <c r="H407" s="146"/>
    </row>
    <row r="408" spans="8:8">
      <c r="H408" s="146"/>
    </row>
    <row r="409" spans="8:8">
      <c r="H409" s="146"/>
    </row>
    <row r="410" spans="8:8">
      <c r="H410" s="146"/>
    </row>
    <row r="411" spans="8:8">
      <c r="H411" s="146"/>
    </row>
    <row r="412" spans="8:8">
      <c r="H412" s="146"/>
    </row>
    <row r="413" spans="8:8">
      <c r="H413" s="146"/>
    </row>
    <row r="414" spans="8:8">
      <c r="H414" s="146"/>
    </row>
    <row r="415" spans="8:8">
      <c r="H415" s="146"/>
    </row>
    <row r="416" spans="8:8">
      <c r="H416" s="146"/>
    </row>
    <row r="417" spans="8:8">
      <c r="H417" s="146"/>
    </row>
    <row r="418" spans="8:8">
      <c r="H418" s="146"/>
    </row>
    <row r="419" spans="8:8">
      <c r="H419" s="146"/>
    </row>
    <row r="420" spans="8:8">
      <c r="H420" s="146"/>
    </row>
    <row r="421" spans="8:8">
      <c r="H421" s="146"/>
    </row>
    <row r="422" spans="8:8">
      <c r="H422" s="146"/>
    </row>
    <row r="423" spans="8:8">
      <c r="H423" s="146"/>
    </row>
    <row r="424" spans="8:8">
      <c r="H424" s="146"/>
    </row>
    <row r="425" spans="8:8">
      <c r="H425" s="146"/>
    </row>
    <row r="426" spans="8:8">
      <c r="H426" s="146"/>
    </row>
    <row r="427" spans="8:8">
      <c r="H427" s="146"/>
    </row>
    <row r="428" spans="8:8">
      <c r="H428" s="146"/>
    </row>
    <row r="429" spans="8:8">
      <c r="H429" s="146"/>
    </row>
    <row r="430" spans="8:8">
      <c r="H430" s="146"/>
    </row>
    <row r="431" spans="8:8">
      <c r="H431" s="146"/>
    </row>
    <row r="432" spans="8:8">
      <c r="H432" s="146"/>
    </row>
    <row r="433" spans="8:8">
      <c r="H433" s="146"/>
    </row>
    <row r="434" spans="8:8">
      <c r="H434" s="146"/>
    </row>
    <row r="435" spans="8:8">
      <c r="H435" s="146"/>
    </row>
    <row r="436" spans="8:8">
      <c r="H436" s="146"/>
    </row>
    <row r="437" spans="8:8">
      <c r="H437" s="146"/>
    </row>
    <row r="438" spans="8:8">
      <c r="H438" s="146"/>
    </row>
    <row r="439" spans="8:8">
      <c r="H439" s="146"/>
    </row>
  </sheetData>
  <autoFilter ref="B8:W236" xr:uid="{1CD37775-D57F-47B6-B7E5-9ABCD1AE42E9}"/>
  <phoneticPr fontId="41" type="noConversion"/>
  <conditionalFormatting sqref="B1:B5 B7 H9:H439 K9:W1048576 E10:E1048576">
    <cfRule type="cellIs" dxfId="141" priority="4" operator="lessThan">
      <formula>0</formula>
    </cfRule>
  </conditionalFormatting>
  <conditionalFormatting sqref="D1:D7">
    <cfRule type="cellIs" dxfId="140" priority="5" operator="lessThan">
      <formula>0</formula>
    </cfRule>
  </conditionalFormatting>
  <conditionalFormatting sqref="E7 F9 E10:F17 E19:F39">
    <cfRule type="cellIs" dxfId="139" priority="44" operator="lessThan">
      <formula>0</formula>
    </cfRule>
  </conditionalFormatting>
  <conditionalFormatting sqref="F7 F9:F57 F62:F1048576">
    <cfRule type="duplicateValues" dxfId="138" priority="25"/>
  </conditionalFormatting>
  <conditionalFormatting sqref="F58:F61">
    <cfRule type="duplicateValues" dxfId="137" priority="11"/>
  </conditionalFormatting>
  <conditionalFormatting sqref="G169 G172:G174 G186:G1048576 G7 G9:G165">
    <cfRule type="duplicateValues" dxfId="136" priority="24"/>
  </conditionalFormatting>
  <conditionalFormatting sqref="J1:AA5">
    <cfRule type="cellIs" dxfId="135" priority="1" operator="lessThan">
      <formula>0</formula>
    </cfRule>
  </conditionalFormatting>
  <conditionalFormatting sqref="U4:W6 K6:L6 H6:K7 I7:W7">
    <cfRule type="cellIs" dxfId="134" priority="2" operator="lessThan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B8C2A-D9E3-4FAA-AE63-519A2F02D214}">
  <sheetPr>
    <tabColor theme="2" tint="-0.249977111117893"/>
    <outlinePr summaryBelow="0"/>
    <pageSetUpPr fitToPage="1"/>
  </sheetPr>
  <dimension ref="A1:K152"/>
  <sheetViews>
    <sheetView showGridLines="0" view="pageBreakPreview" zoomScale="70" zoomScaleNormal="70" zoomScaleSheetLayoutView="70" workbookViewId="0">
      <pane ySplit="2" topLeftCell="A3" activePane="bottomLeft" state="frozen"/>
      <selection activeCell="C11" sqref="C11"/>
      <selection pane="bottomLeft" activeCell="A152" sqref="A152"/>
    </sheetView>
  </sheetViews>
  <sheetFormatPr defaultColWidth="9.140625" defaultRowHeight="18" outlineLevelRow="3"/>
  <cols>
    <col min="1" max="1" width="18.85546875" style="142" bestFit="1" customWidth="1"/>
    <col min="2" max="2" width="69.7109375" style="142" customWidth="1"/>
    <col min="3" max="3" width="28" style="142" bestFit="1" customWidth="1"/>
    <col min="4" max="4" width="29.140625" style="142" bestFit="1" customWidth="1"/>
    <col min="5" max="5" width="29" style="142" bestFit="1" customWidth="1"/>
    <col min="6" max="6" width="24.140625" style="142" bestFit="1" customWidth="1"/>
    <col min="7" max="8" width="25.140625" style="142" bestFit="1" customWidth="1"/>
    <col min="9" max="9" width="21.42578125" style="142" bestFit="1" customWidth="1"/>
    <col min="10" max="10" width="10.85546875" style="142" bestFit="1" customWidth="1"/>
    <col min="11" max="11" width="173.85546875" style="142" bestFit="1" customWidth="1"/>
    <col min="12" max="16384" width="9.140625" style="142"/>
  </cols>
  <sheetData>
    <row r="1" spans="1:11" s="139" customFormat="1" ht="75.75" customHeight="1" thickBot="1">
      <c r="A1" s="265" t="s">
        <v>998</v>
      </c>
      <c r="B1" s="266"/>
      <c r="C1" s="266"/>
      <c r="D1" s="266"/>
      <c r="E1" s="266"/>
      <c r="F1" s="266"/>
      <c r="G1" s="266"/>
      <c r="H1" s="266"/>
      <c r="I1" s="267"/>
    </row>
    <row r="2" spans="1:11" s="139" customFormat="1" ht="36" customHeight="1">
      <c r="A2" s="177" t="s">
        <v>0</v>
      </c>
      <c r="B2" s="178" t="s">
        <v>1</v>
      </c>
      <c r="C2" s="179" t="s">
        <v>2</v>
      </c>
      <c r="D2" s="179" t="s">
        <v>3</v>
      </c>
      <c r="E2" s="179" t="s">
        <v>4</v>
      </c>
      <c r="F2" s="179" t="s">
        <v>5</v>
      </c>
      <c r="G2" s="179" t="s">
        <v>6</v>
      </c>
      <c r="H2" s="179" t="s">
        <v>7</v>
      </c>
      <c r="I2" s="180" t="s">
        <v>8</v>
      </c>
      <c r="K2" s="181" t="s">
        <v>433</v>
      </c>
    </row>
    <row r="3" spans="1:11" ht="20.100000000000001" customHeight="1">
      <c r="A3" s="182">
        <v>0</v>
      </c>
      <c r="B3" s="183" t="s">
        <v>9</v>
      </c>
      <c r="C3" s="184">
        <f t="shared" ref="C3:I3" si="0">SUBTOTAL(9,C4:C152)</f>
        <v>25805974.5</v>
      </c>
      <c r="D3" s="184">
        <f t="shared" si="0"/>
        <v>27884464.670000002</v>
      </c>
      <c r="E3" s="184">
        <f t="shared" si="0"/>
        <v>-2078490.169999999</v>
      </c>
      <c r="F3" s="184">
        <f t="shared" si="0"/>
        <v>3930874.83</v>
      </c>
      <c r="G3" s="184">
        <f t="shared" si="0"/>
        <v>-2078490.169999999</v>
      </c>
      <c r="H3" s="184">
        <f t="shared" si="0"/>
        <v>25805974.5</v>
      </c>
      <c r="I3" s="185">
        <f t="shared" si="0"/>
        <v>0</v>
      </c>
    </row>
    <row r="4" spans="1:11" ht="20.100000000000001" customHeight="1">
      <c r="A4" s="186">
        <v>1</v>
      </c>
      <c r="B4" s="187" t="s">
        <v>10</v>
      </c>
      <c r="C4" s="188">
        <f t="shared" ref="C4:I4" si="1">SUBTOTAL(9,C5:C8)</f>
        <v>20038493.960000001</v>
      </c>
      <c r="D4" s="188">
        <f t="shared" si="1"/>
        <v>23500000</v>
      </c>
      <c r="E4" s="188">
        <f t="shared" si="1"/>
        <v>-3461506.0399999991</v>
      </c>
      <c r="F4" s="188">
        <f t="shared" si="1"/>
        <v>2590000</v>
      </c>
      <c r="G4" s="188">
        <f t="shared" si="1"/>
        <v>-3461506.0399999991</v>
      </c>
      <c r="H4" s="188">
        <f t="shared" si="1"/>
        <v>20038493.960000001</v>
      </c>
      <c r="I4" s="189">
        <f t="shared" si="1"/>
        <v>0</v>
      </c>
    </row>
    <row r="5" spans="1:11" ht="20.100000000000001" customHeight="1" outlineLevel="1">
      <c r="A5" s="190">
        <v>1001</v>
      </c>
      <c r="B5" s="183" t="s">
        <v>434</v>
      </c>
      <c r="C5" s="191">
        <f t="shared" ref="C5:I5" si="2">SUBTOTAL(9,C6:C8)</f>
        <v>20038493.960000001</v>
      </c>
      <c r="D5" s="191">
        <f t="shared" si="2"/>
        <v>23500000</v>
      </c>
      <c r="E5" s="191">
        <f t="shared" si="2"/>
        <v>-3461506.0399999991</v>
      </c>
      <c r="F5" s="191">
        <f t="shared" si="2"/>
        <v>2590000</v>
      </c>
      <c r="G5" s="191">
        <f t="shared" si="2"/>
        <v>-3461506.0399999991</v>
      </c>
      <c r="H5" s="191">
        <f t="shared" si="2"/>
        <v>20038493.960000001</v>
      </c>
      <c r="I5" s="192">
        <f t="shared" si="2"/>
        <v>0</v>
      </c>
    </row>
    <row r="6" spans="1:11" ht="20.100000000000001" customHeight="1" outlineLevel="2">
      <c r="A6" s="193">
        <v>1001001</v>
      </c>
      <c r="B6" s="194" t="s">
        <v>435</v>
      </c>
      <c r="C6" s="195">
        <f>SUBTOTAL(9,C7:C8)</f>
        <v>20038493.960000001</v>
      </c>
      <c r="D6" s="195">
        <f t="shared" ref="D6:I6" si="3">SUBTOTAL(9,D7:D8)</f>
        <v>23500000</v>
      </c>
      <c r="E6" s="195">
        <f t="shared" si="3"/>
        <v>-3461506.0399999991</v>
      </c>
      <c r="F6" s="195">
        <f t="shared" si="3"/>
        <v>2590000</v>
      </c>
      <c r="G6" s="195">
        <f t="shared" si="3"/>
        <v>-3461506.0399999991</v>
      </c>
      <c r="H6" s="195">
        <f t="shared" si="3"/>
        <v>20038493.960000001</v>
      </c>
      <c r="I6" s="196">
        <f t="shared" si="3"/>
        <v>0</v>
      </c>
    </row>
    <row r="7" spans="1:11" ht="20.100000000000001" customHeight="1" outlineLevel="3">
      <c r="A7" s="197">
        <v>1001001001</v>
      </c>
      <c r="B7" s="198" t="s">
        <v>436</v>
      </c>
      <c r="C7" s="199">
        <v>16332395.5</v>
      </c>
      <c r="D7" s="199">
        <f>SUMIF('Contratos - Sub69'!D:D,'Detalhamento - Sub69'!A7,'Contratos - Sub69'!I:I)+SUMIF('Pedidos - Sub69'!D:D,'Detalhamento - Sub69'!A7,'Pedidos - Sub69'!G:G)</f>
        <v>3700000</v>
      </c>
      <c r="E7" s="199">
        <f t="shared" ref="E7:E8" si="4">C7-D7</f>
        <v>12632395.5</v>
      </c>
      <c r="F7" s="199">
        <f>SUMIF('Notas fiscais - Sub69'!D:D,'Detalhamento - Sub69'!A7,'Notas fiscais - Sub69'!R:R)</f>
        <v>2590000</v>
      </c>
      <c r="G7" s="199">
        <f>VLOOKUP(A7,'Projeções - Sub69'!B:F,5)</f>
        <v>12632395.5</v>
      </c>
      <c r="H7" s="199">
        <f>D7+G7</f>
        <v>16332395.5</v>
      </c>
      <c r="I7" s="200">
        <f>C7-H7</f>
        <v>0</v>
      </c>
    </row>
    <row r="8" spans="1:11" ht="20.100000000000001" customHeight="1" outlineLevel="3">
      <c r="A8" s="197">
        <v>1001001002</v>
      </c>
      <c r="B8" s="198" t="s">
        <v>437</v>
      </c>
      <c r="C8" s="199">
        <v>3706098.46</v>
      </c>
      <c r="D8" s="199">
        <f>SUMIF('Contratos - Sub69'!D:D,'Detalhamento - Sub69'!A8,'Contratos - Sub69'!I:I)+SUMIF('Pedidos - Sub69'!D:D,'Detalhamento - Sub69'!A8,'Pedidos - Sub69'!G:G)</f>
        <v>19800000</v>
      </c>
      <c r="E8" s="199">
        <f t="shared" si="4"/>
        <v>-16093901.539999999</v>
      </c>
      <c r="F8" s="199">
        <f>SUMIF('Notas fiscais - Sub69'!D:D,'Detalhamento - Sub69'!A8,'Notas fiscais - Sub69'!R:R)</f>
        <v>0</v>
      </c>
      <c r="G8" s="199">
        <f>VLOOKUP(A8,'Projeções - Sub69'!B:F,5)</f>
        <v>-16093901.539999999</v>
      </c>
      <c r="H8" s="199">
        <f>D8+G8</f>
        <v>3706098.4600000009</v>
      </c>
      <c r="I8" s="200">
        <f>C8-H8</f>
        <v>0</v>
      </c>
    </row>
    <row r="9" spans="1:11">
      <c r="A9" s="186">
        <v>2</v>
      </c>
      <c r="B9" s="187" t="s">
        <v>438</v>
      </c>
      <c r="C9" s="188">
        <f>SUBTOTAL(9,C10:C152)</f>
        <v>5767480.54</v>
      </c>
      <c r="D9" s="188">
        <f t="shared" ref="D9:I9" si="5">SUBTOTAL(9,D10:D152)</f>
        <v>4384464.67</v>
      </c>
      <c r="E9" s="188">
        <f t="shared" si="5"/>
        <v>1383015.87</v>
      </c>
      <c r="F9" s="188">
        <f t="shared" si="5"/>
        <v>1340874.8299999998</v>
      </c>
      <c r="G9" s="188">
        <f t="shared" si="5"/>
        <v>1383015.87</v>
      </c>
      <c r="H9" s="188">
        <f t="shared" si="5"/>
        <v>5767480.54</v>
      </c>
      <c r="I9" s="189">
        <f t="shared" si="5"/>
        <v>0</v>
      </c>
    </row>
    <row r="10" spans="1:11" outlineLevel="1">
      <c r="A10" s="190">
        <v>2001</v>
      </c>
      <c r="B10" s="183" t="s">
        <v>108</v>
      </c>
      <c r="C10" s="191">
        <f>SUBTOTAL(9,C11:C142)</f>
        <v>1275000</v>
      </c>
      <c r="D10" s="191">
        <f t="shared" ref="D10:I10" si="6">SUBTOTAL(9,D11:D142)</f>
        <v>0</v>
      </c>
      <c r="E10" s="191">
        <f t="shared" si="6"/>
        <v>1275000</v>
      </c>
      <c r="F10" s="191">
        <f t="shared" si="6"/>
        <v>0</v>
      </c>
      <c r="G10" s="191">
        <f t="shared" si="6"/>
        <v>1275000</v>
      </c>
      <c r="H10" s="191">
        <f t="shared" si="6"/>
        <v>1275000</v>
      </c>
      <c r="I10" s="192">
        <f t="shared" si="6"/>
        <v>0</v>
      </c>
    </row>
    <row r="11" spans="1:11" outlineLevel="2">
      <c r="A11" s="193">
        <v>2001001</v>
      </c>
      <c r="B11" s="194" t="s">
        <v>109</v>
      </c>
      <c r="C11" s="195">
        <f>SUBTOTAL(9,C12:C21)</f>
        <v>0</v>
      </c>
      <c r="D11" s="195">
        <f t="shared" ref="D11:I11" si="7">SUBTOTAL(9,D12:D21)</f>
        <v>0</v>
      </c>
      <c r="E11" s="195">
        <f t="shared" si="7"/>
        <v>0</v>
      </c>
      <c r="F11" s="195">
        <f t="shared" si="7"/>
        <v>0</v>
      </c>
      <c r="G11" s="195">
        <f t="shared" si="7"/>
        <v>0</v>
      </c>
      <c r="H11" s="195">
        <f t="shared" si="7"/>
        <v>0</v>
      </c>
      <c r="I11" s="196">
        <f t="shared" si="7"/>
        <v>0</v>
      </c>
    </row>
    <row r="12" spans="1:11" outlineLevel="3">
      <c r="A12" s="197">
        <v>2001001001</v>
      </c>
      <c r="B12" s="198" t="s">
        <v>110</v>
      </c>
      <c r="C12" s="199">
        <v>0</v>
      </c>
      <c r="D12" s="199">
        <f>SUMIF('Contratos - Sub69'!D:D,'Detalhamento - Sub69'!A12,'Contratos - Sub69'!I:I)+SUMIF('Pedidos - Sub69'!D:D,'Detalhamento - Sub69'!A12,'Pedidos - Sub69'!G:G)</f>
        <v>0</v>
      </c>
      <c r="E12" s="199">
        <f t="shared" ref="E12:E21" si="8">C12-D12</f>
        <v>0</v>
      </c>
      <c r="F12" s="199">
        <f>SUMIF('Notas fiscais - Sub69'!D:D,'Detalhamento - Sub69'!A12,'Notas fiscais - Sub69'!R:R)</f>
        <v>0</v>
      </c>
      <c r="G12" s="199">
        <f>VLOOKUP(A12,'Projeções - Sub69'!B:F,5)</f>
        <v>0</v>
      </c>
      <c r="H12" s="199">
        <f t="shared" ref="H12:H21" si="9">D12+G12</f>
        <v>0</v>
      </c>
      <c r="I12" s="200">
        <f t="shared" ref="I12:I21" si="10">C12-H12</f>
        <v>0</v>
      </c>
    </row>
    <row r="13" spans="1:11" outlineLevel="3">
      <c r="A13" s="197">
        <v>2001001002</v>
      </c>
      <c r="B13" s="198" t="s">
        <v>111</v>
      </c>
      <c r="C13" s="199">
        <v>0</v>
      </c>
      <c r="D13" s="199">
        <f>SUMIF('Contratos - Sub69'!D:D,'Detalhamento - Sub69'!A13,'Contratos - Sub69'!I:I)+SUMIF('Pedidos - Sub69'!D:D,'Detalhamento - Sub69'!A13,'Pedidos - Sub69'!G:G)</f>
        <v>0</v>
      </c>
      <c r="E13" s="199">
        <f t="shared" si="8"/>
        <v>0</v>
      </c>
      <c r="F13" s="199">
        <f>SUMIF('Notas fiscais - Sub69'!D:D,'Detalhamento - Sub69'!A13,'Notas fiscais - Sub69'!R:R)</f>
        <v>0</v>
      </c>
      <c r="G13" s="199">
        <f>VLOOKUP(A13,'Projeções - Sub69'!B:F,5)</f>
        <v>0</v>
      </c>
      <c r="H13" s="199">
        <f t="shared" si="9"/>
        <v>0</v>
      </c>
      <c r="I13" s="200">
        <f t="shared" si="10"/>
        <v>0</v>
      </c>
    </row>
    <row r="14" spans="1:11" outlineLevel="3">
      <c r="A14" s="197">
        <v>2001001003</v>
      </c>
      <c r="B14" s="198" t="s">
        <v>112</v>
      </c>
      <c r="C14" s="199">
        <v>0</v>
      </c>
      <c r="D14" s="199">
        <f>SUMIF('Contratos - Sub69'!D:D,'Detalhamento - Sub69'!A14,'Contratos - Sub69'!I:I)+SUMIF('Pedidos - Sub69'!D:D,'Detalhamento - Sub69'!A14,'Pedidos - Sub69'!G:G)</f>
        <v>0</v>
      </c>
      <c r="E14" s="199">
        <f t="shared" si="8"/>
        <v>0</v>
      </c>
      <c r="F14" s="199">
        <f>SUMIF('Notas fiscais - Sub69'!D:D,'Detalhamento - Sub69'!A14,'Notas fiscais - Sub69'!R:R)</f>
        <v>0</v>
      </c>
      <c r="G14" s="199">
        <f>VLOOKUP(A14,'Projeções - Sub69'!B:F,5)</f>
        <v>0</v>
      </c>
      <c r="H14" s="199">
        <f t="shared" si="9"/>
        <v>0</v>
      </c>
      <c r="I14" s="200">
        <f t="shared" si="10"/>
        <v>0</v>
      </c>
    </row>
    <row r="15" spans="1:11" outlineLevel="3">
      <c r="A15" s="197">
        <v>2001001004</v>
      </c>
      <c r="B15" s="198" t="s">
        <v>113</v>
      </c>
      <c r="C15" s="199">
        <v>0</v>
      </c>
      <c r="D15" s="199">
        <f>SUMIF('Contratos - Sub69'!D:D,'Detalhamento - Sub69'!A15,'Contratos - Sub69'!I:I)+SUMIF('Pedidos - Sub69'!D:D,'Detalhamento - Sub69'!A15,'Pedidos - Sub69'!G:G)</f>
        <v>0</v>
      </c>
      <c r="E15" s="199">
        <f t="shared" si="8"/>
        <v>0</v>
      </c>
      <c r="F15" s="199">
        <f>SUMIF('Notas fiscais - Sub69'!D:D,'Detalhamento - Sub69'!A15,'Notas fiscais - Sub69'!R:R)</f>
        <v>0</v>
      </c>
      <c r="G15" s="199">
        <f>VLOOKUP(A15,'Projeções - Sub69'!B:F,5)</f>
        <v>0</v>
      </c>
      <c r="H15" s="199">
        <f t="shared" si="9"/>
        <v>0</v>
      </c>
      <c r="I15" s="200">
        <f t="shared" si="10"/>
        <v>0</v>
      </c>
    </row>
    <row r="16" spans="1:11" outlineLevel="3">
      <c r="A16" s="197">
        <v>2001001005</v>
      </c>
      <c r="B16" s="198" t="s">
        <v>114</v>
      </c>
      <c r="C16" s="199">
        <v>0</v>
      </c>
      <c r="D16" s="199">
        <f>SUMIF('Contratos - Sub69'!D:D,'Detalhamento - Sub69'!A16,'Contratos - Sub69'!I:I)+SUMIF('Pedidos - Sub69'!D:D,'Detalhamento - Sub69'!A16,'Pedidos - Sub69'!G:G)</f>
        <v>0</v>
      </c>
      <c r="E16" s="199">
        <f t="shared" si="8"/>
        <v>0</v>
      </c>
      <c r="F16" s="199">
        <f>SUMIF('Notas fiscais - Sub69'!D:D,'Detalhamento - Sub69'!A16,'Notas fiscais - Sub69'!R:R)</f>
        <v>0</v>
      </c>
      <c r="G16" s="199">
        <f>VLOOKUP(A16,'Projeções - Sub69'!B:F,5)</f>
        <v>0</v>
      </c>
      <c r="H16" s="199">
        <f t="shared" si="9"/>
        <v>0</v>
      </c>
      <c r="I16" s="200">
        <f t="shared" si="10"/>
        <v>0</v>
      </c>
    </row>
    <row r="17" spans="1:9" outlineLevel="3">
      <c r="A17" s="197">
        <v>2001001006</v>
      </c>
      <c r="B17" s="198" t="s">
        <v>115</v>
      </c>
      <c r="C17" s="199">
        <v>0</v>
      </c>
      <c r="D17" s="199">
        <f>SUMIF('Contratos - Sub69'!D:D,'Detalhamento - Sub69'!A17,'Contratos - Sub69'!I:I)+SUMIF('Pedidos - Sub69'!D:D,'Detalhamento - Sub69'!A17,'Pedidos - Sub69'!G:G)</f>
        <v>0</v>
      </c>
      <c r="E17" s="199">
        <f t="shared" si="8"/>
        <v>0</v>
      </c>
      <c r="F17" s="199">
        <f>SUMIF('Notas fiscais - Sub69'!D:D,'Detalhamento - Sub69'!A17,'Notas fiscais - Sub69'!R:R)</f>
        <v>0</v>
      </c>
      <c r="G17" s="199">
        <f>VLOOKUP(A17,'Projeções - Sub69'!B:F,5)</f>
        <v>0</v>
      </c>
      <c r="H17" s="199">
        <f t="shared" si="9"/>
        <v>0</v>
      </c>
      <c r="I17" s="200">
        <f t="shared" si="10"/>
        <v>0</v>
      </c>
    </row>
    <row r="18" spans="1:9" outlineLevel="3">
      <c r="A18" s="197">
        <v>2001001007</v>
      </c>
      <c r="B18" s="198" t="s">
        <v>116</v>
      </c>
      <c r="C18" s="199">
        <v>0</v>
      </c>
      <c r="D18" s="199">
        <f>SUMIF('Contratos - Sub69'!D:D,'Detalhamento - Sub69'!A18,'Contratos - Sub69'!I:I)+SUMIF('Pedidos - Sub69'!D:D,'Detalhamento - Sub69'!A18,'Pedidos - Sub69'!G:G)</f>
        <v>0</v>
      </c>
      <c r="E18" s="199">
        <f t="shared" si="8"/>
        <v>0</v>
      </c>
      <c r="F18" s="199">
        <f>SUMIF('Notas fiscais - Sub69'!D:D,'Detalhamento - Sub69'!A18,'Notas fiscais - Sub69'!R:R)</f>
        <v>0</v>
      </c>
      <c r="G18" s="199">
        <f>VLOOKUP(A18,'Projeções - Sub69'!B:F,5)</f>
        <v>0</v>
      </c>
      <c r="H18" s="199">
        <f t="shared" si="9"/>
        <v>0</v>
      </c>
      <c r="I18" s="200">
        <f t="shared" si="10"/>
        <v>0</v>
      </c>
    </row>
    <row r="19" spans="1:9" outlineLevel="3">
      <c r="A19" s="197">
        <v>2001001008</v>
      </c>
      <c r="B19" s="198" t="s">
        <v>117</v>
      </c>
      <c r="C19" s="199">
        <v>0</v>
      </c>
      <c r="D19" s="199">
        <f>SUMIF('Contratos - Sub69'!D:D,'Detalhamento - Sub69'!A19,'Contratos - Sub69'!I:I)+SUMIF('Pedidos - Sub69'!D:D,'Detalhamento - Sub69'!A19,'Pedidos - Sub69'!G:G)</f>
        <v>0</v>
      </c>
      <c r="E19" s="199">
        <f t="shared" si="8"/>
        <v>0</v>
      </c>
      <c r="F19" s="199">
        <f>SUMIF('Notas fiscais - Sub69'!D:D,'Detalhamento - Sub69'!A19,'Notas fiscais - Sub69'!R:R)</f>
        <v>0</v>
      </c>
      <c r="G19" s="199">
        <f>VLOOKUP(A19,'Projeções - Sub69'!B:F,5)</f>
        <v>0</v>
      </c>
      <c r="H19" s="199">
        <f t="shared" si="9"/>
        <v>0</v>
      </c>
      <c r="I19" s="200">
        <f t="shared" si="10"/>
        <v>0</v>
      </c>
    </row>
    <row r="20" spans="1:9" outlineLevel="3">
      <c r="A20" s="197">
        <v>2001001009</v>
      </c>
      <c r="B20" s="198" t="s">
        <v>118</v>
      </c>
      <c r="C20" s="199">
        <v>0</v>
      </c>
      <c r="D20" s="199">
        <f>SUMIF('Contratos - Sub69'!D:D,'Detalhamento - Sub69'!A20,'Contratos - Sub69'!I:I)+SUMIF('Pedidos - Sub69'!D:D,'Detalhamento - Sub69'!A20,'Pedidos - Sub69'!G:G)</f>
        <v>0</v>
      </c>
      <c r="E20" s="199">
        <f t="shared" si="8"/>
        <v>0</v>
      </c>
      <c r="F20" s="199">
        <f>SUMIF('Notas fiscais - Sub69'!D:D,'Detalhamento - Sub69'!A20,'Notas fiscais - Sub69'!R:R)</f>
        <v>0</v>
      </c>
      <c r="G20" s="199">
        <f>VLOOKUP(A20,'Projeções - Sub69'!B:F,5)</f>
        <v>0</v>
      </c>
      <c r="H20" s="199">
        <f t="shared" si="9"/>
        <v>0</v>
      </c>
      <c r="I20" s="200">
        <f t="shared" si="10"/>
        <v>0</v>
      </c>
    </row>
    <row r="21" spans="1:9" outlineLevel="3">
      <c r="A21" s="197">
        <v>2001001010</v>
      </c>
      <c r="B21" s="198" t="s">
        <v>119</v>
      </c>
      <c r="C21" s="199">
        <v>0</v>
      </c>
      <c r="D21" s="199">
        <f>SUMIF('Contratos - Sub69'!D:D,'Detalhamento - Sub69'!A21,'Contratos - Sub69'!I:I)+SUMIF('Pedidos - Sub69'!D:D,'Detalhamento - Sub69'!A21,'Pedidos - Sub69'!G:G)</f>
        <v>0</v>
      </c>
      <c r="E21" s="199">
        <f t="shared" si="8"/>
        <v>0</v>
      </c>
      <c r="F21" s="199">
        <f>SUMIF('Notas fiscais - Sub69'!D:D,'Detalhamento - Sub69'!A21,'Notas fiscais - Sub69'!R:R)</f>
        <v>0</v>
      </c>
      <c r="G21" s="199">
        <f>VLOOKUP(A21,'Projeções - Sub69'!B:F,5)</f>
        <v>0</v>
      </c>
      <c r="H21" s="199">
        <f t="shared" si="9"/>
        <v>0</v>
      </c>
      <c r="I21" s="200">
        <f t="shared" si="10"/>
        <v>0</v>
      </c>
    </row>
    <row r="22" spans="1:9" outlineLevel="2">
      <c r="A22" s="193">
        <v>2001002</v>
      </c>
      <c r="B22" s="194" t="s">
        <v>120</v>
      </c>
      <c r="C22" s="195">
        <f>SUBTOTAL(9,C23:C25)</f>
        <v>0</v>
      </c>
      <c r="D22" s="195">
        <f t="shared" ref="D22:I22" si="11">SUBTOTAL(9,D23:D25)</f>
        <v>0</v>
      </c>
      <c r="E22" s="195">
        <f t="shared" si="11"/>
        <v>0</v>
      </c>
      <c r="F22" s="195">
        <f t="shared" si="11"/>
        <v>0</v>
      </c>
      <c r="G22" s="195">
        <f t="shared" si="11"/>
        <v>0</v>
      </c>
      <c r="H22" s="195">
        <f t="shared" si="11"/>
        <v>0</v>
      </c>
      <c r="I22" s="196">
        <f t="shared" si="11"/>
        <v>0</v>
      </c>
    </row>
    <row r="23" spans="1:9" outlineLevel="3">
      <c r="A23" s="197">
        <v>2001002001</v>
      </c>
      <c r="B23" s="198" t="s">
        <v>121</v>
      </c>
      <c r="C23" s="199">
        <v>0</v>
      </c>
      <c r="D23" s="199">
        <f>SUMIF('Contratos - Sub69'!D:D,'Detalhamento - Sub69'!A23,'Contratos - Sub69'!I:I)+SUMIF('Pedidos - Sub69'!D:D,'Detalhamento - Sub69'!A23,'Pedidos - Sub69'!G:G)</f>
        <v>0</v>
      </c>
      <c r="E23" s="199">
        <f t="shared" ref="E23:E25" si="12">C23-D23</f>
        <v>0</v>
      </c>
      <c r="F23" s="199">
        <f>SUMIF('Notas fiscais - Sub69'!D:D,'Detalhamento - Sub69'!A23,'Notas fiscais - Sub69'!R:R)</f>
        <v>0</v>
      </c>
      <c r="G23" s="199">
        <f>VLOOKUP(A23,'Projeções - Sub69'!B:F,5)</f>
        <v>0</v>
      </c>
      <c r="H23" s="199">
        <f t="shared" ref="H23:H25" si="13">D23+G23</f>
        <v>0</v>
      </c>
      <c r="I23" s="200">
        <f>C23-H23</f>
        <v>0</v>
      </c>
    </row>
    <row r="24" spans="1:9" outlineLevel="3">
      <c r="A24" s="197">
        <v>2001002002</v>
      </c>
      <c r="B24" s="198" t="s">
        <v>122</v>
      </c>
      <c r="C24" s="199">
        <v>0</v>
      </c>
      <c r="D24" s="199">
        <f>SUMIF('Contratos - Sub69'!D:D,'Detalhamento - Sub69'!A24,'Contratos - Sub69'!I:I)+SUMIF('Pedidos - Sub69'!D:D,'Detalhamento - Sub69'!A24,'Pedidos - Sub69'!G:G)</f>
        <v>0</v>
      </c>
      <c r="E24" s="199">
        <f t="shared" si="12"/>
        <v>0</v>
      </c>
      <c r="F24" s="199">
        <f>SUMIF('Notas fiscais - Sub69'!D:D,'Detalhamento - Sub69'!A24,'Notas fiscais - Sub69'!R:R)</f>
        <v>0</v>
      </c>
      <c r="G24" s="199">
        <f>VLOOKUP(A24,'Projeções - Sub69'!B:F,5)</f>
        <v>0</v>
      </c>
      <c r="H24" s="199">
        <f t="shared" si="13"/>
        <v>0</v>
      </c>
      <c r="I24" s="200">
        <f>C24-H24</f>
        <v>0</v>
      </c>
    </row>
    <row r="25" spans="1:9" outlineLevel="3">
      <c r="A25" s="197">
        <v>2001002003</v>
      </c>
      <c r="B25" s="198" t="s">
        <v>123</v>
      </c>
      <c r="C25" s="199">
        <v>0</v>
      </c>
      <c r="D25" s="199">
        <f>SUMIF('Contratos - Sub69'!D:D,'Detalhamento - Sub69'!A25,'Contratos - Sub69'!I:I)+SUMIF('Pedidos - Sub69'!D:D,'Detalhamento - Sub69'!A25,'Pedidos - Sub69'!G:G)</f>
        <v>0</v>
      </c>
      <c r="E25" s="199">
        <f t="shared" si="12"/>
        <v>0</v>
      </c>
      <c r="F25" s="199">
        <f>SUMIF('Notas fiscais - Sub69'!D:D,'Detalhamento - Sub69'!A25,'Notas fiscais - Sub69'!R:R)</f>
        <v>0</v>
      </c>
      <c r="G25" s="199">
        <f>VLOOKUP(A25,'Projeções - Sub69'!B:F,5)</f>
        <v>0</v>
      </c>
      <c r="H25" s="199">
        <f t="shared" si="13"/>
        <v>0</v>
      </c>
      <c r="I25" s="200">
        <f>C25-H25</f>
        <v>0</v>
      </c>
    </row>
    <row r="26" spans="1:9" outlineLevel="2">
      <c r="A26" s="193">
        <v>2001003</v>
      </c>
      <c r="B26" s="194" t="s">
        <v>124</v>
      </c>
      <c r="C26" s="195">
        <f>SUBTOTAL(9,C27:C29)</f>
        <v>1034300.93</v>
      </c>
      <c r="D26" s="195">
        <f t="shared" ref="D26:I26" si="14">SUBTOTAL(9,D27:D29)</f>
        <v>0</v>
      </c>
      <c r="E26" s="195">
        <f t="shared" si="14"/>
        <v>1034300.93</v>
      </c>
      <c r="F26" s="195">
        <f t="shared" si="14"/>
        <v>0</v>
      </c>
      <c r="G26" s="195">
        <f t="shared" si="14"/>
        <v>1034300.93</v>
      </c>
      <c r="H26" s="195">
        <f t="shared" si="14"/>
        <v>1034300.93</v>
      </c>
      <c r="I26" s="196">
        <f t="shared" si="14"/>
        <v>0</v>
      </c>
    </row>
    <row r="27" spans="1:9" outlineLevel="3">
      <c r="A27" s="197">
        <v>2001003001</v>
      </c>
      <c r="B27" s="198" t="s">
        <v>125</v>
      </c>
      <c r="C27" s="199">
        <v>1034300.93</v>
      </c>
      <c r="D27" s="199">
        <f>SUMIF('Contratos - Sub69'!D:D,'Detalhamento - Sub69'!A27,'Contratos - Sub69'!I:I)+SUMIF('Pedidos - Sub69'!D:D,'Detalhamento - Sub69'!A27,'Pedidos - Sub69'!G:G)</f>
        <v>0</v>
      </c>
      <c r="E27" s="199">
        <f t="shared" ref="E27:E29" si="15">C27-D27</f>
        <v>1034300.93</v>
      </c>
      <c r="F27" s="199">
        <f>SUMIF('Notas fiscais - Sub69'!D:D,'Detalhamento - Sub69'!A27,'Notas fiscais - Sub69'!R:R)</f>
        <v>0</v>
      </c>
      <c r="G27" s="199">
        <f>VLOOKUP(A27,'Projeções - Sub69'!B:F,5)</f>
        <v>1034300.93</v>
      </c>
      <c r="H27" s="199">
        <f t="shared" ref="H27:H29" si="16">D27+G27</f>
        <v>1034300.93</v>
      </c>
      <c r="I27" s="200">
        <f>C27-H27</f>
        <v>0</v>
      </c>
    </row>
    <row r="28" spans="1:9" outlineLevel="3">
      <c r="A28" s="197">
        <v>2001003002</v>
      </c>
      <c r="B28" s="198" t="s">
        <v>126</v>
      </c>
      <c r="C28" s="199">
        <v>0</v>
      </c>
      <c r="D28" s="199">
        <f>SUMIF('Contratos - Sub69'!D:D,'Detalhamento - Sub69'!A28,'Contratos - Sub69'!I:I)+SUMIF('Pedidos - Sub69'!D:D,'Detalhamento - Sub69'!A28,'Pedidos - Sub69'!G:G)</f>
        <v>0</v>
      </c>
      <c r="E28" s="199">
        <f t="shared" si="15"/>
        <v>0</v>
      </c>
      <c r="F28" s="199">
        <f>SUMIF('Notas fiscais - Sub69'!D:D,'Detalhamento - Sub69'!A28,'Notas fiscais - Sub69'!R:R)</f>
        <v>0</v>
      </c>
      <c r="G28" s="199">
        <f>VLOOKUP(A28,'Projeções - Sub69'!B:F,5)</f>
        <v>0</v>
      </c>
      <c r="H28" s="199">
        <f t="shared" si="16"/>
        <v>0</v>
      </c>
      <c r="I28" s="200">
        <f>C28-H28</f>
        <v>0</v>
      </c>
    </row>
    <row r="29" spans="1:9" outlineLevel="3">
      <c r="A29" s="197">
        <v>2001003003</v>
      </c>
      <c r="B29" s="198" t="s">
        <v>127</v>
      </c>
      <c r="C29" s="199">
        <v>0</v>
      </c>
      <c r="D29" s="199">
        <f>SUMIF('Contratos - Sub69'!D:D,'Detalhamento - Sub69'!A29,'Contratos - Sub69'!I:I)+SUMIF('Pedidos - Sub69'!D:D,'Detalhamento - Sub69'!A29,'Pedidos - Sub69'!G:G)</f>
        <v>0</v>
      </c>
      <c r="E29" s="199">
        <f t="shared" si="15"/>
        <v>0</v>
      </c>
      <c r="F29" s="199">
        <f>SUMIF('Notas fiscais - Sub69'!D:D,'Detalhamento - Sub69'!A29,'Notas fiscais - Sub69'!R:R)</f>
        <v>0</v>
      </c>
      <c r="G29" s="199">
        <f>VLOOKUP(A29,'Projeções - Sub69'!B:F,5)</f>
        <v>0</v>
      </c>
      <c r="H29" s="199">
        <f t="shared" si="16"/>
        <v>0</v>
      </c>
      <c r="I29" s="200">
        <f>C29-H29</f>
        <v>0</v>
      </c>
    </row>
    <row r="30" spans="1:9" outlineLevel="2">
      <c r="A30" s="193">
        <v>2001004</v>
      </c>
      <c r="B30" s="194" t="s">
        <v>128</v>
      </c>
      <c r="C30" s="195">
        <f>SUBTOTAL(9,C31:C34)</f>
        <v>240699.06999999998</v>
      </c>
      <c r="D30" s="195">
        <f t="shared" ref="D30:I30" si="17">SUBTOTAL(9,D31:D34)</f>
        <v>0</v>
      </c>
      <c r="E30" s="195">
        <f t="shared" si="17"/>
        <v>240699.06999999998</v>
      </c>
      <c r="F30" s="195">
        <f t="shared" si="17"/>
        <v>0</v>
      </c>
      <c r="G30" s="195">
        <f t="shared" si="17"/>
        <v>240699.06999999998</v>
      </c>
      <c r="H30" s="195">
        <f t="shared" si="17"/>
        <v>240699.06999999998</v>
      </c>
      <c r="I30" s="196">
        <f t="shared" si="17"/>
        <v>0</v>
      </c>
    </row>
    <row r="31" spans="1:9" outlineLevel="3">
      <c r="A31" s="197">
        <v>2001004001</v>
      </c>
      <c r="B31" s="198" t="s">
        <v>129</v>
      </c>
      <c r="C31" s="199">
        <v>91206.28</v>
      </c>
      <c r="D31" s="199">
        <f>SUMIF('Contratos - Sub69'!D:D,'Detalhamento - Sub69'!A31,'Contratos - Sub69'!I:I)+SUMIF('Pedidos - Sub69'!D:D,'Detalhamento - Sub69'!A31,'Pedidos - Sub69'!G:G)</f>
        <v>0</v>
      </c>
      <c r="E31" s="199">
        <f t="shared" ref="E31:E34" si="18">C31-D31</f>
        <v>91206.28</v>
      </c>
      <c r="F31" s="199">
        <f>SUMIF('Notas fiscais - Sub69'!D:D,'Detalhamento - Sub69'!A31,'Notas fiscais - Sub69'!R:R)</f>
        <v>0</v>
      </c>
      <c r="G31" s="199">
        <f>VLOOKUP(A31,'Projeções - Sub69'!B:F,5)</f>
        <v>91206.28</v>
      </c>
      <c r="H31" s="199">
        <f t="shared" ref="H31:H34" si="19">D31+G31</f>
        <v>91206.28</v>
      </c>
      <c r="I31" s="200">
        <f>C31-H31</f>
        <v>0</v>
      </c>
    </row>
    <row r="32" spans="1:9" outlineLevel="3">
      <c r="A32" s="197">
        <v>2001004002</v>
      </c>
      <c r="B32" s="198" t="s">
        <v>130</v>
      </c>
      <c r="C32" s="199">
        <v>69259.77</v>
      </c>
      <c r="D32" s="199">
        <f>SUMIF('Contratos - Sub69'!D:D,'Detalhamento - Sub69'!A32,'Contratos - Sub69'!I:I)+SUMIF('Pedidos - Sub69'!D:D,'Detalhamento - Sub69'!A32,'Pedidos - Sub69'!G:G)</f>
        <v>0</v>
      </c>
      <c r="E32" s="199">
        <f t="shared" si="18"/>
        <v>69259.77</v>
      </c>
      <c r="F32" s="199">
        <f>SUMIF('Notas fiscais - Sub69'!D:D,'Detalhamento - Sub69'!A32,'Notas fiscais - Sub69'!R:R)</f>
        <v>0</v>
      </c>
      <c r="G32" s="199">
        <f>VLOOKUP(A32,'Projeções - Sub69'!B:F,5)</f>
        <v>69259.77</v>
      </c>
      <c r="H32" s="199">
        <f t="shared" si="19"/>
        <v>69259.77</v>
      </c>
      <c r="I32" s="200">
        <f>C32-H32</f>
        <v>0</v>
      </c>
    </row>
    <row r="33" spans="1:9" outlineLevel="3">
      <c r="A33" s="197">
        <v>2001004003</v>
      </c>
      <c r="B33" s="198" t="s">
        <v>131</v>
      </c>
      <c r="C33" s="199">
        <v>13538.43</v>
      </c>
      <c r="D33" s="199">
        <f>SUMIF('Contratos - Sub69'!D:D,'Detalhamento - Sub69'!A33,'Contratos - Sub69'!I:I)+SUMIF('Pedidos - Sub69'!D:D,'Detalhamento - Sub69'!A33,'Pedidos - Sub69'!G:G)</f>
        <v>0</v>
      </c>
      <c r="E33" s="199">
        <f t="shared" si="18"/>
        <v>13538.43</v>
      </c>
      <c r="F33" s="199">
        <f>SUMIF('Notas fiscais - Sub69'!D:D,'Detalhamento - Sub69'!A33,'Notas fiscais - Sub69'!R:R)</f>
        <v>0</v>
      </c>
      <c r="G33" s="199">
        <f>VLOOKUP(A33,'Projeções - Sub69'!B:F,5)</f>
        <v>13538.43</v>
      </c>
      <c r="H33" s="199">
        <f t="shared" si="19"/>
        <v>13538.43</v>
      </c>
      <c r="I33" s="200">
        <f>C33-H33</f>
        <v>0</v>
      </c>
    </row>
    <row r="34" spans="1:9" outlineLevel="3">
      <c r="A34" s="197">
        <v>2001004004</v>
      </c>
      <c r="B34" s="198" t="s">
        <v>132</v>
      </c>
      <c r="C34" s="199">
        <v>66694.59</v>
      </c>
      <c r="D34" s="199">
        <f>SUMIF('Contratos - Sub69'!D:D,'Detalhamento - Sub69'!A34,'Contratos - Sub69'!I:I)+SUMIF('Pedidos - Sub69'!D:D,'Detalhamento - Sub69'!A34,'Pedidos - Sub69'!G:G)</f>
        <v>0</v>
      </c>
      <c r="E34" s="199">
        <f t="shared" si="18"/>
        <v>66694.59</v>
      </c>
      <c r="F34" s="199">
        <f>SUMIF('Notas fiscais - Sub69'!D:D,'Detalhamento - Sub69'!A34,'Notas fiscais - Sub69'!R:R)</f>
        <v>0</v>
      </c>
      <c r="G34" s="199">
        <f>VLOOKUP(A34,'Projeções - Sub69'!B:F,5)</f>
        <v>66694.59</v>
      </c>
      <c r="H34" s="199">
        <f t="shared" si="19"/>
        <v>66694.59</v>
      </c>
      <c r="I34" s="200">
        <f>C34-H34</f>
        <v>0</v>
      </c>
    </row>
    <row r="35" spans="1:9" outlineLevel="2">
      <c r="A35" s="193">
        <v>2001005</v>
      </c>
      <c r="B35" s="194" t="s">
        <v>133</v>
      </c>
      <c r="C35" s="195">
        <f>SUBTOTAL(9,C36:C37)</f>
        <v>0</v>
      </c>
      <c r="D35" s="195">
        <f t="shared" ref="D35:I35" si="20">SUBTOTAL(9,D36:D37)</f>
        <v>0</v>
      </c>
      <c r="E35" s="195">
        <f t="shared" si="20"/>
        <v>0</v>
      </c>
      <c r="F35" s="195">
        <f t="shared" si="20"/>
        <v>0</v>
      </c>
      <c r="G35" s="195">
        <f t="shared" si="20"/>
        <v>0</v>
      </c>
      <c r="H35" s="195">
        <f t="shared" si="20"/>
        <v>0</v>
      </c>
      <c r="I35" s="196">
        <f t="shared" si="20"/>
        <v>0</v>
      </c>
    </row>
    <row r="36" spans="1:9" outlineLevel="3">
      <c r="A36" s="197">
        <v>2001005001</v>
      </c>
      <c r="B36" s="198" t="s">
        <v>134</v>
      </c>
      <c r="C36" s="199">
        <v>0</v>
      </c>
      <c r="D36" s="199">
        <f>SUMIF('Contratos - Sub69'!D:D,'Detalhamento - Sub69'!A36,'Contratos - Sub69'!I:I)+SUMIF('Pedidos - Sub69'!D:D,'Detalhamento - Sub69'!A36,'Pedidos - Sub69'!G:G)</f>
        <v>0</v>
      </c>
      <c r="E36" s="199">
        <f t="shared" ref="E36:E37" si="21">C36-D36</f>
        <v>0</v>
      </c>
      <c r="F36" s="199">
        <f>SUMIF('Notas fiscais - Sub69'!D:D,'Detalhamento - Sub69'!A36,'Notas fiscais - Sub69'!R:R)</f>
        <v>0</v>
      </c>
      <c r="G36" s="199">
        <f>VLOOKUP(A36,'Projeções - Sub69'!B:F,5)</f>
        <v>0</v>
      </c>
      <c r="H36" s="199">
        <f t="shared" ref="H36:H37" si="22">D36+G36</f>
        <v>0</v>
      </c>
      <c r="I36" s="200">
        <f>C36-H36</f>
        <v>0</v>
      </c>
    </row>
    <row r="37" spans="1:9" outlineLevel="3">
      <c r="A37" s="197">
        <v>2001005002</v>
      </c>
      <c r="B37" s="198" t="s">
        <v>135</v>
      </c>
      <c r="C37" s="199">
        <v>0</v>
      </c>
      <c r="D37" s="199">
        <f>SUMIF('Contratos - Sub69'!D:D,'Detalhamento - Sub69'!A37,'Contratos - Sub69'!I:I)+SUMIF('Pedidos - Sub69'!D:D,'Detalhamento - Sub69'!A37,'Pedidos - Sub69'!G:G)</f>
        <v>0</v>
      </c>
      <c r="E37" s="199">
        <f t="shared" si="21"/>
        <v>0</v>
      </c>
      <c r="F37" s="199">
        <f>SUMIF('Notas fiscais - Sub69'!D:D,'Detalhamento - Sub69'!A37,'Notas fiscais - Sub69'!R:R)</f>
        <v>0</v>
      </c>
      <c r="G37" s="199">
        <f>VLOOKUP(A37,'Projeções - Sub69'!B:F,5)</f>
        <v>0</v>
      </c>
      <c r="H37" s="199">
        <f t="shared" si="22"/>
        <v>0</v>
      </c>
      <c r="I37" s="200">
        <f>C37-H37</f>
        <v>0</v>
      </c>
    </row>
    <row r="38" spans="1:9" outlineLevel="2">
      <c r="A38" s="193">
        <v>2001006</v>
      </c>
      <c r="B38" s="194" t="s">
        <v>136</v>
      </c>
      <c r="C38" s="195">
        <f>SUBTOTAL(9,C39:C58)</f>
        <v>0</v>
      </c>
      <c r="D38" s="195">
        <f t="shared" ref="D38:I38" si="23">SUBTOTAL(9,D39:D58)</f>
        <v>0</v>
      </c>
      <c r="E38" s="195">
        <f t="shared" si="23"/>
        <v>0</v>
      </c>
      <c r="F38" s="195">
        <f t="shared" si="23"/>
        <v>0</v>
      </c>
      <c r="G38" s="195">
        <f t="shared" si="23"/>
        <v>0</v>
      </c>
      <c r="H38" s="195">
        <f t="shared" si="23"/>
        <v>0</v>
      </c>
      <c r="I38" s="196">
        <f t="shared" si="23"/>
        <v>0</v>
      </c>
    </row>
    <row r="39" spans="1:9" outlineLevel="3">
      <c r="A39" s="197">
        <v>2001006001</v>
      </c>
      <c r="B39" s="198" t="s">
        <v>137</v>
      </c>
      <c r="C39" s="199">
        <v>0</v>
      </c>
      <c r="D39" s="199">
        <f>SUMIF('Contratos - Sub69'!D:D,'Detalhamento - Sub69'!A39,'Contratos - Sub69'!I:I)+SUMIF('Pedidos - Sub69'!D:D,'Detalhamento - Sub69'!A39,'Pedidos - Sub69'!G:G)</f>
        <v>0</v>
      </c>
      <c r="E39" s="199">
        <f t="shared" ref="E39:E58" si="24">C39-D39</f>
        <v>0</v>
      </c>
      <c r="F39" s="199">
        <f>SUMIF('Notas fiscais - Sub69'!D:D,'Detalhamento - Sub69'!A39,'Notas fiscais - Sub69'!R:R)</f>
        <v>0</v>
      </c>
      <c r="G39" s="199">
        <f>VLOOKUP(A39,'Projeções - Sub69'!B:F,5)</f>
        <v>0</v>
      </c>
      <c r="H39" s="199">
        <f t="shared" ref="H39:H58" si="25">D39+G39</f>
        <v>0</v>
      </c>
      <c r="I39" s="200">
        <f t="shared" ref="I39:I58" si="26">C39-H39</f>
        <v>0</v>
      </c>
    </row>
    <row r="40" spans="1:9" outlineLevel="3">
      <c r="A40" s="197">
        <v>2001006002</v>
      </c>
      <c r="B40" s="198" t="s">
        <v>138</v>
      </c>
      <c r="C40" s="199">
        <v>0</v>
      </c>
      <c r="D40" s="199">
        <f>SUMIF('Contratos - Sub69'!D:D,'Detalhamento - Sub69'!A40,'Contratos - Sub69'!I:I)+SUMIF('Pedidos - Sub69'!D:D,'Detalhamento - Sub69'!A40,'Pedidos - Sub69'!G:G)</f>
        <v>0</v>
      </c>
      <c r="E40" s="199">
        <f t="shared" si="24"/>
        <v>0</v>
      </c>
      <c r="F40" s="199">
        <f>SUMIF('Notas fiscais - Sub69'!D:D,'Detalhamento - Sub69'!A40,'Notas fiscais - Sub69'!R:R)</f>
        <v>0</v>
      </c>
      <c r="G40" s="199">
        <f>VLOOKUP(A40,'Projeções - Sub69'!B:F,5)</f>
        <v>0</v>
      </c>
      <c r="H40" s="199">
        <f t="shared" si="25"/>
        <v>0</v>
      </c>
      <c r="I40" s="200">
        <f t="shared" si="26"/>
        <v>0</v>
      </c>
    </row>
    <row r="41" spans="1:9" outlineLevel="3">
      <c r="A41" s="197">
        <v>2001006003</v>
      </c>
      <c r="B41" s="198" t="s">
        <v>139</v>
      </c>
      <c r="C41" s="199">
        <v>0</v>
      </c>
      <c r="D41" s="199">
        <f>SUMIF('Contratos - Sub69'!D:D,'Detalhamento - Sub69'!A41,'Contratos - Sub69'!I:I)+SUMIF('Pedidos - Sub69'!D:D,'Detalhamento - Sub69'!A41,'Pedidos - Sub69'!G:G)</f>
        <v>0</v>
      </c>
      <c r="E41" s="199">
        <f t="shared" si="24"/>
        <v>0</v>
      </c>
      <c r="F41" s="199">
        <f>SUMIF('Notas fiscais - Sub69'!D:D,'Detalhamento - Sub69'!A41,'Notas fiscais - Sub69'!R:R)</f>
        <v>0</v>
      </c>
      <c r="G41" s="199">
        <f>VLOOKUP(A41,'Projeções - Sub69'!B:F,5)</f>
        <v>0</v>
      </c>
      <c r="H41" s="199">
        <f t="shared" si="25"/>
        <v>0</v>
      </c>
      <c r="I41" s="200">
        <f t="shared" si="26"/>
        <v>0</v>
      </c>
    </row>
    <row r="42" spans="1:9" outlineLevel="3">
      <c r="A42" s="197">
        <v>2001006004</v>
      </c>
      <c r="B42" s="198" t="s">
        <v>140</v>
      </c>
      <c r="C42" s="199">
        <v>0</v>
      </c>
      <c r="D42" s="199">
        <f>SUMIF('Contratos - Sub69'!D:D,'Detalhamento - Sub69'!A42,'Contratos - Sub69'!I:I)+SUMIF('Pedidos - Sub69'!D:D,'Detalhamento - Sub69'!A42,'Pedidos - Sub69'!G:G)</f>
        <v>0</v>
      </c>
      <c r="E42" s="199">
        <f t="shared" si="24"/>
        <v>0</v>
      </c>
      <c r="F42" s="199">
        <f>SUMIF('Notas fiscais - Sub69'!D:D,'Detalhamento - Sub69'!A42,'Notas fiscais - Sub69'!R:R)</f>
        <v>0</v>
      </c>
      <c r="G42" s="199">
        <f>VLOOKUP(A42,'Projeções - Sub69'!B:F,5)</f>
        <v>0</v>
      </c>
      <c r="H42" s="199">
        <f t="shared" si="25"/>
        <v>0</v>
      </c>
      <c r="I42" s="200">
        <f t="shared" si="26"/>
        <v>0</v>
      </c>
    </row>
    <row r="43" spans="1:9" outlineLevel="3">
      <c r="A43" s="197">
        <v>2001006005</v>
      </c>
      <c r="B43" s="198" t="s">
        <v>141</v>
      </c>
      <c r="C43" s="199">
        <v>0</v>
      </c>
      <c r="D43" s="199">
        <f>SUMIF('Contratos - Sub69'!D:D,'Detalhamento - Sub69'!A43,'Contratos - Sub69'!I:I)+SUMIF('Pedidos - Sub69'!D:D,'Detalhamento - Sub69'!A43,'Pedidos - Sub69'!G:G)</f>
        <v>0</v>
      </c>
      <c r="E43" s="199">
        <f t="shared" si="24"/>
        <v>0</v>
      </c>
      <c r="F43" s="199">
        <f>SUMIF('Notas fiscais - Sub69'!D:D,'Detalhamento - Sub69'!A43,'Notas fiscais - Sub69'!R:R)</f>
        <v>0</v>
      </c>
      <c r="G43" s="199">
        <f>VLOOKUP(A43,'Projeções - Sub69'!B:F,5)</f>
        <v>0</v>
      </c>
      <c r="H43" s="199">
        <f t="shared" si="25"/>
        <v>0</v>
      </c>
      <c r="I43" s="200">
        <f t="shared" si="26"/>
        <v>0</v>
      </c>
    </row>
    <row r="44" spans="1:9" outlineLevel="3">
      <c r="A44" s="197">
        <v>2001006006</v>
      </c>
      <c r="B44" s="198" t="s">
        <v>142</v>
      </c>
      <c r="C44" s="199">
        <v>0</v>
      </c>
      <c r="D44" s="199">
        <f>SUMIF('Contratos - Sub69'!D:D,'Detalhamento - Sub69'!A44,'Contratos - Sub69'!I:I)+SUMIF('Pedidos - Sub69'!D:D,'Detalhamento - Sub69'!A44,'Pedidos - Sub69'!G:G)</f>
        <v>0</v>
      </c>
      <c r="E44" s="199">
        <f t="shared" si="24"/>
        <v>0</v>
      </c>
      <c r="F44" s="199">
        <f>SUMIF('Notas fiscais - Sub69'!D:D,'Detalhamento - Sub69'!A44,'Notas fiscais - Sub69'!R:R)</f>
        <v>0</v>
      </c>
      <c r="G44" s="199">
        <f>VLOOKUP(A44,'Projeções - Sub69'!B:F,5)</f>
        <v>0</v>
      </c>
      <c r="H44" s="199">
        <f t="shared" si="25"/>
        <v>0</v>
      </c>
      <c r="I44" s="200">
        <f t="shared" si="26"/>
        <v>0</v>
      </c>
    </row>
    <row r="45" spans="1:9" outlineLevel="3">
      <c r="A45" s="197">
        <v>2001006007</v>
      </c>
      <c r="B45" s="198" t="s">
        <v>143</v>
      </c>
      <c r="C45" s="199">
        <v>0</v>
      </c>
      <c r="D45" s="199">
        <f>SUMIF('Contratos - Sub69'!D:D,'Detalhamento - Sub69'!A45,'Contratos - Sub69'!I:I)+SUMIF('Pedidos - Sub69'!D:D,'Detalhamento - Sub69'!A45,'Pedidos - Sub69'!G:G)</f>
        <v>0</v>
      </c>
      <c r="E45" s="199">
        <f t="shared" si="24"/>
        <v>0</v>
      </c>
      <c r="F45" s="199">
        <f>SUMIF('Notas fiscais - Sub69'!D:D,'Detalhamento - Sub69'!A45,'Notas fiscais - Sub69'!R:R)</f>
        <v>0</v>
      </c>
      <c r="G45" s="199">
        <f>VLOOKUP(A45,'Projeções - Sub69'!B:F,5)</f>
        <v>0</v>
      </c>
      <c r="H45" s="199">
        <f t="shared" si="25"/>
        <v>0</v>
      </c>
      <c r="I45" s="200">
        <f t="shared" si="26"/>
        <v>0</v>
      </c>
    </row>
    <row r="46" spans="1:9" outlineLevel="3">
      <c r="A46" s="197">
        <v>2001006008</v>
      </c>
      <c r="B46" s="198" t="s">
        <v>144</v>
      </c>
      <c r="C46" s="199">
        <v>0</v>
      </c>
      <c r="D46" s="199">
        <f>SUMIF('Contratos - Sub69'!D:D,'Detalhamento - Sub69'!A46,'Contratos - Sub69'!I:I)+SUMIF('Pedidos - Sub69'!D:D,'Detalhamento - Sub69'!A46,'Pedidos - Sub69'!G:G)</f>
        <v>0</v>
      </c>
      <c r="E46" s="199">
        <f t="shared" si="24"/>
        <v>0</v>
      </c>
      <c r="F46" s="199">
        <f>SUMIF('Notas fiscais - Sub69'!D:D,'Detalhamento - Sub69'!A46,'Notas fiscais - Sub69'!R:R)</f>
        <v>0</v>
      </c>
      <c r="G46" s="199">
        <f>VLOOKUP(A46,'Projeções - Sub69'!B:F,5)</f>
        <v>0</v>
      </c>
      <c r="H46" s="199">
        <f t="shared" si="25"/>
        <v>0</v>
      </c>
      <c r="I46" s="200">
        <f t="shared" si="26"/>
        <v>0</v>
      </c>
    </row>
    <row r="47" spans="1:9" outlineLevel="3">
      <c r="A47" s="197">
        <v>2001006009</v>
      </c>
      <c r="B47" s="198" t="s">
        <v>145</v>
      </c>
      <c r="C47" s="199">
        <v>0</v>
      </c>
      <c r="D47" s="199">
        <f>SUMIF('Contratos - Sub69'!D:D,'Detalhamento - Sub69'!A47,'Contratos - Sub69'!I:I)+SUMIF('Pedidos - Sub69'!D:D,'Detalhamento - Sub69'!A47,'Pedidos - Sub69'!G:G)</f>
        <v>0</v>
      </c>
      <c r="E47" s="199">
        <f t="shared" si="24"/>
        <v>0</v>
      </c>
      <c r="F47" s="199">
        <f>SUMIF('Notas fiscais - Sub69'!D:D,'Detalhamento - Sub69'!A47,'Notas fiscais - Sub69'!R:R)</f>
        <v>0</v>
      </c>
      <c r="G47" s="199">
        <f>VLOOKUP(A47,'Projeções - Sub69'!B:F,5)</f>
        <v>0</v>
      </c>
      <c r="H47" s="199">
        <f t="shared" si="25"/>
        <v>0</v>
      </c>
      <c r="I47" s="200">
        <f t="shared" si="26"/>
        <v>0</v>
      </c>
    </row>
    <row r="48" spans="1:9" outlineLevel="3">
      <c r="A48" s="197">
        <v>2001006010</v>
      </c>
      <c r="B48" s="198" t="s">
        <v>146</v>
      </c>
      <c r="C48" s="199">
        <v>0</v>
      </c>
      <c r="D48" s="199">
        <f>SUMIF('Contratos - Sub69'!D:D,'Detalhamento - Sub69'!A48,'Contratos - Sub69'!I:I)+SUMIF('Pedidos - Sub69'!D:D,'Detalhamento - Sub69'!A48,'Pedidos - Sub69'!G:G)</f>
        <v>0</v>
      </c>
      <c r="E48" s="199">
        <f t="shared" si="24"/>
        <v>0</v>
      </c>
      <c r="F48" s="199">
        <f>SUMIF('Notas fiscais - Sub69'!D:D,'Detalhamento - Sub69'!A48,'Notas fiscais - Sub69'!R:R)</f>
        <v>0</v>
      </c>
      <c r="G48" s="199">
        <f>VLOOKUP(A48,'Projeções - Sub69'!B:F,5)</f>
        <v>0</v>
      </c>
      <c r="H48" s="199">
        <f t="shared" si="25"/>
        <v>0</v>
      </c>
      <c r="I48" s="200">
        <f t="shared" si="26"/>
        <v>0</v>
      </c>
    </row>
    <row r="49" spans="1:9" outlineLevel="3">
      <c r="A49" s="197">
        <v>2001006011</v>
      </c>
      <c r="B49" s="198" t="s">
        <v>147</v>
      </c>
      <c r="C49" s="199">
        <v>0</v>
      </c>
      <c r="D49" s="199">
        <f>SUMIF('Contratos - Sub69'!D:D,'Detalhamento - Sub69'!A49,'Contratos - Sub69'!I:I)+SUMIF('Pedidos - Sub69'!D:D,'Detalhamento - Sub69'!A49,'Pedidos - Sub69'!G:G)</f>
        <v>0</v>
      </c>
      <c r="E49" s="199">
        <f t="shared" si="24"/>
        <v>0</v>
      </c>
      <c r="F49" s="199">
        <f>SUMIF('Notas fiscais - Sub69'!D:D,'Detalhamento - Sub69'!A49,'Notas fiscais - Sub69'!R:R)</f>
        <v>0</v>
      </c>
      <c r="G49" s="199">
        <f>VLOOKUP(A49,'Projeções - Sub69'!B:F,5)</f>
        <v>0</v>
      </c>
      <c r="H49" s="199">
        <f t="shared" si="25"/>
        <v>0</v>
      </c>
      <c r="I49" s="200">
        <f t="shared" si="26"/>
        <v>0</v>
      </c>
    </row>
    <row r="50" spans="1:9" outlineLevel="3">
      <c r="A50" s="197">
        <v>2001006012</v>
      </c>
      <c r="B50" s="198" t="s">
        <v>148</v>
      </c>
      <c r="C50" s="199">
        <v>0</v>
      </c>
      <c r="D50" s="199">
        <f>SUMIF('Contratos - Sub69'!D:D,'Detalhamento - Sub69'!A50,'Contratos - Sub69'!I:I)+SUMIF('Pedidos - Sub69'!D:D,'Detalhamento - Sub69'!A50,'Pedidos - Sub69'!G:G)</f>
        <v>0</v>
      </c>
      <c r="E50" s="199">
        <f t="shared" si="24"/>
        <v>0</v>
      </c>
      <c r="F50" s="199">
        <f>SUMIF('Notas fiscais - Sub69'!D:D,'Detalhamento - Sub69'!A50,'Notas fiscais - Sub69'!R:R)</f>
        <v>0</v>
      </c>
      <c r="G50" s="199">
        <f>VLOOKUP(A50,'Projeções - Sub69'!B:F,5)</f>
        <v>0</v>
      </c>
      <c r="H50" s="199">
        <f t="shared" si="25"/>
        <v>0</v>
      </c>
      <c r="I50" s="200">
        <f t="shared" si="26"/>
        <v>0</v>
      </c>
    </row>
    <row r="51" spans="1:9" outlineLevel="3">
      <c r="A51" s="197">
        <v>2001006013</v>
      </c>
      <c r="B51" s="198" t="s">
        <v>149</v>
      </c>
      <c r="C51" s="199">
        <v>0</v>
      </c>
      <c r="D51" s="199">
        <f>SUMIF('Contratos - Sub69'!D:D,'Detalhamento - Sub69'!A51,'Contratos - Sub69'!I:I)+SUMIF('Pedidos - Sub69'!D:D,'Detalhamento - Sub69'!A51,'Pedidos - Sub69'!G:G)</f>
        <v>0</v>
      </c>
      <c r="E51" s="199">
        <f t="shared" si="24"/>
        <v>0</v>
      </c>
      <c r="F51" s="199">
        <f>SUMIF('Notas fiscais - Sub69'!D:D,'Detalhamento - Sub69'!A51,'Notas fiscais - Sub69'!R:R)</f>
        <v>0</v>
      </c>
      <c r="G51" s="199">
        <f>VLOOKUP(A51,'Projeções - Sub69'!B:F,5)</f>
        <v>0</v>
      </c>
      <c r="H51" s="199">
        <f t="shared" si="25"/>
        <v>0</v>
      </c>
      <c r="I51" s="200">
        <f t="shared" si="26"/>
        <v>0</v>
      </c>
    </row>
    <row r="52" spans="1:9" outlineLevel="3">
      <c r="A52" s="197">
        <v>2001006014</v>
      </c>
      <c r="B52" s="198" t="s">
        <v>150</v>
      </c>
      <c r="C52" s="199">
        <v>0</v>
      </c>
      <c r="D52" s="199">
        <f>SUMIF('Contratos - Sub69'!D:D,'Detalhamento - Sub69'!A52,'Contratos - Sub69'!I:I)+SUMIF('Pedidos - Sub69'!D:D,'Detalhamento - Sub69'!A52,'Pedidos - Sub69'!G:G)</f>
        <v>0</v>
      </c>
      <c r="E52" s="199">
        <f t="shared" si="24"/>
        <v>0</v>
      </c>
      <c r="F52" s="199">
        <f>SUMIF('Notas fiscais - Sub69'!D:D,'Detalhamento - Sub69'!A52,'Notas fiscais - Sub69'!R:R)</f>
        <v>0</v>
      </c>
      <c r="G52" s="199">
        <f>VLOOKUP(A52,'Projeções - Sub69'!B:F,5)</f>
        <v>0</v>
      </c>
      <c r="H52" s="199">
        <f t="shared" si="25"/>
        <v>0</v>
      </c>
      <c r="I52" s="200">
        <f t="shared" si="26"/>
        <v>0</v>
      </c>
    </row>
    <row r="53" spans="1:9" outlineLevel="3">
      <c r="A53" s="197">
        <v>2001006015</v>
      </c>
      <c r="B53" s="198" t="s">
        <v>151</v>
      </c>
      <c r="C53" s="199">
        <v>0</v>
      </c>
      <c r="D53" s="199">
        <f>SUMIF('Contratos - Sub69'!D:D,'Detalhamento - Sub69'!A53,'Contratos - Sub69'!I:I)+SUMIF('Pedidos - Sub69'!D:D,'Detalhamento - Sub69'!A53,'Pedidos - Sub69'!G:G)</f>
        <v>0</v>
      </c>
      <c r="E53" s="199">
        <f t="shared" si="24"/>
        <v>0</v>
      </c>
      <c r="F53" s="199">
        <f>SUMIF('Notas fiscais - Sub69'!D:D,'Detalhamento - Sub69'!A53,'Notas fiscais - Sub69'!R:R)</f>
        <v>0</v>
      </c>
      <c r="G53" s="199">
        <f>VLOOKUP(A53,'Projeções - Sub69'!B:F,5)</f>
        <v>0</v>
      </c>
      <c r="H53" s="199">
        <f t="shared" si="25"/>
        <v>0</v>
      </c>
      <c r="I53" s="200">
        <f t="shared" si="26"/>
        <v>0</v>
      </c>
    </row>
    <row r="54" spans="1:9" outlineLevel="3">
      <c r="A54" s="197">
        <v>2001006016</v>
      </c>
      <c r="B54" s="198" t="s">
        <v>152</v>
      </c>
      <c r="C54" s="199">
        <v>0</v>
      </c>
      <c r="D54" s="199">
        <f>SUMIF('Contratos - Sub69'!D:D,'Detalhamento - Sub69'!A54,'Contratos - Sub69'!I:I)+SUMIF('Pedidos - Sub69'!D:D,'Detalhamento - Sub69'!A54,'Pedidos - Sub69'!G:G)</f>
        <v>0</v>
      </c>
      <c r="E54" s="199">
        <f t="shared" si="24"/>
        <v>0</v>
      </c>
      <c r="F54" s="199">
        <f>SUMIF('Notas fiscais - Sub69'!D:D,'Detalhamento - Sub69'!A54,'Notas fiscais - Sub69'!R:R)</f>
        <v>0</v>
      </c>
      <c r="G54" s="199">
        <f>VLOOKUP(A54,'Projeções - Sub69'!B:F,5)</f>
        <v>0</v>
      </c>
      <c r="H54" s="199">
        <f t="shared" si="25"/>
        <v>0</v>
      </c>
      <c r="I54" s="200">
        <f t="shared" si="26"/>
        <v>0</v>
      </c>
    </row>
    <row r="55" spans="1:9" outlineLevel="3">
      <c r="A55" s="197">
        <v>2001006017</v>
      </c>
      <c r="B55" s="198" t="s">
        <v>153</v>
      </c>
      <c r="C55" s="199">
        <v>0</v>
      </c>
      <c r="D55" s="199">
        <f>SUMIF('Contratos - Sub69'!D:D,'Detalhamento - Sub69'!A55,'Contratos - Sub69'!I:I)+SUMIF('Pedidos - Sub69'!D:D,'Detalhamento - Sub69'!A55,'Pedidos - Sub69'!G:G)</f>
        <v>0</v>
      </c>
      <c r="E55" s="199">
        <f t="shared" si="24"/>
        <v>0</v>
      </c>
      <c r="F55" s="199">
        <f>SUMIF('Notas fiscais - Sub69'!D:D,'Detalhamento - Sub69'!A55,'Notas fiscais - Sub69'!R:R)</f>
        <v>0</v>
      </c>
      <c r="G55" s="199">
        <f>VLOOKUP(A55,'Projeções - Sub69'!B:F,5)</f>
        <v>0</v>
      </c>
      <c r="H55" s="199">
        <f t="shared" si="25"/>
        <v>0</v>
      </c>
      <c r="I55" s="200">
        <f t="shared" si="26"/>
        <v>0</v>
      </c>
    </row>
    <row r="56" spans="1:9" outlineLevel="3">
      <c r="A56" s="197">
        <v>2001006018</v>
      </c>
      <c r="B56" s="198" t="s">
        <v>154</v>
      </c>
      <c r="C56" s="199">
        <v>0</v>
      </c>
      <c r="D56" s="199">
        <f>SUMIF('Contratos - Sub69'!D:D,'Detalhamento - Sub69'!A56,'Contratos - Sub69'!I:I)+SUMIF('Pedidos - Sub69'!D:D,'Detalhamento - Sub69'!A56,'Pedidos - Sub69'!G:G)</f>
        <v>0</v>
      </c>
      <c r="E56" s="199">
        <f t="shared" si="24"/>
        <v>0</v>
      </c>
      <c r="F56" s="199">
        <f>SUMIF('Notas fiscais - Sub69'!D:D,'Detalhamento - Sub69'!A56,'Notas fiscais - Sub69'!R:R)</f>
        <v>0</v>
      </c>
      <c r="G56" s="199">
        <f>VLOOKUP(A56,'Projeções - Sub69'!B:F,5)</f>
        <v>0</v>
      </c>
      <c r="H56" s="199">
        <f t="shared" si="25"/>
        <v>0</v>
      </c>
      <c r="I56" s="200">
        <f t="shared" si="26"/>
        <v>0</v>
      </c>
    </row>
    <row r="57" spans="1:9" outlineLevel="3">
      <c r="A57" s="197">
        <v>2001006019</v>
      </c>
      <c r="B57" s="198" t="s">
        <v>155</v>
      </c>
      <c r="C57" s="199">
        <v>0</v>
      </c>
      <c r="D57" s="199">
        <f>SUMIF('Contratos - Sub69'!D:D,'Detalhamento - Sub69'!A57,'Contratos - Sub69'!I:I)+SUMIF('Pedidos - Sub69'!D:D,'Detalhamento - Sub69'!A57,'Pedidos - Sub69'!G:G)</f>
        <v>0</v>
      </c>
      <c r="E57" s="199">
        <f t="shared" si="24"/>
        <v>0</v>
      </c>
      <c r="F57" s="199">
        <f>SUMIF('Notas fiscais - Sub69'!D:D,'Detalhamento - Sub69'!A57,'Notas fiscais - Sub69'!R:R)</f>
        <v>0</v>
      </c>
      <c r="G57" s="199">
        <f>VLOOKUP(A57,'Projeções - Sub69'!B:F,5)</f>
        <v>0</v>
      </c>
      <c r="H57" s="199">
        <f t="shared" si="25"/>
        <v>0</v>
      </c>
      <c r="I57" s="200">
        <f t="shared" si="26"/>
        <v>0</v>
      </c>
    </row>
    <row r="58" spans="1:9" outlineLevel="3">
      <c r="A58" s="197">
        <v>2001006020</v>
      </c>
      <c r="B58" s="198" t="s">
        <v>156</v>
      </c>
      <c r="C58" s="199">
        <v>0</v>
      </c>
      <c r="D58" s="199">
        <f>SUMIF('Contratos - Sub69'!D:D,'Detalhamento - Sub69'!A58,'Contratos - Sub69'!I:I)+SUMIF('Pedidos - Sub69'!D:D,'Detalhamento - Sub69'!A58,'Pedidos - Sub69'!G:G)</f>
        <v>0</v>
      </c>
      <c r="E58" s="199">
        <f t="shared" si="24"/>
        <v>0</v>
      </c>
      <c r="F58" s="199">
        <f>SUMIF('Notas fiscais - Sub69'!D:D,'Detalhamento - Sub69'!A58,'Notas fiscais - Sub69'!R:R)</f>
        <v>0</v>
      </c>
      <c r="G58" s="199">
        <f>VLOOKUP(A58,'Projeções - Sub69'!B:F,5)</f>
        <v>0</v>
      </c>
      <c r="H58" s="199">
        <f t="shared" si="25"/>
        <v>0</v>
      </c>
      <c r="I58" s="200">
        <f t="shared" si="26"/>
        <v>0</v>
      </c>
    </row>
    <row r="59" spans="1:9" outlineLevel="2">
      <c r="A59" s="193">
        <v>2001007</v>
      </c>
      <c r="B59" s="194" t="s">
        <v>157</v>
      </c>
      <c r="C59" s="195">
        <f>SUBTOTAL(9,C60:C62)</f>
        <v>0</v>
      </c>
      <c r="D59" s="195">
        <f t="shared" ref="D59:I59" si="27">SUBTOTAL(9,D60:D62)</f>
        <v>0</v>
      </c>
      <c r="E59" s="195">
        <f t="shared" si="27"/>
        <v>0</v>
      </c>
      <c r="F59" s="195">
        <f t="shared" si="27"/>
        <v>0</v>
      </c>
      <c r="G59" s="195">
        <f t="shared" si="27"/>
        <v>0</v>
      </c>
      <c r="H59" s="195">
        <f t="shared" si="27"/>
        <v>0</v>
      </c>
      <c r="I59" s="196">
        <f t="shared" si="27"/>
        <v>0</v>
      </c>
    </row>
    <row r="60" spans="1:9" outlineLevel="3">
      <c r="A60" s="197">
        <v>2001007001</v>
      </c>
      <c r="B60" s="198" t="s">
        <v>158</v>
      </c>
      <c r="C60" s="199">
        <v>0</v>
      </c>
      <c r="D60" s="199">
        <f>SUMIF('Contratos - Sub69'!D:D,'Detalhamento - Sub69'!A60,'Contratos - Sub69'!I:I)+SUMIF('Pedidos - Sub69'!D:D,'Detalhamento - Sub69'!A60,'Pedidos - Sub69'!G:G)</f>
        <v>0</v>
      </c>
      <c r="E60" s="199">
        <f t="shared" ref="E60:E62" si="28">C60-D60</f>
        <v>0</v>
      </c>
      <c r="F60" s="199">
        <f>SUMIF('Notas fiscais - Sub69'!D:D,'Detalhamento - Sub69'!A60,'Notas fiscais - Sub69'!R:R)</f>
        <v>0</v>
      </c>
      <c r="G60" s="199">
        <f>VLOOKUP(A60,'Projeções - Sub69'!B:F,5)</f>
        <v>0</v>
      </c>
      <c r="H60" s="199">
        <f t="shared" ref="H60:H62" si="29">D60+G60</f>
        <v>0</v>
      </c>
      <c r="I60" s="200">
        <f>C60-H60</f>
        <v>0</v>
      </c>
    </row>
    <row r="61" spans="1:9" outlineLevel="3">
      <c r="A61" s="197">
        <v>2001007002</v>
      </c>
      <c r="B61" s="198" t="s">
        <v>159</v>
      </c>
      <c r="C61" s="199">
        <v>0</v>
      </c>
      <c r="D61" s="199">
        <f>SUMIF('Contratos - Sub69'!D:D,'Detalhamento - Sub69'!A61,'Contratos - Sub69'!I:I)+SUMIF('Pedidos - Sub69'!D:D,'Detalhamento - Sub69'!A61,'Pedidos - Sub69'!G:G)</f>
        <v>0</v>
      </c>
      <c r="E61" s="199">
        <f t="shared" si="28"/>
        <v>0</v>
      </c>
      <c r="F61" s="199">
        <f>SUMIF('Notas fiscais - Sub69'!D:D,'Detalhamento - Sub69'!A61,'Notas fiscais - Sub69'!R:R)</f>
        <v>0</v>
      </c>
      <c r="G61" s="199">
        <f>VLOOKUP(A61,'Projeções - Sub69'!B:F,5)</f>
        <v>0</v>
      </c>
      <c r="H61" s="199">
        <f t="shared" si="29"/>
        <v>0</v>
      </c>
      <c r="I61" s="200">
        <f>C61-H61</f>
        <v>0</v>
      </c>
    </row>
    <row r="62" spans="1:9" outlineLevel="3">
      <c r="A62" s="197">
        <v>2001007003</v>
      </c>
      <c r="B62" s="198" t="s">
        <v>160</v>
      </c>
      <c r="C62" s="199">
        <v>0</v>
      </c>
      <c r="D62" s="199">
        <f>SUMIF('Contratos - Sub69'!D:D,'Detalhamento - Sub69'!A62,'Contratos - Sub69'!I:I)+SUMIF('Pedidos - Sub69'!D:D,'Detalhamento - Sub69'!A62,'Pedidos - Sub69'!G:G)</f>
        <v>0</v>
      </c>
      <c r="E62" s="199">
        <f t="shared" si="28"/>
        <v>0</v>
      </c>
      <c r="F62" s="199">
        <f>SUMIF('Notas fiscais - Sub69'!D:D,'Detalhamento - Sub69'!A62,'Notas fiscais - Sub69'!R:R)</f>
        <v>0</v>
      </c>
      <c r="G62" s="199">
        <f>VLOOKUP(A62,'Projeções - Sub69'!B:F,5)</f>
        <v>0</v>
      </c>
      <c r="H62" s="199">
        <f t="shared" si="29"/>
        <v>0</v>
      </c>
      <c r="I62" s="200">
        <f>C62-H62</f>
        <v>0</v>
      </c>
    </row>
    <row r="63" spans="1:9" outlineLevel="2">
      <c r="A63" s="193">
        <v>2001008</v>
      </c>
      <c r="B63" s="194" t="s">
        <v>161</v>
      </c>
      <c r="C63" s="195">
        <f>SUBTOTAL(9,C64:C66)</f>
        <v>0</v>
      </c>
      <c r="D63" s="195">
        <f t="shared" ref="D63:I63" si="30">SUBTOTAL(9,D64:D66)</f>
        <v>0</v>
      </c>
      <c r="E63" s="195">
        <f t="shared" si="30"/>
        <v>0</v>
      </c>
      <c r="F63" s="195">
        <f t="shared" si="30"/>
        <v>0</v>
      </c>
      <c r="G63" s="195">
        <f t="shared" si="30"/>
        <v>0</v>
      </c>
      <c r="H63" s="195">
        <f t="shared" si="30"/>
        <v>0</v>
      </c>
      <c r="I63" s="196">
        <f t="shared" si="30"/>
        <v>0</v>
      </c>
    </row>
    <row r="64" spans="1:9" outlineLevel="3">
      <c r="A64" s="197">
        <v>2001008001</v>
      </c>
      <c r="B64" s="198" t="s">
        <v>162</v>
      </c>
      <c r="C64" s="199">
        <v>0</v>
      </c>
      <c r="D64" s="199">
        <f>SUMIF('Contratos - Sub69'!D:D,'Detalhamento - Sub69'!A64,'Contratos - Sub69'!I:I)+SUMIF('Pedidos - Sub69'!D:D,'Detalhamento - Sub69'!A64,'Pedidos - Sub69'!G:G)</f>
        <v>0</v>
      </c>
      <c r="E64" s="199">
        <f t="shared" ref="E64:E66" si="31">C64-D64</f>
        <v>0</v>
      </c>
      <c r="F64" s="199">
        <f>SUMIF('Notas fiscais - Sub69'!D:D,'Detalhamento - Sub69'!A64,'Notas fiscais - Sub69'!R:R)</f>
        <v>0</v>
      </c>
      <c r="G64" s="199">
        <f>VLOOKUP(A64,'Projeções - Sub69'!B:F,5)</f>
        <v>0</v>
      </c>
      <c r="H64" s="199">
        <f t="shared" ref="H64:H66" si="32">D64+G64</f>
        <v>0</v>
      </c>
      <c r="I64" s="200">
        <f>C64-H64</f>
        <v>0</v>
      </c>
    </row>
    <row r="65" spans="1:9" outlineLevel="3">
      <c r="A65" s="197">
        <v>2001008002</v>
      </c>
      <c r="B65" s="198" t="s">
        <v>163</v>
      </c>
      <c r="C65" s="199">
        <v>0</v>
      </c>
      <c r="D65" s="199">
        <f>SUMIF('Contratos - Sub69'!D:D,'Detalhamento - Sub69'!A65,'Contratos - Sub69'!I:I)+SUMIF('Pedidos - Sub69'!D:D,'Detalhamento - Sub69'!A65,'Pedidos - Sub69'!G:G)</f>
        <v>0</v>
      </c>
      <c r="E65" s="199">
        <f t="shared" si="31"/>
        <v>0</v>
      </c>
      <c r="F65" s="199">
        <f>SUMIF('Notas fiscais - Sub69'!D:D,'Detalhamento - Sub69'!A65,'Notas fiscais - Sub69'!R:R)</f>
        <v>0</v>
      </c>
      <c r="G65" s="199">
        <f>VLOOKUP(A65,'Projeções - Sub69'!B:F,5)</f>
        <v>0</v>
      </c>
      <c r="H65" s="199">
        <f t="shared" si="32"/>
        <v>0</v>
      </c>
      <c r="I65" s="200">
        <f>C65-H65</f>
        <v>0</v>
      </c>
    </row>
    <row r="66" spans="1:9" outlineLevel="3">
      <c r="A66" s="197">
        <v>2001008003</v>
      </c>
      <c r="B66" s="198" t="s">
        <v>164</v>
      </c>
      <c r="C66" s="199">
        <v>0</v>
      </c>
      <c r="D66" s="199">
        <f>SUMIF('Contratos - Sub69'!D:D,'Detalhamento - Sub69'!A66,'Contratos - Sub69'!I:I)+SUMIF('Pedidos - Sub69'!D:D,'Detalhamento - Sub69'!A66,'Pedidos - Sub69'!G:G)</f>
        <v>0</v>
      </c>
      <c r="E66" s="199">
        <f t="shared" si="31"/>
        <v>0</v>
      </c>
      <c r="F66" s="199">
        <f>SUMIF('Notas fiscais - Sub69'!D:D,'Detalhamento - Sub69'!A66,'Notas fiscais - Sub69'!R:R)</f>
        <v>0</v>
      </c>
      <c r="G66" s="199">
        <f>VLOOKUP(A66,'Projeções - Sub69'!B:F,5)</f>
        <v>0</v>
      </c>
      <c r="H66" s="199">
        <f t="shared" si="32"/>
        <v>0</v>
      </c>
      <c r="I66" s="200">
        <f>C66-H66</f>
        <v>0</v>
      </c>
    </row>
    <row r="67" spans="1:9" outlineLevel="2">
      <c r="A67" s="193">
        <v>2001009</v>
      </c>
      <c r="B67" s="194" t="s">
        <v>165</v>
      </c>
      <c r="C67" s="195">
        <f>SUBTOTAL(9,C68:C70)</f>
        <v>0</v>
      </c>
      <c r="D67" s="195">
        <f t="shared" ref="D67:I67" si="33">SUBTOTAL(9,D68:D70)</f>
        <v>0</v>
      </c>
      <c r="E67" s="195">
        <f t="shared" si="33"/>
        <v>0</v>
      </c>
      <c r="F67" s="195">
        <f t="shared" si="33"/>
        <v>0</v>
      </c>
      <c r="G67" s="195">
        <f t="shared" si="33"/>
        <v>0</v>
      </c>
      <c r="H67" s="195">
        <f t="shared" si="33"/>
        <v>0</v>
      </c>
      <c r="I67" s="196">
        <f t="shared" si="33"/>
        <v>0</v>
      </c>
    </row>
    <row r="68" spans="1:9" outlineLevel="3">
      <c r="A68" s="197">
        <v>2001009001</v>
      </c>
      <c r="B68" s="198" t="s">
        <v>166</v>
      </c>
      <c r="C68" s="199">
        <v>0</v>
      </c>
      <c r="D68" s="199">
        <f>SUMIF('Contratos - Sub69'!D:D,'Detalhamento - Sub69'!A68,'Contratos - Sub69'!I:I)+SUMIF('Pedidos - Sub69'!D:D,'Detalhamento - Sub69'!A68,'Pedidos - Sub69'!G:G)</f>
        <v>0</v>
      </c>
      <c r="E68" s="199">
        <f t="shared" ref="E68:E70" si="34">C68-D68</f>
        <v>0</v>
      </c>
      <c r="F68" s="199">
        <f>SUMIF('Notas fiscais - Sub69'!D:D,'Detalhamento - Sub69'!A68,'Notas fiscais - Sub69'!R:R)</f>
        <v>0</v>
      </c>
      <c r="G68" s="199">
        <f>VLOOKUP(A68,'Projeções - Sub69'!B:F,5)</f>
        <v>0</v>
      </c>
      <c r="H68" s="199">
        <f t="shared" ref="H68:H70" si="35">D68+G68</f>
        <v>0</v>
      </c>
      <c r="I68" s="200">
        <f>C68-H68</f>
        <v>0</v>
      </c>
    </row>
    <row r="69" spans="1:9" outlineLevel="3">
      <c r="A69" s="197">
        <v>2001009002</v>
      </c>
      <c r="B69" s="198" t="s">
        <v>167</v>
      </c>
      <c r="C69" s="199">
        <v>0</v>
      </c>
      <c r="D69" s="199">
        <f>SUMIF('Contratos - Sub69'!D:D,'Detalhamento - Sub69'!A69,'Contratos - Sub69'!I:I)+SUMIF('Pedidos - Sub69'!D:D,'Detalhamento - Sub69'!A69,'Pedidos - Sub69'!G:G)</f>
        <v>0</v>
      </c>
      <c r="E69" s="199">
        <f t="shared" si="34"/>
        <v>0</v>
      </c>
      <c r="F69" s="199">
        <f>SUMIF('Notas fiscais - Sub69'!D:D,'Detalhamento - Sub69'!A69,'Notas fiscais - Sub69'!R:R)</f>
        <v>0</v>
      </c>
      <c r="G69" s="199">
        <f>VLOOKUP(A69,'Projeções - Sub69'!B:F,5)</f>
        <v>0</v>
      </c>
      <c r="H69" s="199">
        <f t="shared" si="35"/>
        <v>0</v>
      </c>
      <c r="I69" s="200">
        <f>C69-H69</f>
        <v>0</v>
      </c>
    </row>
    <row r="70" spans="1:9" outlineLevel="3">
      <c r="A70" s="197">
        <v>2001009003</v>
      </c>
      <c r="B70" s="198" t="s">
        <v>168</v>
      </c>
      <c r="C70" s="199">
        <v>0</v>
      </c>
      <c r="D70" s="199">
        <f>SUMIF('Contratos - Sub69'!D:D,'Detalhamento - Sub69'!A70,'Contratos - Sub69'!I:I)+SUMIF('Pedidos - Sub69'!D:D,'Detalhamento - Sub69'!A70,'Pedidos - Sub69'!G:G)</f>
        <v>0</v>
      </c>
      <c r="E70" s="199">
        <f t="shared" si="34"/>
        <v>0</v>
      </c>
      <c r="F70" s="199">
        <f>SUMIF('Notas fiscais - Sub69'!D:D,'Detalhamento - Sub69'!A70,'Notas fiscais - Sub69'!R:R)</f>
        <v>0</v>
      </c>
      <c r="G70" s="199">
        <f>VLOOKUP(A70,'Projeções - Sub69'!B:F,5)</f>
        <v>0</v>
      </c>
      <c r="H70" s="199">
        <f t="shared" si="35"/>
        <v>0</v>
      </c>
      <c r="I70" s="200">
        <f>C70-H70</f>
        <v>0</v>
      </c>
    </row>
    <row r="71" spans="1:9" outlineLevel="2">
      <c r="A71" s="193">
        <v>2001010</v>
      </c>
      <c r="B71" s="194" t="s">
        <v>169</v>
      </c>
      <c r="C71" s="195">
        <f>SUBTOTAL(9,C72)</f>
        <v>0</v>
      </c>
      <c r="D71" s="195">
        <f t="shared" ref="D71:I71" si="36">SUBTOTAL(9,D72)</f>
        <v>0</v>
      </c>
      <c r="E71" s="195">
        <f t="shared" si="36"/>
        <v>0</v>
      </c>
      <c r="F71" s="195">
        <f t="shared" si="36"/>
        <v>0</v>
      </c>
      <c r="G71" s="195">
        <f t="shared" si="36"/>
        <v>0</v>
      </c>
      <c r="H71" s="195">
        <f t="shared" si="36"/>
        <v>0</v>
      </c>
      <c r="I71" s="196">
        <f t="shared" si="36"/>
        <v>0</v>
      </c>
    </row>
    <row r="72" spans="1:9" outlineLevel="3">
      <c r="A72" s="197">
        <v>2001010001</v>
      </c>
      <c r="B72" s="198" t="s">
        <v>170</v>
      </c>
      <c r="C72" s="199">
        <v>0</v>
      </c>
      <c r="D72" s="199">
        <f>SUMIF('Contratos - Sub69'!D:D,'Detalhamento - Sub69'!A72,'Contratos - Sub69'!I:I)+SUMIF('Pedidos - Sub69'!D:D,'Detalhamento - Sub69'!A72,'Pedidos - Sub69'!G:G)</f>
        <v>0</v>
      </c>
      <c r="E72" s="199">
        <f t="shared" ref="E72" si="37">C72-D72</f>
        <v>0</v>
      </c>
      <c r="F72" s="199">
        <f>SUMIF('Notas fiscais - Sub69'!D:D,'Detalhamento - Sub69'!A72,'Notas fiscais - Sub69'!R:R)</f>
        <v>0</v>
      </c>
      <c r="G72" s="199">
        <f>VLOOKUP(A72,'Projeções - Sub69'!B:F,5)</f>
        <v>0</v>
      </c>
      <c r="H72" s="199">
        <f>D72+G72</f>
        <v>0</v>
      </c>
      <c r="I72" s="200">
        <f>C72-H72</f>
        <v>0</v>
      </c>
    </row>
    <row r="73" spans="1:9" outlineLevel="2">
      <c r="A73" s="193">
        <v>2001011</v>
      </c>
      <c r="B73" s="194" t="s">
        <v>171</v>
      </c>
      <c r="C73" s="195">
        <f>SUBTOTAL(9,C74:C82)</f>
        <v>0</v>
      </c>
      <c r="D73" s="195">
        <f t="shared" ref="D73:I73" si="38">SUBTOTAL(9,D74:D82)</f>
        <v>0</v>
      </c>
      <c r="E73" s="195">
        <f t="shared" si="38"/>
        <v>0</v>
      </c>
      <c r="F73" s="195">
        <f t="shared" si="38"/>
        <v>0</v>
      </c>
      <c r="G73" s="195">
        <f t="shared" si="38"/>
        <v>0</v>
      </c>
      <c r="H73" s="195">
        <f t="shared" si="38"/>
        <v>0</v>
      </c>
      <c r="I73" s="196">
        <f t="shared" si="38"/>
        <v>0</v>
      </c>
    </row>
    <row r="74" spans="1:9" outlineLevel="3">
      <c r="A74" s="197">
        <v>2001011001</v>
      </c>
      <c r="B74" s="198" t="s">
        <v>172</v>
      </c>
      <c r="C74" s="199">
        <v>0</v>
      </c>
      <c r="D74" s="199">
        <f>SUMIF('Contratos - Sub69'!D:D,'Detalhamento - Sub69'!A74,'Contratos - Sub69'!I:I)+SUMIF('Pedidos - Sub69'!D:D,'Detalhamento - Sub69'!A74,'Pedidos - Sub69'!G:G)</f>
        <v>0</v>
      </c>
      <c r="E74" s="199">
        <f t="shared" ref="E74:E82" si="39">C74-D74</f>
        <v>0</v>
      </c>
      <c r="F74" s="199">
        <f>SUMIF('Notas fiscais - Sub69'!D:D,'Detalhamento - Sub69'!A74,'Notas fiscais - Sub69'!R:R)</f>
        <v>0</v>
      </c>
      <c r="G74" s="199">
        <f>VLOOKUP(A74,'Projeções - Sub69'!B:F,5)</f>
        <v>0</v>
      </c>
      <c r="H74" s="199">
        <f t="shared" ref="H74:H82" si="40">D74+G74</f>
        <v>0</v>
      </c>
      <c r="I74" s="200">
        <f t="shared" ref="I74:I82" si="41">C74-H74</f>
        <v>0</v>
      </c>
    </row>
    <row r="75" spans="1:9" outlineLevel="3">
      <c r="A75" s="197">
        <v>2001011002</v>
      </c>
      <c r="B75" s="198" t="s">
        <v>173</v>
      </c>
      <c r="C75" s="199">
        <v>0</v>
      </c>
      <c r="D75" s="199">
        <f>SUMIF('Contratos - Sub69'!D:D,'Detalhamento - Sub69'!A75,'Contratos - Sub69'!I:I)+SUMIF('Pedidos - Sub69'!D:D,'Detalhamento - Sub69'!A75,'Pedidos - Sub69'!G:G)</f>
        <v>0</v>
      </c>
      <c r="E75" s="199">
        <f t="shared" si="39"/>
        <v>0</v>
      </c>
      <c r="F75" s="199">
        <f>SUMIF('Notas fiscais - Sub69'!D:D,'Detalhamento - Sub69'!A75,'Notas fiscais - Sub69'!R:R)</f>
        <v>0</v>
      </c>
      <c r="G75" s="199">
        <f>VLOOKUP(A75,'Projeções - Sub69'!B:F,5)</f>
        <v>0</v>
      </c>
      <c r="H75" s="199">
        <f t="shared" si="40"/>
        <v>0</v>
      </c>
      <c r="I75" s="200">
        <f t="shared" si="41"/>
        <v>0</v>
      </c>
    </row>
    <row r="76" spans="1:9" outlineLevel="3">
      <c r="A76" s="197">
        <v>2001011003</v>
      </c>
      <c r="B76" s="198" t="s">
        <v>174</v>
      </c>
      <c r="C76" s="199">
        <v>0</v>
      </c>
      <c r="D76" s="199">
        <f>SUMIF('Contratos - Sub69'!D:D,'Detalhamento - Sub69'!A76,'Contratos - Sub69'!I:I)+SUMIF('Pedidos - Sub69'!D:D,'Detalhamento - Sub69'!A76,'Pedidos - Sub69'!G:G)</f>
        <v>0</v>
      </c>
      <c r="E76" s="199">
        <f t="shared" si="39"/>
        <v>0</v>
      </c>
      <c r="F76" s="199">
        <f>SUMIF('Notas fiscais - Sub69'!D:D,'Detalhamento - Sub69'!A76,'Notas fiscais - Sub69'!R:R)</f>
        <v>0</v>
      </c>
      <c r="G76" s="199">
        <f>VLOOKUP(A76,'Projeções - Sub69'!B:F,5)</f>
        <v>0</v>
      </c>
      <c r="H76" s="199">
        <f t="shared" si="40"/>
        <v>0</v>
      </c>
      <c r="I76" s="200">
        <f t="shared" si="41"/>
        <v>0</v>
      </c>
    </row>
    <row r="77" spans="1:9" outlineLevel="3">
      <c r="A77" s="197">
        <v>2001011004</v>
      </c>
      <c r="B77" s="198" t="s">
        <v>175</v>
      </c>
      <c r="C77" s="199">
        <v>0</v>
      </c>
      <c r="D77" s="199">
        <f>SUMIF('Contratos - Sub69'!D:D,'Detalhamento - Sub69'!A77,'Contratos - Sub69'!I:I)+SUMIF('Pedidos - Sub69'!D:D,'Detalhamento - Sub69'!A77,'Pedidos - Sub69'!G:G)</f>
        <v>0</v>
      </c>
      <c r="E77" s="199">
        <f t="shared" si="39"/>
        <v>0</v>
      </c>
      <c r="F77" s="199">
        <f>SUMIF('Notas fiscais - Sub69'!D:D,'Detalhamento - Sub69'!A77,'Notas fiscais - Sub69'!R:R)</f>
        <v>0</v>
      </c>
      <c r="G77" s="199">
        <f>VLOOKUP(A77,'Projeções - Sub69'!B:F,5)</f>
        <v>0</v>
      </c>
      <c r="H77" s="199">
        <f t="shared" si="40"/>
        <v>0</v>
      </c>
      <c r="I77" s="200">
        <f t="shared" si="41"/>
        <v>0</v>
      </c>
    </row>
    <row r="78" spans="1:9" outlineLevel="3">
      <c r="A78" s="197">
        <v>2001011005</v>
      </c>
      <c r="B78" s="198" t="s">
        <v>176</v>
      </c>
      <c r="C78" s="199">
        <v>0</v>
      </c>
      <c r="D78" s="199">
        <f>SUMIF('Contratos - Sub69'!D:D,'Detalhamento - Sub69'!A78,'Contratos - Sub69'!I:I)+SUMIF('Pedidos - Sub69'!D:D,'Detalhamento - Sub69'!A78,'Pedidos - Sub69'!G:G)</f>
        <v>0</v>
      </c>
      <c r="E78" s="199">
        <f t="shared" si="39"/>
        <v>0</v>
      </c>
      <c r="F78" s="199">
        <f>SUMIF('Notas fiscais - Sub69'!D:D,'Detalhamento - Sub69'!A78,'Notas fiscais - Sub69'!R:R)</f>
        <v>0</v>
      </c>
      <c r="G78" s="199">
        <f>VLOOKUP(A78,'Projeções - Sub69'!B:F,5)</f>
        <v>0</v>
      </c>
      <c r="H78" s="199">
        <f t="shared" si="40"/>
        <v>0</v>
      </c>
      <c r="I78" s="200">
        <f t="shared" si="41"/>
        <v>0</v>
      </c>
    </row>
    <row r="79" spans="1:9" outlineLevel="3">
      <c r="A79" s="197">
        <v>2001011006</v>
      </c>
      <c r="B79" s="198" t="s">
        <v>177</v>
      </c>
      <c r="C79" s="199">
        <v>0</v>
      </c>
      <c r="D79" s="199">
        <f>SUMIF('Contratos - Sub69'!D:D,'Detalhamento - Sub69'!A79,'Contratos - Sub69'!I:I)+SUMIF('Pedidos - Sub69'!D:D,'Detalhamento - Sub69'!A79,'Pedidos - Sub69'!G:G)</f>
        <v>0</v>
      </c>
      <c r="E79" s="199">
        <f t="shared" si="39"/>
        <v>0</v>
      </c>
      <c r="F79" s="199">
        <f>SUMIF('Notas fiscais - Sub69'!D:D,'Detalhamento - Sub69'!A79,'Notas fiscais - Sub69'!R:R)</f>
        <v>0</v>
      </c>
      <c r="G79" s="199">
        <f>VLOOKUP(A79,'Projeções - Sub69'!B:F,5)</f>
        <v>0</v>
      </c>
      <c r="H79" s="199">
        <f t="shared" si="40"/>
        <v>0</v>
      </c>
      <c r="I79" s="200">
        <f t="shared" si="41"/>
        <v>0</v>
      </c>
    </row>
    <row r="80" spans="1:9" outlineLevel="3">
      <c r="A80" s="197">
        <v>2001011007</v>
      </c>
      <c r="B80" s="198" t="s">
        <v>178</v>
      </c>
      <c r="C80" s="199">
        <v>0</v>
      </c>
      <c r="D80" s="199">
        <f>SUMIF('Contratos - Sub69'!D:D,'Detalhamento - Sub69'!A80,'Contratos - Sub69'!I:I)+SUMIF('Pedidos - Sub69'!D:D,'Detalhamento - Sub69'!A80,'Pedidos - Sub69'!G:G)</f>
        <v>0</v>
      </c>
      <c r="E80" s="199">
        <f t="shared" si="39"/>
        <v>0</v>
      </c>
      <c r="F80" s="199">
        <f>SUMIF('Notas fiscais - Sub69'!D:D,'Detalhamento - Sub69'!A80,'Notas fiscais - Sub69'!R:R)</f>
        <v>0</v>
      </c>
      <c r="G80" s="199">
        <f>VLOOKUP(A80,'Projeções - Sub69'!B:F,5)</f>
        <v>0</v>
      </c>
      <c r="H80" s="199">
        <f t="shared" si="40"/>
        <v>0</v>
      </c>
      <c r="I80" s="200">
        <f t="shared" si="41"/>
        <v>0</v>
      </c>
    </row>
    <row r="81" spans="1:9" outlineLevel="3">
      <c r="A81" s="197">
        <v>2001011008</v>
      </c>
      <c r="B81" s="198" t="s">
        <v>179</v>
      </c>
      <c r="C81" s="199">
        <v>0</v>
      </c>
      <c r="D81" s="199">
        <f>SUMIF('Contratos - Sub69'!D:D,'Detalhamento - Sub69'!A81,'Contratos - Sub69'!I:I)+SUMIF('Pedidos - Sub69'!D:D,'Detalhamento - Sub69'!A81,'Pedidos - Sub69'!G:G)</f>
        <v>0</v>
      </c>
      <c r="E81" s="199">
        <f t="shared" si="39"/>
        <v>0</v>
      </c>
      <c r="F81" s="199">
        <f>SUMIF('Notas fiscais - Sub69'!D:D,'Detalhamento - Sub69'!A81,'Notas fiscais - Sub69'!R:R)</f>
        <v>0</v>
      </c>
      <c r="G81" s="199">
        <f>VLOOKUP(A81,'Projeções - Sub69'!B:F,5)</f>
        <v>0</v>
      </c>
      <c r="H81" s="199">
        <f t="shared" si="40"/>
        <v>0</v>
      </c>
      <c r="I81" s="200">
        <f t="shared" si="41"/>
        <v>0</v>
      </c>
    </row>
    <row r="82" spans="1:9" outlineLevel="3">
      <c r="A82" s="197">
        <v>2001011009</v>
      </c>
      <c r="B82" s="198" t="s">
        <v>180</v>
      </c>
      <c r="C82" s="199">
        <v>0</v>
      </c>
      <c r="D82" s="199">
        <f>SUMIF('Contratos - Sub69'!D:D,'Detalhamento - Sub69'!A82,'Contratos - Sub69'!I:I)+SUMIF('Pedidos - Sub69'!D:D,'Detalhamento - Sub69'!A82,'Pedidos - Sub69'!G:G)</f>
        <v>0</v>
      </c>
      <c r="E82" s="199">
        <f t="shared" si="39"/>
        <v>0</v>
      </c>
      <c r="F82" s="199">
        <f>SUMIF('Notas fiscais - Sub69'!D:D,'Detalhamento - Sub69'!A82,'Notas fiscais - Sub69'!R:R)</f>
        <v>0</v>
      </c>
      <c r="G82" s="199">
        <f>VLOOKUP(A82,'Projeções - Sub69'!B:F,5)</f>
        <v>0</v>
      </c>
      <c r="H82" s="199">
        <f t="shared" si="40"/>
        <v>0</v>
      </c>
      <c r="I82" s="200">
        <f t="shared" si="41"/>
        <v>0</v>
      </c>
    </row>
    <row r="83" spans="1:9" outlineLevel="2">
      <c r="A83" s="193">
        <v>2001012</v>
      </c>
      <c r="B83" s="194" t="s">
        <v>181</v>
      </c>
      <c r="C83" s="195">
        <f>SUBTOTAL(9,C84:C94)</f>
        <v>0</v>
      </c>
      <c r="D83" s="195">
        <f t="shared" ref="D83:I83" si="42">SUBTOTAL(9,D84:D94)</f>
        <v>0</v>
      </c>
      <c r="E83" s="195">
        <f t="shared" si="42"/>
        <v>0</v>
      </c>
      <c r="F83" s="195">
        <f t="shared" si="42"/>
        <v>0</v>
      </c>
      <c r="G83" s="195">
        <f t="shared" si="42"/>
        <v>0</v>
      </c>
      <c r="H83" s="195">
        <f t="shared" si="42"/>
        <v>0</v>
      </c>
      <c r="I83" s="196">
        <f t="shared" si="42"/>
        <v>0</v>
      </c>
    </row>
    <row r="84" spans="1:9" outlineLevel="3">
      <c r="A84" s="197">
        <v>2001012001</v>
      </c>
      <c r="B84" s="198" t="s">
        <v>182</v>
      </c>
      <c r="C84" s="199">
        <v>0</v>
      </c>
      <c r="D84" s="199">
        <f>SUMIF('Contratos - Sub69'!D:D,'Detalhamento - Sub69'!A84,'Contratos - Sub69'!I:I)+SUMIF('Pedidos - Sub69'!D:D,'Detalhamento - Sub69'!A84,'Pedidos - Sub69'!G:G)</f>
        <v>0</v>
      </c>
      <c r="E84" s="199">
        <f t="shared" ref="E84:E94" si="43">C84-D84</f>
        <v>0</v>
      </c>
      <c r="F84" s="199">
        <f>SUMIF('Notas fiscais - Sub69'!D:D,'Detalhamento - Sub69'!A84,'Notas fiscais - Sub69'!R:R)</f>
        <v>0</v>
      </c>
      <c r="G84" s="199">
        <f>VLOOKUP(A84,'Projeções - Sub69'!B:F,5)</f>
        <v>0</v>
      </c>
      <c r="H84" s="199">
        <f t="shared" ref="H84:H94" si="44">D84+G84</f>
        <v>0</v>
      </c>
      <c r="I84" s="200">
        <f t="shared" ref="I84:I94" si="45">C84-H84</f>
        <v>0</v>
      </c>
    </row>
    <row r="85" spans="1:9" outlineLevel="3">
      <c r="A85" s="197">
        <v>2001012002</v>
      </c>
      <c r="B85" s="198" t="s">
        <v>183</v>
      </c>
      <c r="C85" s="199">
        <v>0</v>
      </c>
      <c r="D85" s="199">
        <f>SUMIF('Contratos - Sub69'!D:D,'Detalhamento - Sub69'!A85,'Contratos - Sub69'!I:I)+SUMIF('Pedidos - Sub69'!D:D,'Detalhamento - Sub69'!A85,'Pedidos - Sub69'!G:G)</f>
        <v>0</v>
      </c>
      <c r="E85" s="199">
        <f t="shared" si="43"/>
        <v>0</v>
      </c>
      <c r="F85" s="199">
        <f>SUMIF('Notas fiscais - Sub69'!D:D,'Detalhamento - Sub69'!A85,'Notas fiscais - Sub69'!R:R)</f>
        <v>0</v>
      </c>
      <c r="G85" s="199">
        <f>VLOOKUP(A85,'Projeções - Sub69'!B:F,5)</f>
        <v>0</v>
      </c>
      <c r="H85" s="199">
        <f t="shared" si="44"/>
        <v>0</v>
      </c>
      <c r="I85" s="200">
        <f t="shared" si="45"/>
        <v>0</v>
      </c>
    </row>
    <row r="86" spans="1:9" outlineLevel="3">
      <c r="A86" s="197">
        <v>2001012003</v>
      </c>
      <c r="B86" s="198" t="s">
        <v>184</v>
      </c>
      <c r="C86" s="199">
        <v>0</v>
      </c>
      <c r="D86" s="199">
        <f>SUMIF('Contratos - Sub69'!D:D,'Detalhamento - Sub69'!A86,'Contratos - Sub69'!I:I)+SUMIF('Pedidos - Sub69'!D:D,'Detalhamento - Sub69'!A86,'Pedidos - Sub69'!G:G)</f>
        <v>0</v>
      </c>
      <c r="E86" s="199">
        <f t="shared" si="43"/>
        <v>0</v>
      </c>
      <c r="F86" s="199">
        <f>SUMIF('Notas fiscais - Sub69'!D:D,'Detalhamento - Sub69'!A86,'Notas fiscais - Sub69'!R:R)</f>
        <v>0</v>
      </c>
      <c r="G86" s="199">
        <f>VLOOKUP(A86,'Projeções - Sub69'!B:F,5)</f>
        <v>0</v>
      </c>
      <c r="H86" s="199">
        <f t="shared" si="44"/>
        <v>0</v>
      </c>
      <c r="I86" s="200">
        <f t="shared" si="45"/>
        <v>0</v>
      </c>
    </row>
    <row r="87" spans="1:9" outlineLevel="3">
      <c r="A87" s="197">
        <v>2001012004</v>
      </c>
      <c r="B87" s="198" t="s">
        <v>185</v>
      </c>
      <c r="C87" s="199">
        <v>0</v>
      </c>
      <c r="D87" s="199">
        <f>SUMIF('Contratos - Sub69'!D:D,'Detalhamento - Sub69'!A87,'Contratos - Sub69'!I:I)+SUMIF('Pedidos - Sub69'!D:D,'Detalhamento - Sub69'!A87,'Pedidos - Sub69'!G:G)</f>
        <v>0</v>
      </c>
      <c r="E87" s="199">
        <f t="shared" si="43"/>
        <v>0</v>
      </c>
      <c r="F87" s="199">
        <f>SUMIF('Notas fiscais - Sub69'!D:D,'Detalhamento - Sub69'!A87,'Notas fiscais - Sub69'!R:R)</f>
        <v>0</v>
      </c>
      <c r="G87" s="199">
        <f>VLOOKUP(A87,'Projeções - Sub69'!B:F,5)</f>
        <v>0</v>
      </c>
      <c r="H87" s="199">
        <f t="shared" si="44"/>
        <v>0</v>
      </c>
      <c r="I87" s="200">
        <f t="shared" si="45"/>
        <v>0</v>
      </c>
    </row>
    <row r="88" spans="1:9" outlineLevel="3">
      <c r="A88" s="197">
        <v>2001012005</v>
      </c>
      <c r="B88" s="198" t="s">
        <v>186</v>
      </c>
      <c r="C88" s="199">
        <v>0</v>
      </c>
      <c r="D88" s="199">
        <f>SUMIF('Contratos - Sub69'!D:D,'Detalhamento - Sub69'!A88,'Contratos - Sub69'!I:I)+SUMIF('Pedidos - Sub69'!D:D,'Detalhamento - Sub69'!A88,'Pedidos - Sub69'!G:G)</f>
        <v>0</v>
      </c>
      <c r="E88" s="199">
        <f t="shared" si="43"/>
        <v>0</v>
      </c>
      <c r="F88" s="199">
        <f>SUMIF('Notas fiscais - Sub69'!D:D,'Detalhamento - Sub69'!A88,'Notas fiscais - Sub69'!R:R)</f>
        <v>0</v>
      </c>
      <c r="G88" s="199">
        <f>VLOOKUP(A88,'Projeções - Sub69'!B:F,5)</f>
        <v>0</v>
      </c>
      <c r="H88" s="199">
        <f t="shared" si="44"/>
        <v>0</v>
      </c>
      <c r="I88" s="200">
        <f t="shared" si="45"/>
        <v>0</v>
      </c>
    </row>
    <row r="89" spans="1:9" outlineLevel="3">
      <c r="A89" s="197">
        <v>2001012006</v>
      </c>
      <c r="B89" s="198" t="s">
        <v>187</v>
      </c>
      <c r="C89" s="199">
        <v>0</v>
      </c>
      <c r="D89" s="199">
        <f>SUMIF('Contratos - Sub69'!D:D,'Detalhamento - Sub69'!A89,'Contratos - Sub69'!I:I)+SUMIF('Pedidos - Sub69'!D:D,'Detalhamento - Sub69'!A89,'Pedidos - Sub69'!G:G)</f>
        <v>0</v>
      </c>
      <c r="E89" s="199">
        <f t="shared" si="43"/>
        <v>0</v>
      </c>
      <c r="F89" s="199">
        <f>SUMIF('Notas fiscais - Sub69'!D:D,'Detalhamento - Sub69'!A89,'Notas fiscais - Sub69'!R:R)</f>
        <v>0</v>
      </c>
      <c r="G89" s="199">
        <f>VLOOKUP(A89,'Projeções - Sub69'!B:F,5)</f>
        <v>0</v>
      </c>
      <c r="H89" s="199">
        <f t="shared" si="44"/>
        <v>0</v>
      </c>
      <c r="I89" s="200">
        <f t="shared" si="45"/>
        <v>0</v>
      </c>
    </row>
    <row r="90" spans="1:9" outlineLevel="3">
      <c r="A90" s="197">
        <v>2001012007</v>
      </c>
      <c r="B90" s="198" t="s">
        <v>188</v>
      </c>
      <c r="C90" s="199">
        <v>0</v>
      </c>
      <c r="D90" s="199">
        <f>SUMIF('Contratos - Sub69'!D:D,'Detalhamento - Sub69'!A90,'Contratos - Sub69'!I:I)+SUMIF('Pedidos - Sub69'!D:D,'Detalhamento - Sub69'!A90,'Pedidos - Sub69'!G:G)</f>
        <v>0</v>
      </c>
      <c r="E90" s="199">
        <f t="shared" si="43"/>
        <v>0</v>
      </c>
      <c r="F90" s="199">
        <f>SUMIF('Notas fiscais - Sub69'!D:D,'Detalhamento - Sub69'!A90,'Notas fiscais - Sub69'!R:R)</f>
        <v>0</v>
      </c>
      <c r="G90" s="199">
        <f>VLOOKUP(A90,'Projeções - Sub69'!B:F,5)</f>
        <v>0</v>
      </c>
      <c r="H90" s="199">
        <f t="shared" si="44"/>
        <v>0</v>
      </c>
      <c r="I90" s="200">
        <f t="shared" si="45"/>
        <v>0</v>
      </c>
    </row>
    <row r="91" spans="1:9" outlineLevel="3">
      <c r="A91" s="197">
        <v>2001012008</v>
      </c>
      <c r="B91" s="198" t="s">
        <v>189</v>
      </c>
      <c r="C91" s="199">
        <v>0</v>
      </c>
      <c r="D91" s="199">
        <f>SUMIF('Contratos - Sub69'!D:D,'Detalhamento - Sub69'!A91,'Contratos - Sub69'!I:I)+SUMIF('Pedidos - Sub69'!D:D,'Detalhamento - Sub69'!A91,'Pedidos - Sub69'!G:G)</f>
        <v>0</v>
      </c>
      <c r="E91" s="199">
        <f t="shared" si="43"/>
        <v>0</v>
      </c>
      <c r="F91" s="199">
        <f>SUMIF('Notas fiscais - Sub69'!D:D,'Detalhamento - Sub69'!A91,'Notas fiscais - Sub69'!R:R)</f>
        <v>0</v>
      </c>
      <c r="G91" s="199">
        <f>VLOOKUP(A91,'Projeções - Sub69'!B:F,5)</f>
        <v>0</v>
      </c>
      <c r="H91" s="199">
        <f t="shared" si="44"/>
        <v>0</v>
      </c>
      <c r="I91" s="200">
        <f t="shared" si="45"/>
        <v>0</v>
      </c>
    </row>
    <row r="92" spans="1:9" outlineLevel="3">
      <c r="A92" s="197">
        <v>2001012009</v>
      </c>
      <c r="B92" s="198" t="s">
        <v>190</v>
      </c>
      <c r="C92" s="199">
        <v>0</v>
      </c>
      <c r="D92" s="199">
        <f>SUMIF('Contratos - Sub69'!D:D,'Detalhamento - Sub69'!A92,'Contratos - Sub69'!I:I)+SUMIF('Pedidos - Sub69'!D:D,'Detalhamento - Sub69'!A92,'Pedidos - Sub69'!G:G)</f>
        <v>0</v>
      </c>
      <c r="E92" s="199">
        <f t="shared" si="43"/>
        <v>0</v>
      </c>
      <c r="F92" s="199">
        <f>SUMIF('Notas fiscais - Sub69'!D:D,'Detalhamento - Sub69'!A92,'Notas fiscais - Sub69'!R:R)</f>
        <v>0</v>
      </c>
      <c r="G92" s="199">
        <f>VLOOKUP(A92,'Projeções - Sub69'!B:F,5)</f>
        <v>0</v>
      </c>
      <c r="H92" s="199">
        <f t="shared" si="44"/>
        <v>0</v>
      </c>
      <c r="I92" s="200">
        <f t="shared" si="45"/>
        <v>0</v>
      </c>
    </row>
    <row r="93" spans="1:9" outlineLevel="3">
      <c r="A93" s="197">
        <v>2001012010</v>
      </c>
      <c r="B93" s="198" t="s">
        <v>191</v>
      </c>
      <c r="C93" s="199">
        <v>0</v>
      </c>
      <c r="D93" s="199">
        <f>SUMIF('Contratos - Sub69'!D:D,'Detalhamento - Sub69'!A93,'Contratos - Sub69'!I:I)+SUMIF('Pedidos - Sub69'!D:D,'Detalhamento - Sub69'!A93,'Pedidos - Sub69'!G:G)</f>
        <v>0</v>
      </c>
      <c r="E93" s="199">
        <f t="shared" si="43"/>
        <v>0</v>
      </c>
      <c r="F93" s="199">
        <f>SUMIF('Notas fiscais - Sub69'!D:D,'Detalhamento - Sub69'!A93,'Notas fiscais - Sub69'!R:R)</f>
        <v>0</v>
      </c>
      <c r="G93" s="199">
        <f>VLOOKUP(A93,'Projeções - Sub69'!B:F,5)</f>
        <v>0</v>
      </c>
      <c r="H93" s="199">
        <f t="shared" si="44"/>
        <v>0</v>
      </c>
      <c r="I93" s="200">
        <f t="shared" si="45"/>
        <v>0</v>
      </c>
    </row>
    <row r="94" spans="1:9" outlineLevel="3">
      <c r="A94" s="197">
        <v>2001012011</v>
      </c>
      <c r="B94" s="198" t="s">
        <v>192</v>
      </c>
      <c r="C94" s="199">
        <v>0</v>
      </c>
      <c r="D94" s="199">
        <f>SUMIF('Contratos - Sub69'!D:D,'Detalhamento - Sub69'!A94,'Contratos - Sub69'!I:I)+SUMIF('Pedidos - Sub69'!D:D,'Detalhamento - Sub69'!A94,'Pedidos - Sub69'!G:G)</f>
        <v>0</v>
      </c>
      <c r="E94" s="199">
        <f t="shared" si="43"/>
        <v>0</v>
      </c>
      <c r="F94" s="199">
        <f>SUMIF('Notas fiscais - Sub69'!D:D,'Detalhamento - Sub69'!A94,'Notas fiscais - Sub69'!R:R)</f>
        <v>0</v>
      </c>
      <c r="G94" s="199">
        <f>VLOOKUP(A94,'Projeções - Sub69'!B:F,5)</f>
        <v>0</v>
      </c>
      <c r="H94" s="199">
        <f t="shared" si="44"/>
        <v>0</v>
      </c>
      <c r="I94" s="200">
        <f t="shared" si="45"/>
        <v>0</v>
      </c>
    </row>
    <row r="95" spans="1:9" outlineLevel="2">
      <c r="A95" s="193">
        <v>2001013</v>
      </c>
      <c r="B95" s="194" t="s">
        <v>193</v>
      </c>
      <c r="C95" s="195">
        <f>SUBTOTAL(9,C96)</f>
        <v>0</v>
      </c>
      <c r="D95" s="195">
        <f t="shared" ref="D95:I95" si="46">SUBTOTAL(9,D96)</f>
        <v>0</v>
      </c>
      <c r="E95" s="195">
        <f t="shared" si="46"/>
        <v>0</v>
      </c>
      <c r="F95" s="195">
        <f t="shared" si="46"/>
        <v>0</v>
      </c>
      <c r="G95" s="195">
        <f t="shared" si="46"/>
        <v>0</v>
      </c>
      <c r="H95" s="195">
        <f t="shared" si="46"/>
        <v>0</v>
      </c>
      <c r="I95" s="196">
        <f t="shared" si="46"/>
        <v>0</v>
      </c>
    </row>
    <row r="96" spans="1:9" outlineLevel="3">
      <c r="A96" s="197">
        <v>2001013001</v>
      </c>
      <c r="B96" s="198" t="s">
        <v>194</v>
      </c>
      <c r="C96" s="199">
        <v>0</v>
      </c>
      <c r="D96" s="199">
        <f>SUMIF('Contratos - Sub69'!D:D,'Detalhamento - Sub69'!A96,'Contratos - Sub69'!I:I)+SUMIF('Pedidos - Sub69'!D:D,'Detalhamento - Sub69'!A96,'Pedidos - Sub69'!G:G)</f>
        <v>0</v>
      </c>
      <c r="E96" s="199">
        <f t="shared" ref="E96" si="47">C96-D96</f>
        <v>0</v>
      </c>
      <c r="F96" s="199">
        <f>SUMIF('Notas fiscais - Sub69'!D:D,'Detalhamento - Sub69'!A96,'Notas fiscais - Sub69'!R:R)</f>
        <v>0</v>
      </c>
      <c r="G96" s="199">
        <f>VLOOKUP(A96,'Projeções - Sub69'!B:F,5)</f>
        <v>0</v>
      </c>
      <c r="H96" s="199">
        <f>D96+G96</f>
        <v>0</v>
      </c>
      <c r="I96" s="200">
        <f>C96-H96</f>
        <v>0</v>
      </c>
    </row>
    <row r="97" spans="1:9" outlineLevel="2">
      <c r="A97" s="193">
        <v>2001014</v>
      </c>
      <c r="B97" s="194" t="s">
        <v>195</v>
      </c>
      <c r="C97" s="195">
        <f>SUBTOTAL(9,C98:C99)</f>
        <v>0</v>
      </c>
      <c r="D97" s="195">
        <f t="shared" ref="D97:I97" si="48">SUBTOTAL(9,D98:D99)</f>
        <v>0</v>
      </c>
      <c r="E97" s="195">
        <f t="shared" si="48"/>
        <v>0</v>
      </c>
      <c r="F97" s="195">
        <f t="shared" si="48"/>
        <v>0</v>
      </c>
      <c r="G97" s="195">
        <f t="shared" si="48"/>
        <v>0</v>
      </c>
      <c r="H97" s="195">
        <f t="shared" si="48"/>
        <v>0</v>
      </c>
      <c r="I97" s="196">
        <f t="shared" si="48"/>
        <v>0</v>
      </c>
    </row>
    <row r="98" spans="1:9" outlineLevel="3">
      <c r="A98" s="197">
        <v>2001014001</v>
      </c>
      <c r="B98" s="198" t="s">
        <v>196</v>
      </c>
      <c r="C98" s="199">
        <v>0</v>
      </c>
      <c r="D98" s="199">
        <f>SUMIF('Contratos - Sub69'!D:D,'Detalhamento - Sub69'!A98,'Contratos - Sub69'!I:I)+SUMIF('Pedidos - Sub69'!D:D,'Detalhamento - Sub69'!A98,'Pedidos - Sub69'!G:G)</f>
        <v>0</v>
      </c>
      <c r="E98" s="199">
        <f t="shared" ref="E98:E99" si="49">C98-D98</f>
        <v>0</v>
      </c>
      <c r="F98" s="199">
        <f>SUMIF('Notas fiscais - Sub69'!D:D,'Detalhamento - Sub69'!A98,'Notas fiscais - Sub69'!R:R)</f>
        <v>0</v>
      </c>
      <c r="G98" s="199">
        <f>VLOOKUP(A98,'Projeções - Sub69'!B:F,5)</f>
        <v>0</v>
      </c>
      <c r="H98" s="199">
        <f t="shared" ref="H98:H99" si="50">D98+G98</f>
        <v>0</v>
      </c>
      <c r="I98" s="200">
        <f>C98-H98</f>
        <v>0</v>
      </c>
    </row>
    <row r="99" spans="1:9" outlineLevel="3">
      <c r="A99" s="197">
        <v>2001014002</v>
      </c>
      <c r="B99" s="198" t="s">
        <v>197</v>
      </c>
      <c r="C99" s="199">
        <v>0</v>
      </c>
      <c r="D99" s="199">
        <f>SUMIF('Contratos - Sub69'!D:D,'Detalhamento - Sub69'!A99,'Contratos - Sub69'!I:I)+SUMIF('Pedidos - Sub69'!D:D,'Detalhamento - Sub69'!A99,'Pedidos - Sub69'!G:G)</f>
        <v>0</v>
      </c>
      <c r="E99" s="199">
        <f t="shared" si="49"/>
        <v>0</v>
      </c>
      <c r="F99" s="199">
        <f>SUMIF('Notas fiscais - Sub69'!D:D,'Detalhamento - Sub69'!A99,'Notas fiscais - Sub69'!R:R)</f>
        <v>0</v>
      </c>
      <c r="G99" s="199">
        <f>VLOOKUP(A99,'Projeções - Sub69'!B:F,5)</f>
        <v>0</v>
      </c>
      <c r="H99" s="199">
        <f t="shared" si="50"/>
        <v>0</v>
      </c>
      <c r="I99" s="200">
        <f>C99-H99</f>
        <v>0</v>
      </c>
    </row>
    <row r="100" spans="1:9" outlineLevel="2">
      <c r="A100" s="193">
        <v>2001015</v>
      </c>
      <c r="B100" s="194" t="s">
        <v>198</v>
      </c>
      <c r="C100" s="195">
        <f>SUBTOTAL(9,C101:C102)</f>
        <v>0</v>
      </c>
      <c r="D100" s="195">
        <f t="shared" ref="D100:I100" si="51">SUBTOTAL(9,D101:D102)</f>
        <v>0</v>
      </c>
      <c r="E100" s="195">
        <f t="shared" si="51"/>
        <v>0</v>
      </c>
      <c r="F100" s="195">
        <f t="shared" si="51"/>
        <v>0</v>
      </c>
      <c r="G100" s="195">
        <f t="shared" si="51"/>
        <v>0</v>
      </c>
      <c r="H100" s="195">
        <f t="shared" si="51"/>
        <v>0</v>
      </c>
      <c r="I100" s="196">
        <f t="shared" si="51"/>
        <v>0</v>
      </c>
    </row>
    <row r="101" spans="1:9" outlineLevel="3">
      <c r="A101" s="197">
        <v>2001015001</v>
      </c>
      <c r="B101" s="198" t="s">
        <v>199</v>
      </c>
      <c r="C101" s="199">
        <v>0</v>
      </c>
      <c r="D101" s="199">
        <f>SUMIF('Contratos - Sub69'!D:D,'Detalhamento - Sub69'!A101,'Contratos - Sub69'!I:I)+SUMIF('Pedidos - Sub69'!D:D,'Detalhamento - Sub69'!A101,'Pedidos - Sub69'!G:G)</f>
        <v>0</v>
      </c>
      <c r="E101" s="199">
        <f t="shared" ref="E101:E102" si="52">C101-D101</f>
        <v>0</v>
      </c>
      <c r="F101" s="199">
        <f>SUMIF('Notas fiscais - Sub69'!D:D,'Detalhamento - Sub69'!A101,'Notas fiscais - Sub69'!R:R)</f>
        <v>0</v>
      </c>
      <c r="G101" s="199">
        <f>VLOOKUP(A101,'Projeções - Sub69'!B:F,5)</f>
        <v>0</v>
      </c>
      <c r="H101" s="199">
        <f t="shared" ref="H101:H102" si="53">D101+G101</f>
        <v>0</v>
      </c>
      <c r="I101" s="200">
        <f>C101-H101</f>
        <v>0</v>
      </c>
    </row>
    <row r="102" spans="1:9" outlineLevel="3">
      <c r="A102" s="197">
        <v>2001015002</v>
      </c>
      <c r="B102" s="198" t="s">
        <v>200</v>
      </c>
      <c r="C102" s="199">
        <v>0</v>
      </c>
      <c r="D102" s="199">
        <f>SUMIF('Contratos - Sub69'!D:D,'Detalhamento - Sub69'!A102,'Contratos - Sub69'!I:I)+SUMIF('Pedidos - Sub69'!D:D,'Detalhamento - Sub69'!A102,'Pedidos - Sub69'!G:G)</f>
        <v>0</v>
      </c>
      <c r="E102" s="199">
        <f t="shared" si="52"/>
        <v>0</v>
      </c>
      <c r="F102" s="199">
        <f>SUMIF('Notas fiscais - Sub69'!D:D,'Detalhamento - Sub69'!A102,'Notas fiscais - Sub69'!R:R)</f>
        <v>0</v>
      </c>
      <c r="G102" s="199">
        <f>VLOOKUP(A102,'Projeções - Sub69'!B:F,5)</f>
        <v>0</v>
      </c>
      <c r="H102" s="199">
        <f t="shared" si="53"/>
        <v>0</v>
      </c>
      <c r="I102" s="200">
        <f>C102-H102</f>
        <v>0</v>
      </c>
    </row>
    <row r="103" spans="1:9" outlineLevel="2">
      <c r="A103" s="193">
        <v>2001016</v>
      </c>
      <c r="B103" s="194" t="s">
        <v>201</v>
      </c>
      <c r="C103" s="195">
        <f>SUBTOTAL(9,C104)</f>
        <v>0</v>
      </c>
      <c r="D103" s="195">
        <f t="shared" ref="D103:I103" si="54">SUBTOTAL(9,D104)</f>
        <v>0</v>
      </c>
      <c r="E103" s="195">
        <f t="shared" si="54"/>
        <v>0</v>
      </c>
      <c r="F103" s="195">
        <f t="shared" si="54"/>
        <v>0</v>
      </c>
      <c r="G103" s="195">
        <f t="shared" si="54"/>
        <v>0</v>
      </c>
      <c r="H103" s="195">
        <f t="shared" si="54"/>
        <v>0</v>
      </c>
      <c r="I103" s="196">
        <f t="shared" si="54"/>
        <v>0</v>
      </c>
    </row>
    <row r="104" spans="1:9" outlineLevel="3">
      <c r="A104" s="197">
        <v>2001016001</v>
      </c>
      <c r="B104" s="198" t="s">
        <v>202</v>
      </c>
      <c r="C104" s="199">
        <v>0</v>
      </c>
      <c r="D104" s="199">
        <f>SUMIF('Contratos - Sub69'!D:D,'Detalhamento - Sub69'!A104,'Contratos - Sub69'!I:I)+SUMIF('Pedidos - Sub69'!D:D,'Detalhamento - Sub69'!A104,'Pedidos - Sub69'!G:G)</f>
        <v>0</v>
      </c>
      <c r="E104" s="199">
        <f t="shared" ref="E104" si="55">C104-D104</f>
        <v>0</v>
      </c>
      <c r="F104" s="199">
        <f>SUMIF('Notas fiscais - Sub69'!D:D,'Detalhamento - Sub69'!A104,'Notas fiscais - Sub69'!R:R)</f>
        <v>0</v>
      </c>
      <c r="G104" s="199">
        <f>VLOOKUP(A104,'Projeções - Sub69'!B:F,5)</f>
        <v>0</v>
      </c>
      <c r="H104" s="199">
        <f>D104+G104</f>
        <v>0</v>
      </c>
      <c r="I104" s="200">
        <f>C104-H104</f>
        <v>0</v>
      </c>
    </row>
    <row r="105" spans="1:9" outlineLevel="2">
      <c r="A105" s="193">
        <v>2001017</v>
      </c>
      <c r="B105" s="194" t="s">
        <v>203</v>
      </c>
      <c r="C105" s="195">
        <f>SUBTOTAL(9,C106:C110)</f>
        <v>0</v>
      </c>
      <c r="D105" s="195">
        <f t="shared" ref="D105:I105" si="56">SUBTOTAL(9,D106:D110)</f>
        <v>0</v>
      </c>
      <c r="E105" s="195">
        <f t="shared" si="56"/>
        <v>0</v>
      </c>
      <c r="F105" s="195">
        <f t="shared" si="56"/>
        <v>0</v>
      </c>
      <c r="G105" s="195">
        <f t="shared" si="56"/>
        <v>0</v>
      </c>
      <c r="H105" s="195">
        <f t="shared" si="56"/>
        <v>0</v>
      </c>
      <c r="I105" s="196">
        <f t="shared" si="56"/>
        <v>0</v>
      </c>
    </row>
    <row r="106" spans="1:9" outlineLevel="3">
      <c r="A106" s="197">
        <v>2001017001</v>
      </c>
      <c r="B106" s="198" t="s">
        <v>204</v>
      </c>
      <c r="C106" s="199">
        <v>0</v>
      </c>
      <c r="D106" s="199">
        <f>SUMIF('Contratos - Sub69'!D:D,'Detalhamento - Sub69'!A106,'Contratos - Sub69'!I:I)+SUMIF('Pedidos - Sub69'!D:D,'Detalhamento - Sub69'!A106,'Pedidos - Sub69'!G:G)</f>
        <v>0</v>
      </c>
      <c r="E106" s="199">
        <f t="shared" ref="E106:E110" si="57">C106-D106</f>
        <v>0</v>
      </c>
      <c r="F106" s="199">
        <f>SUMIF('Notas fiscais - Sub69'!D:D,'Detalhamento - Sub69'!A106,'Notas fiscais - Sub69'!R:R)</f>
        <v>0</v>
      </c>
      <c r="G106" s="199">
        <f>VLOOKUP(A106,'Projeções - Sub69'!B:F,5)</f>
        <v>0</v>
      </c>
      <c r="H106" s="199">
        <f t="shared" ref="H106:H110" si="58">D106+G106</f>
        <v>0</v>
      </c>
      <c r="I106" s="200">
        <f>C106-H106</f>
        <v>0</v>
      </c>
    </row>
    <row r="107" spans="1:9" outlineLevel="3">
      <c r="A107" s="197">
        <v>2001017002</v>
      </c>
      <c r="B107" s="198" t="s">
        <v>205</v>
      </c>
      <c r="C107" s="199">
        <v>0</v>
      </c>
      <c r="D107" s="199">
        <f>SUMIF('Contratos - Sub69'!D:D,'Detalhamento - Sub69'!A107,'Contratos - Sub69'!I:I)+SUMIF('Pedidos - Sub69'!D:D,'Detalhamento - Sub69'!A107,'Pedidos - Sub69'!G:G)</f>
        <v>0</v>
      </c>
      <c r="E107" s="199">
        <f t="shared" si="57"/>
        <v>0</v>
      </c>
      <c r="F107" s="199">
        <f>SUMIF('Notas fiscais - Sub69'!D:D,'Detalhamento - Sub69'!A107,'Notas fiscais - Sub69'!R:R)</f>
        <v>0</v>
      </c>
      <c r="G107" s="199">
        <f>VLOOKUP(A107,'Projeções - Sub69'!B:F,5)</f>
        <v>0</v>
      </c>
      <c r="H107" s="199">
        <f t="shared" si="58"/>
        <v>0</v>
      </c>
      <c r="I107" s="200">
        <f>C107-H107</f>
        <v>0</v>
      </c>
    </row>
    <row r="108" spans="1:9" outlineLevel="3">
      <c r="A108" s="197">
        <v>2001017003</v>
      </c>
      <c r="B108" s="198" t="s">
        <v>206</v>
      </c>
      <c r="C108" s="199">
        <v>0</v>
      </c>
      <c r="D108" s="199">
        <f>SUMIF('Contratos - Sub69'!D:D,'Detalhamento - Sub69'!A108,'Contratos - Sub69'!I:I)+SUMIF('Pedidos - Sub69'!D:D,'Detalhamento - Sub69'!A108,'Pedidos - Sub69'!G:G)</f>
        <v>0</v>
      </c>
      <c r="E108" s="199">
        <f t="shared" si="57"/>
        <v>0</v>
      </c>
      <c r="F108" s="199">
        <f>SUMIF('Notas fiscais - Sub69'!D:D,'Detalhamento - Sub69'!A108,'Notas fiscais - Sub69'!R:R)</f>
        <v>0</v>
      </c>
      <c r="G108" s="199">
        <f>VLOOKUP(A108,'Projeções - Sub69'!B:F,5)</f>
        <v>0</v>
      </c>
      <c r="H108" s="199">
        <f t="shared" si="58"/>
        <v>0</v>
      </c>
      <c r="I108" s="200">
        <f>C108-H108</f>
        <v>0</v>
      </c>
    </row>
    <row r="109" spans="1:9" outlineLevel="3">
      <c r="A109" s="197">
        <v>2001017004</v>
      </c>
      <c r="B109" s="198" t="s">
        <v>207</v>
      </c>
      <c r="C109" s="199">
        <v>0</v>
      </c>
      <c r="D109" s="199">
        <f>SUMIF('Contratos - Sub69'!D:D,'Detalhamento - Sub69'!A109,'Contratos - Sub69'!I:I)+SUMIF('Pedidos - Sub69'!D:D,'Detalhamento - Sub69'!A109,'Pedidos - Sub69'!G:G)</f>
        <v>0</v>
      </c>
      <c r="E109" s="199">
        <f t="shared" si="57"/>
        <v>0</v>
      </c>
      <c r="F109" s="199">
        <f>SUMIF('Notas fiscais - Sub69'!D:D,'Detalhamento - Sub69'!A109,'Notas fiscais - Sub69'!R:R)</f>
        <v>0</v>
      </c>
      <c r="G109" s="199">
        <f>VLOOKUP(A109,'Projeções - Sub69'!B:F,5)</f>
        <v>0</v>
      </c>
      <c r="H109" s="199">
        <f t="shared" si="58"/>
        <v>0</v>
      </c>
      <c r="I109" s="200">
        <f>C109-H109</f>
        <v>0</v>
      </c>
    </row>
    <row r="110" spans="1:9" outlineLevel="3">
      <c r="A110" s="197">
        <v>2001017005</v>
      </c>
      <c r="B110" s="198" t="s">
        <v>208</v>
      </c>
      <c r="C110" s="199">
        <v>0</v>
      </c>
      <c r="D110" s="199">
        <f>SUMIF('Contratos - Sub69'!D:D,'Detalhamento - Sub69'!A110,'Contratos - Sub69'!I:I)+SUMIF('Pedidos - Sub69'!D:D,'Detalhamento - Sub69'!A110,'Pedidos - Sub69'!G:G)</f>
        <v>0</v>
      </c>
      <c r="E110" s="199">
        <f t="shared" si="57"/>
        <v>0</v>
      </c>
      <c r="F110" s="199">
        <f>SUMIF('Notas fiscais - Sub69'!D:D,'Detalhamento - Sub69'!A110,'Notas fiscais - Sub69'!R:R)</f>
        <v>0</v>
      </c>
      <c r="G110" s="199">
        <f>VLOOKUP(A110,'Projeções - Sub69'!B:F,5)</f>
        <v>0</v>
      </c>
      <c r="H110" s="199">
        <f t="shared" si="58"/>
        <v>0</v>
      </c>
      <c r="I110" s="200">
        <f>C110-H110</f>
        <v>0</v>
      </c>
    </row>
    <row r="111" spans="1:9" outlineLevel="2">
      <c r="A111" s="193">
        <v>2001018</v>
      </c>
      <c r="B111" s="194" t="s">
        <v>209</v>
      </c>
      <c r="C111" s="195">
        <f>SUBTOTAL(9,C112:C114)</f>
        <v>0</v>
      </c>
      <c r="D111" s="195">
        <f t="shared" ref="D111:I111" si="59">SUBTOTAL(9,D112:D114)</f>
        <v>0</v>
      </c>
      <c r="E111" s="195">
        <f t="shared" si="59"/>
        <v>0</v>
      </c>
      <c r="F111" s="195">
        <f t="shared" si="59"/>
        <v>0</v>
      </c>
      <c r="G111" s="195">
        <f t="shared" si="59"/>
        <v>0</v>
      </c>
      <c r="H111" s="195">
        <f t="shared" si="59"/>
        <v>0</v>
      </c>
      <c r="I111" s="196">
        <f t="shared" si="59"/>
        <v>0</v>
      </c>
    </row>
    <row r="112" spans="1:9" outlineLevel="3">
      <c r="A112" s="197">
        <v>2001018001</v>
      </c>
      <c r="B112" s="198" t="s">
        <v>210</v>
      </c>
      <c r="C112" s="199">
        <v>0</v>
      </c>
      <c r="D112" s="199">
        <f>SUMIF('Contratos - Sub69'!D:D,'Detalhamento - Sub69'!A112,'Contratos - Sub69'!I:I)+SUMIF('Pedidos - Sub69'!D:D,'Detalhamento - Sub69'!A112,'Pedidos - Sub69'!G:G)</f>
        <v>0</v>
      </c>
      <c r="E112" s="199">
        <f t="shared" ref="E112:E114" si="60">C112-D112</f>
        <v>0</v>
      </c>
      <c r="F112" s="199">
        <f>SUMIF('Notas fiscais - Sub69'!D:D,'Detalhamento - Sub69'!A112,'Notas fiscais - Sub69'!R:R)</f>
        <v>0</v>
      </c>
      <c r="G112" s="199">
        <f>VLOOKUP(A112,'Projeções - Sub69'!B:F,5)</f>
        <v>0</v>
      </c>
      <c r="H112" s="199">
        <f t="shared" ref="H112:H114" si="61">D112+G112</f>
        <v>0</v>
      </c>
      <c r="I112" s="200">
        <f>C112-H112</f>
        <v>0</v>
      </c>
    </row>
    <row r="113" spans="1:9" outlineLevel="3">
      <c r="A113" s="197">
        <v>2001018002</v>
      </c>
      <c r="B113" s="198" t="s">
        <v>211</v>
      </c>
      <c r="C113" s="199">
        <v>0</v>
      </c>
      <c r="D113" s="199">
        <f>SUMIF('Contratos - Sub69'!D:D,'Detalhamento - Sub69'!A113,'Contratos - Sub69'!I:I)+SUMIF('Pedidos - Sub69'!D:D,'Detalhamento - Sub69'!A113,'Pedidos - Sub69'!G:G)</f>
        <v>0</v>
      </c>
      <c r="E113" s="199">
        <f t="shared" si="60"/>
        <v>0</v>
      </c>
      <c r="F113" s="199">
        <f>SUMIF('Notas fiscais - Sub69'!D:D,'Detalhamento - Sub69'!A113,'Notas fiscais - Sub69'!R:R)</f>
        <v>0</v>
      </c>
      <c r="G113" s="199">
        <f>VLOOKUP(A113,'Projeções - Sub69'!B:F,5)</f>
        <v>0</v>
      </c>
      <c r="H113" s="199">
        <f t="shared" si="61"/>
        <v>0</v>
      </c>
      <c r="I113" s="200">
        <f>C113-H113</f>
        <v>0</v>
      </c>
    </row>
    <row r="114" spans="1:9" outlineLevel="3">
      <c r="A114" s="197">
        <v>2001018003</v>
      </c>
      <c r="B114" s="198" t="s">
        <v>212</v>
      </c>
      <c r="C114" s="199">
        <v>0</v>
      </c>
      <c r="D114" s="199">
        <f>SUMIF('Contratos - Sub69'!D:D,'Detalhamento - Sub69'!A114,'Contratos - Sub69'!I:I)+SUMIF('Pedidos - Sub69'!D:D,'Detalhamento - Sub69'!A114,'Pedidos - Sub69'!G:G)</f>
        <v>0</v>
      </c>
      <c r="E114" s="199">
        <f t="shared" si="60"/>
        <v>0</v>
      </c>
      <c r="F114" s="199">
        <f>SUMIF('Notas fiscais - Sub69'!D:D,'Detalhamento - Sub69'!A114,'Notas fiscais - Sub69'!R:R)</f>
        <v>0</v>
      </c>
      <c r="G114" s="199">
        <f>VLOOKUP(A114,'Projeções - Sub69'!B:F,5)</f>
        <v>0</v>
      </c>
      <c r="H114" s="199">
        <f t="shared" si="61"/>
        <v>0</v>
      </c>
      <c r="I114" s="200">
        <f>C114-H114</f>
        <v>0</v>
      </c>
    </row>
    <row r="115" spans="1:9" outlineLevel="2">
      <c r="A115" s="193">
        <v>2001019</v>
      </c>
      <c r="B115" s="194" t="s">
        <v>213</v>
      </c>
      <c r="C115" s="195">
        <f>SUBTOTAL(9,C116:C117)</f>
        <v>0</v>
      </c>
      <c r="D115" s="195">
        <f t="shared" ref="D115:I115" si="62">SUBTOTAL(9,D116:D117)</f>
        <v>0</v>
      </c>
      <c r="E115" s="195">
        <f t="shared" si="62"/>
        <v>0</v>
      </c>
      <c r="F115" s="195">
        <f t="shared" si="62"/>
        <v>0</v>
      </c>
      <c r="G115" s="195">
        <f t="shared" si="62"/>
        <v>0</v>
      </c>
      <c r="H115" s="195">
        <f t="shared" si="62"/>
        <v>0</v>
      </c>
      <c r="I115" s="196">
        <f t="shared" si="62"/>
        <v>0</v>
      </c>
    </row>
    <row r="116" spans="1:9" outlineLevel="3">
      <c r="A116" s="197">
        <v>2001019001</v>
      </c>
      <c r="B116" s="198" t="s">
        <v>214</v>
      </c>
      <c r="C116" s="199">
        <v>0</v>
      </c>
      <c r="D116" s="199">
        <f>SUMIF('Contratos - Sub69'!D:D,'Detalhamento - Sub69'!A116,'Contratos - Sub69'!I:I)+SUMIF('Pedidos - Sub69'!D:D,'Detalhamento - Sub69'!A116,'Pedidos - Sub69'!G:G)</f>
        <v>0</v>
      </c>
      <c r="E116" s="199">
        <f t="shared" ref="E116:E117" si="63">C116-D116</f>
        <v>0</v>
      </c>
      <c r="F116" s="199">
        <f>SUMIF('Notas fiscais - Sub69'!D:D,'Detalhamento - Sub69'!A116,'Notas fiscais - Sub69'!R:R)</f>
        <v>0</v>
      </c>
      <c r="G116" s="199">
        <f>VLOOKUP(A116,'Projeções - Sub69'!B:F,5)</f>
        <v>0</v>
      </c>
      <c r="H116" s="199">
        <f t="shared" ref="H116:H117" si="64">D116+G116</f>
        <v>0</v>
      </c>
      <c r="I116" s="200">
        <f>C116-H116</f>
        <v>0</v>
      </c>
    </row>
    <row r="117" spans="1:9" outlineLevel="3">
      <c r="A117" s="197">
        <v>2001019002</v>
      </c>
      <c r="B117" s="198" t="s">
        <v>215</v>
      </c>
      <c r="C117" s="199">
        <v>0</v>
      </c>
      <c r="D117" s="199">
        <f>SUMIF('Contratos - Sub69'!D:D,'Detalhamento - Sub69'!A117,'Contratos - Sub69'!I:I)+SUMIF('Pedidos - Sub69'!D:D,'Detalhamento - Sub69'!A117,'Pedidos - Sub69'!G:G)</f>
        <v>0</v>
      </c>
      <c r="E117" s="199">
        <f t="shared" si="63"/>
        <v>0</v>
      </c>
      <c r="F117" s="199">
        <f>SUMIF('Notas fiscais - Sub69'!D:D,'Detalhamento - Sub69'!A117,'Notas fiscais - Sub69'!R:R)</f>
        <v>0</v>
      </c>
      <c r="G117" s="199">
        <f>VLOOKUP(A117,'Projeções - Sub69'!B:F,5)</f>
        <v>0</v>
      </c>
      <c r="H117" s="199">
        <f t="shared" si="64"/>
        <v>0</v>
      </c>
      <c r="I117" s="200">
        <f>C117-H117</f>
        <v>0</v>
      </c>
    </row>
    <row r="118" spans="1:9" outlineLevel="2">
      <c r="A118" s="193">
        <v>2001020</v>
      </c>
      <c r="B118" s="194" t="s">
        <v>216</v>
      </c>
      <c r="C118" s="195">
        <f>SUBTOTAL(9,C119:C120)</f>
        <v>0</v>
      </c>
      <c r="D118" s="195">
        <f t="shared" ref="D118:I118" si="65">SUBTOTAL(9,D119:D120)</f>
        <v>0</v>
      </c>
      <c r="E118" s="195">
        <f t="shared" si="65"/>
        <v>0</v>
      </c>
      <c r="F118" s="195">
        <f t="shared" si="65"/>
        <v>0</v>
      </c>
      <c r="G118" s="195">
        <f t="shared" si="65"/>
        <v>0</v>
      </c>
      <c r="H118" s="195">
        <f t="shared" si="65"/>
        <v>0</v>
      </c>
      <c r="I118" s="196">
        <f t="shared" si="65"/>
        <v>0</v>
      </c>
    </row>
    <row r="119" spans="1:9" outlineLevel="3">
      <c r="A119" s="197">
        <v>2001020001</v>
      </c>
      <c r="B119" s="198" t="s">
        <v>217</v>
      </c>
      <c r="C119" s="199">
        <v>0</v>
      </c>
      <c r="D119" s="199">
        <f>SUMIF('Contratos - Sub69'!D:D,'Detalhamento - Sub69'!A119,'Contratos - Sub69'!I:I)+SUMIF('Pedidos - Sub69'!D:D,'Detalhamento - Sub69'!A119,'Pedidos - Sub69'!G:G)</f>
        <v>0</v>
      </c>
      <c r="E119" s="199">
        <f t="shared" ref="E119:E120" si="66">C119-D119</f>
        <v>0</v>
      </c>
      <c r="F119" s="199">
        <f>SUMIF('Notas fiscais - Sub69'!D:D,'Detalhamento - Sub69'!A119,'Notas fiscais - Sub69'!R:R)</f>
        <v>0</v>
      </c>
      <c r="G119" s="199">
        <f>VLOOKUP(A119,'Projeções - Sub69'!B:F,5)</f>
        <v>0</v>
      </c>
      <c r="H119" s="199">
        <f t="shared" ref="H119:H120" si="67">D119+G119</f>
        <v>0</v>
      </c>
      <c r="I119" s="200">
        <f>C119-H119</f>
        <v>0</v>
      </c>
    </row>
    <row r="120" spans="1:9" outlineLevel="3">
      <c r="A120" s="197">
        <v>2001020002</v>
      </c>
      <c r="B120" s="198" t="s">
        <v>218</v>
      </c>
      <c r="C120" s="199">
        <v>0</v>
      </c>
      <c r="D120" s="199">
        <f>SUMIF('Contratos - Sub69'!D:D,'Detalhamento - Sub69'!A120,'Contratos - Sub69'!I:I)+SUMIF('Pedidos - Sub69'!D:D,'Detalhamento - Sub69'!A120,'Pedidos - Sub69'!G:G)</f>
        <v>0</v>
      </c>
      <c r="E120" s="199">
        <f t="shared" si="66"/>
        <v>0</v>
      </c>
      <c r="F120" s="199">
        <f>SUMIF('Notas fiscais - Sub69'!D:D,'Detalhamento - Sub69'!A120,'Notas fiscais - Sub69'!R:R)</f>
        <v>0</v>
      </c>
      <c r="G120" s="199">
        <f>VLOOKUP(A120,'Projeções - Sub69'!B:F,5)</f>
        <v>0</v>
      </c>
      <c r="H120" s="199">
        <f t="shared" si="67"/>
        <v>0</v>
      </c>
      <c r="I120" s="200">
        <f>C120-H120</f>
        <v>0</v>
      </c>
    </row>
    <row r="121" spans="1:9" outlineLevel="2">
      <c r="A121" s="193">
        <v>2001021</v>
      </c>
      <c r="B121" s="194" t="s">
        <v>219</v>
      </c>
      <c r="C121" s="195">
        <f>SUBTOTAL(9,C122)</f>
        <v>0</v>
      </c>
      <c r="D121" s="195">
        <f t="shared" ref="D121:I121" si="68">SUBTOTAL(9,D122)</f>
        <v>0</v>
      </c>
      <c r="E121" s="195">
        <f t="shared" si="68"/>
        <v>0</v>
      </c>
      <c r="F121" s="195">
        <f t="shared" si="68"/>
        <v>0</v>
      </c>
      <c r="G121" s="195">
        <f t="shared" si="68"/>
        <v>0</v>
      </c>
      <c r="H121" s="195">
        <f t="shared" si="68"/>
        <v>0</v>
      </c>
      <c r="I121" s="196">
        <f t="shared" si="68"/>
        <v>0</v>
      </c>
    </row>
    <row r="122" spans="1:9" outlineLevel="3">
      <c r="A122" s="197">
        <v>2001021001</v>
      </c>
      <c r="B122" s="198" t="s">
        <v>220</v>
      </c>
      <c r="C122" s="199">
        <v>0</v>
      </c>
      <c r="D122" s="199">
        <f>SUMIF('Contratos - Sub69'!D:D,'Detalhamento - Sub69'!A122,'Contratos - Sub69'!I:I)+SUMIF('Pedidos - Sub69'!D:D,'Detalhamento - Sub69'!A122,'Pedidos - Sub69'!G:G)</f>
        <v>0</v>
      </c>
      <c r="E122" s="199">
        <f t="shared" ref="E122" si="69">C122-D122</f>
        <v>0</v>
      </c>
      <c r="F122" s="199">
        <f>SUMIF('Notas fiscais - Sub69'!D:D,'Detalhamento - Sub69'!A122,'Notas fiscais - Sub69'!R:R)</f>
        <v>0</v>
      </c>
      <c r="G122" s="199">
        <f>VLOOKUP(A122,'Projeções - Sub69'!B:F,5)</f>
        <v>0</v>
      </c>
      <c r="H122" s="199">
        <f>D122+G122</f>
        <v>0</v>
      </c>
      <c r="I122" s="200">
        <f>C122-H122</f>
        <v>0</v>
      </c>
    </row>
    <row r="123" spans="1:9" outlineLevel="2">
      <c r="A123" s="193">
        <v>2001022</v>
      </c>
      <c r="B123" s="194" t="s">
        <v>221</v>
      </c>
      <c r="C123" s="195">
        <f>SUBTOTAL(9,C124)</f>
        <v>0</v>
      </c>
      <c r="D123" s="195">
        <f t="shared" ref="D123:I123" si="70">SUBTOTAL(9,D124)</f>
        <v>0</v>
      </c>
      <c r="E123" s="195">
        <f t="shared" si="70"/>
        <v>0</v>
      </c>
      <c r="F123" s="195">
        <f t="shared" si="70"/>
        <v>0</v>
      </c>
      <c r="G123" s="195">
        <f t="shared" si="70"/>
        <v>0</v>
      </c>
      <c r="H123" s="195">
        <f t="shared" si="70"/>
        <v>0</v>
      </c>
      <c r="I123" s="196">
        <f t="shared" si="70"/>
        <v>0</v>
      </c>
    </row>
    <row r="124" spans="1:9" outlineLevel="3">
      <c r="A124" s="197">
        <v>2001022001</v>
      </c>
      <c r="B124" s="198" t="s">
        <v>222</v>
      </c>
      <c r="C124" s="199">
        <v>0</v>
      </c>
      <c r="D124" s="199">
        <f>SUMIF('Contratos - Sub69'!D:D,'Detalhamento - Sub69'!A124,'Contratos - Sub69'!I:I)+SUMIF('Pedidos - Sub69'!D:D,'Detalhamento - Sub69'!A124,'Pedidos - Sub69'!G:G)</f>
        <v>0</v>
      </c>
      <c r="E124" s="199">
        <f t="shared" ref="E124" si="71">C124-D124</f>
        <v>0</v>
      </c>
      <c r="F124" s="199">
        <f>SUMIF('Notas fiscais - Sub69'!D:D,'Detalhamento - Sub69'!A124,'Notas fiscais - Sub69'!R:R)</f>
        <v>0</v>
      </c>
      <c r="G124" s="199">
        <f>VLOOKUP(A124,'Projeções - Sub69'!B:F,5)</f>
        <v>0</v>
      </c>
      <c r="H124" s="199">
        <f>D124+G124</f>
        <v>0</v>
      </c>
      <c r="I124" s="200">
        <f>C124-H124</f>
        <v>0</v>
      </c>
    </row>
    <row r="125" spans="1:9" outlineLevel="2">
      <c r="A125" s="193">
        <v>2001023</v>
      </c>
      <c r="B125" s="194" t="s">
        <v>223</v>
      </c>
      <c r="C125" s="195">
        <f>SUBTOTAL(9,C126)</f>
        <v>0</v>
      </c>
      <c r="D125" s="195">
        <f t="shared" ref="D125:I125" si="72">SUBTOTAL(9,D126)</f>
        <v>0</v>
      </c>
      <c r="E125" s="195">
        <f t="shared" si="72"/>
        <v>0</v>
      </c>
      <c r="F125" s="195">
        <f t="shared" si="72"/>
        <v>0</v>
      </c>
      <c r="G125" s="195">
        <f t="shared" si="72"/>
        <v>0</v>
      </c>
      <c r="H125" s="195">
        <f t="shared" si="72"/>
        <v>0</v>
      </c>
      <c r="I125" s="196">
        <f t="shared" si="72"/>
        <v>0</v>
      </c>
    </row>
    <row r="126" spans="1:9" outlineLevel="3">
      <c r="A126" s="197">
        <v>2001023001</v>
      </c>
      <c r="B126" s="198" t="s">
        <v>224</v>
      </c>
      <c r="C126" s="199">
        <v>0</v>
      </c>
      <c r="D126" s="199">
        <f>SUMIF('Contratos - Sub69'!D:D,'Detalhamento - Sub69'!A126,'Contratos - Sub69'!I:I)+SUMIF('Pedidos - Sub69'!D:D,'Detalhamento - Sub69'!A126,'Pedidos - Sub69'!G:G)</f>
        <v>0</v>
      </c>
      <c r="E126" s="199">
        <f t="shared" ref="E126" si="73">C126-D126</f>
        <v>0</v>
      </c>
      <c r="F126" s="199">
        <f>SUMIF('Notas fiscais - Sub69'!D:D,'Detalhamento - Sub69'!A126,'Notas fiscais - Sub69'!R:R)</f>
        <v>0</v>
      </c>
      <c r="G126" s="199">
        <f>VLOOKUP(A126,'Projeções - Sub69'!B:F,5)</f>
        <v>0</v>
      </c>
      <c r="H126" s="199">
        <f>D126+G126</f>
        <v>0</v>
      </c>
      <c r="I126" s="200">
        <f>C126-H126</f>
        <v>0</v>
      </c>
    </row>
    <row r="127" spans="1:9" outlineLevel="2">
      <c r="A127" s="193">
        <v>2001024</v>
      </c>
      <c r="B127" s="194" t="s">
        <v>225</v>
      </c>
      <c r="C127" s="195">
        <f t="shared" ref="C127:G127" si="74">SUBTOTAL(9,C128:C143)</f>
        <v>0</v>
      </c>
      <c r="D127" s="195">
        <f t="shared" si="74"/>
        <v>0</v>
      </c>
      <c r="E127" s="195">
        <f t="shared" si="74"/>
        <v>0</v>
      </c>
      <c r="F127" s="195">
        <f t="shared" si="74"/>
        <v>0</v>
      </c>
      <c r="G127" s="195">
        <f t="shared" si="74"/>
        <v>0</v>
      </c>
      <c r="H127" s="195">
        <f>SUBTOTAL(9,H128:H143)</f>
        <v>0</v>
      </c>
      <c r="I127" s="196">
        <f t="shared" ref="I127" si="75">SUBTOTAL(9,I128:I143)</f>
        <v>0</v>
      </c>
    </row>
    <row r="128" spans="1:9" outlineLevel="3">
      <c r="A128" s="197">
        <v>2001024001</v>
      </c>
      <c r="B128" s="198" t="s">
        <v>226</v>
      </c>
      <c r="C128" s="199">
        <v>0</v>
      </c>
      <c r="D128" s="199">
        <f>SUMIF('Contratos - Sub69'!D:D,'Detalhamento - Sub69'!A128,'Contratos - Sub69'!I:I)+SUMIF('Pedidos - Sub69'!D:D,'Detalhamento - Sub69'!A128,'Pedidos - Sub69'!G:G)</f>
        <v>0</v>
      </c>
      <c r="E128" s="199">
        <f t="shared" ref="E128:E143" si="76">C128-D128</f>
        <v>0</v>
      </c>
      <c r="F128" s="199">
        <f>SUMIF('Notas fiscais - Sub69'!D:D,'Detalhamento - Sub69'!A128,'Notas fiscais - Sub69'!R:R)</f>
        <v>0</v>
      </c>
      <c r="G128" s="199">
        <f>VLOOKUP(A128,'Projeções - Sub69'!B:F,5)</f>
        <v>0</v>
      </c>
      <c r="H128" s="199">
        <f t="shared" ref="H128:H143" si="77">D128+G128</f>
        <v>0</v>
      </c>
      <c r="I128" s="200">
        <f t="shared" ref="I128:I143" si="78">C128-H128</f>
        <v>0</v>
      </c>
    </row>
    <row r="129" spans="1:9" outlineLevel="3">
      <c r="A129" s="197">
        <v>2001024002</v>
      </c>
      <c r="B129" s="198" t="s">
        <v>227</v>
      </c>
      <c r="C129" s="199">
        <v>0</v>
      </c>
      <c r="D129" s="199">
        <f>SUMIF('Contratos - Sub69'!D:D,'Detalhamento - Sub69'!A129,'Contratos - Sub69'!I:I)+SUMIF('Pedidos - Sub69'!D:D,'Detalhamento - Sub69'!A129,'Pedidos - Sub69'!G:G)</f>
        <v>0</v>
      </c>
      <c r="E129" s="199">
        <f t="shared" si="76"/>
        <v>0</v>
      </c>
      <c r="F129" s="199">
        <f>SUMIF('Notas fiscais - Sub69'!D:D,'Detalhamento - Sub69'!A129,'Notas fiscais - Sub69'!R:R)</f>
        <v>0</v>
      </c>
      <c r="G129" s="199">
        <f>VLOOKUP(A129,'Projeções - Sub69'!B:F,5)</f>
        <v>0</v>
      </c>
      <c r="H129" s="199">
        <f t="shared" si="77"/>
        <v>0</v>
      </c>
      <c r="I129" s="200">
        <f t="shared" si="78"/>
        <v>0</v>
      </c>
    </row>
    <row r="130" spans="1:9" outlineLevel="3">
      <c r="A130" s="197">
        <v>2001024003</v>
      </c>
      <c r="B130" s="198" t="s">
        <v>228</v>
      </c>
      <c r="C130" s="199">
        <v>0</v>
      </c>
      <c r="D130" s="199">
        <f>SUMIF('Contratos - Sub69'!D:D,'Detalhamento - Sub69'!A130,'Contratos - Sub69'!I:I)+SUMIF('Pedidos - Sub69'!D:D,'Detalhamento - Sub69'!A130,'Pedidos - Sub69'!G:G)</f>
        <v>0</v>
      </c>
      <c r="E130" s="199">
        <f t="shared" si="76"/>
        <v>0</v>
      </c>
      <c r="F130" s="199">
        <f>SUMIF('Notas fiscais - Sub69'!D:D,'Detalhamento - Sub69'!A130,'Notas fiscais - Sub69'!R:R)</f>
        <v>0</v>
      </c>
      <c r="G130" s="199">
        <f>VLOOKUP(A130,'Projeções - Sub69'!B:F,5)</f>
        <v>0</v>
      </c>
      <c r="H130" s="199">
        <f t="shared" si="77"/>
        <v>0</v>
      </c>
      <c r="I130" s="200">
        <f t="shared" si="78"/>
        <v>0</v>
      </c>
    </row>
    <row r="131" spans="1:9" outlineLevel="3">
      <c r="A131" s="197">
        <v>2001024004</v>
      </c>
      <c r="B131" s="198" t="s">
        <v>229</v>
      </c>
      <c r="C131" s="199">
        <v>0</v>
      </c>
      <c r="D131" s="199">
        <f>SUMIF('Contratos - Sub69'!D:D,'Detalhamento - Sub69'!A131,'Contratos - Sub69'!I:I)+SUMIF('Pedidos - Sub69'!D:D,'Detalhamento - Sub69'!A131,'Pedidos - Sub69'!G:G)</f>
        <v>0</v>
      </c>
      <c r="E131" s="199">
        <f t="shared" si="76"/>
        <v>0</v>
      </c>
      <c r="F131" s="199">
        <f>SUMIF('Notas fiscais - Sub69'!D:D,'Detalhamento - Sub69'!A131,'Notas fiscais - Sub69'!R:R)</f>
        <v>0</v>
      </c>
      <c r="G131" s="199">
        <f>VLOOKUP(A131,'Projeções - Sub69'!B:F,5)</f>
        <v>0</v>
      </c>
      <c r="H131" s="199">
        <f t="shared" si="77"/>
        <v>0</v>
      </c>
      <c r="I131" s="200">
        <f t="shared" si="78"/>
        <v>0</v>
      </c>
    </row>
    <row r="132" spans="1:9" outlineLevel="3">
      <c r="A132" s="197">
        <v>2001024005</v>
      </c>
      <c r="B132" s="198" t="s">
        <v>230</v>
      </c>
      <c r="C132" s="199">
        <v>0</v>
      </c>
      <c r="D132" s="199">
        <f>SUMIF('Contratos - Sub69'!D:D,'Detalhamento - Sub69'!A132,'Contratos - Sub69'!I:I)+SUMIF('Pedidos - Sub69'!D:D,'Detalhamento - Sub69'!A132,'Pedidos - Sub69'!G:G)</f>
        <v>0</v>
      </c>
      <c r="E132" s="199">
        <f t="shared" si="76"/>
        <v>0</v>
      </c>
      <c r="F132" s="199">
        <f>SUMIF('Notas fiscais - Sub69'!D:D,'Detalhamento - Sub69'!A132,'Notas fiscais - Sub69'!R:R)</f>
        <v>0</v>
      </c>
      <c r="G132" s="199">
        <f>VLOOKUP(A132,'Projeções - Sub69'!B:F,5)</f>
        <v>0</v>
      </c>
      <c r="H132" s="199">
        <f t="shared" si="77"/>
        <v>0</v>
      </c>
      <c r="I132" s="200">
        <f t="shared" si="78"/>
        <v>0</v>
      </c>
    </row>
    <row r="133" spans="1:9" outlineLevel="3">
      <c r="A133" s="197">
        <v>2001024006</v>
      </c>
      <c r="B133" s="198" t="s">
        <v>231</v>
      </c>
      <c r="C133" s="199">
        <v>0</v>
      </c>
      <c r="D133" s="199">
        <f>SUMIF('Contratos - Sub69'!D:D,'Detalhamento - Sub69'!A133,'Contratos - Sub69'!I:I)+SUMIF('Pedidos - Sub69'!D:D,'Detalhamento - Sub69'!A133,'Pedidos - Sub69'!G:G)</f>
        <v>0</v>
      </c>
      <c r="E133" s="199">
        <f t="shared" si="76"/>
        <v>0</v>
      </c>
      <c r="F133" s="199">
        <f>SUMIF('Notas fiscais - Sub69'!D:D,'Detalhamento - Sub69'!A133,'Notas fiscais - Sub69'!R:R)</f>
        <v>0</v>
      </c>
      <c r="G133" s="199">
        <f>VLOOKUP(A133,'Projeções - Sub69'!B:F,5)</f>
        <v>0</v>
      </c>
      <c r="H133" s="199">
        <f t="shared" si="77"/>
        <v>0</v>
      </c>
      <c r="I133" s="200">
        <f t="shared" si="78"/>
        <v>0</v>
      </c>
    </row>
    <row r="134" spans="1:9" outlineLevel="3">
      <c r="A134" s="197">
        <v>2001024007</v>
      </c>
      <c r="B134" s="198" t="s">
        <v>232</v>
      </c>
      <c r="C134" s="199">
        <v>0</v>
      </c>
      <c r="D134" s="199">
        <f>SUMIF('Contratos - Sub69'!D:D,'Detalhamento - Sub69'!A134,'Contratos - Sub69'!I:I)+SUMIF('Pedidos - Sub69'!D:D,'Detalhamento - Sub69'!A134,'Pedidos - Sub69'!G:G)</f>
        <v>0</v>
      </c>
      <c r="E134" s="199">
        <f t="shared" si="76"/>
        <v>0</v>
      </c>
      <c r="F134" s="199">
        <f>SUMIF('Notas fiscais - Sub69'!D:D,'Detalhamento - Sub69'!A134,'Notas fiscais - Sub69'!R:R)</f>
        <v>0</v>
      </c>
      <c r="G134" s="199">
        <f>VLOOKUP(A134,'Projeções - Sub69'!B:F,5)</f>
        <v>0</v>
      </c>
      <c r="H134" s="199">
        <f t="shared" si="77"/>
        <v>0</v>
      </c>
      <c r="I134" s="200">
        <f t="shared" si="78"/>
        <v>0</v>
      </c>
    </row>
    <row r="135" spans="1:9" outlineLevel="3">
      <c r="A135" s="197">
        <v>2001024008</v>
      </c>
      <c r="B135" s="198" t="s">
        <v>233</v>
      </c>
      <c r="C135" s="199">
        <v>0</v>
      </c>
      <c r="D135" s="199">
        <f>SUMIF('Contratos - Sub69'!D:D,'Detalhamento - Sub69'!A135,'Contratos - Sub69'!I:I)+SUMIF('Pedidos - Sub69'!D:D,'Detalhamento - Sub69'!A135,'Pedidos - Sub69'!G:G)</f>
        <v>0</v>
      </c>
      <c r="E135" s="199">
        <f t="shared" si="76"/>
        <v>0</v>
      </c>
      <c r="F135" s="199">
        <f>SUMIF('Notas fiscais - Sub69'!D:D,'Detalhamento - Sub69'!A135,'Notas fiscais - Sub69'!R:R)</f>
        <v>0</v>
      </c>
      <c r="G135" s="199">
        <f>VLOOKUP(A135,'Projeções - Sub69'!B:F,5)</f>
        <v>0</v>
      </c>
      <c r="H135" s="199">
        <f t="shared" si="77"/>
        <v>0</v>
      </c>
      <c r="I135" s="200">
        <f t="shared" si="78"/>
        <v>0</v>
      </c>
    </row>
    <row r="136" spans="1:9" outlineLevel="3">
      <c r="A136" s="197">
        <v>2001024009</v>
      </c>
      <c r="B136" s="198" t="s">
        <v>234</v>
      </c>
      <c r="C136" s="199">
        <v>0</v>
      </c>
      <c r="D136" s="199">
        <f>SUMIF('Contratos - Sub69'!D:D,'Detalhamento - Sub69'!A136,'Contratos - Sub69'!I:I)+SUMIF('Pedidos - Sub69'!D:D,'Detalhamento - Sub69'!A136,'Pedidos - Sub69'!G:G)</f>
        <v>0</v>
      </c>
      <c r="E136" s="199">
        <f t="shared" si="76"/>
        <v>0</v>
      </c>
      <c r="F136" s="199">
        <f>SUMIF('Notas fiscais - Sub69'!D:D,'Detalhamento - Sub69'!A136,'Notas fiscais - Sub69'!R:R)</f>
        <v>0</v>
      </c>
      <c r="G136" s="199">
        <f>VLOOKUP(A136,'Projeções - Sub69'!B:F,5)</f>
        <v>0</v>
      </c>
      <c r="H136" s="199">
        <f t="shared" si="77"/>
        <v>0</v>
      </c>
      <c r="I136" s="200">
        <f t="shared" si="78"/>
        <v>0</v>
      </c>
    </row>
    <row r="137" spans="1:9" outlineLevel="3">
      <c r="A137" s="197">
        <v>2001024010</v>
      </c>
      <c r="B137" s="198" t="s">
        <v>235</v>
      </c>
      <c r="C137" s="199">
        <v>0</v>
      </c>
      <c r="D137" s="199">
        <f>SUMIF('Contratos - Sub69'!D:D,'Detalhamento - Sub69'!A137,'Contratos - Sub69'!I:I)+SUMIF('Pedidos - Sub69'!D:D,'Detalhamento - Sub69'!A137,'Pedidos - Sub69'!G:G)</f>
        <v>0</v>
      </c>
      <c r="E137" s="199">
        <f t="shared" si="76"/>
        <v>0</v>
      </c>
      <c r="F137" s="199">
        <f>SUMIF('Notas fiscais - Sub69'!D:D,'Detalhamento - Sub69'!A137,'Notas fiscais - Sub69'!R:R)</f>
        <v>0</v>
      </c>
      <c r="G137" s="199">
        <f>VLOOKUP(A137,'Projeções - Sub69'!B:F,5)</f>
        <v>0</v>
      </c>
      <c r="H137" s="199">
        <f t="shared" si="77"/>
        <v>0</v>
      </c>
      <c r="I137" s="200">
        <f t="shared" si="78"/>
        <v>0</v>
      </c>
    </row>
    <row r="138" spans="1:9" outlineLevel="3">
      <c r="A138" s="197">
        <v>2001024011</v>
      </c>
      <c r="B138" s="198" t="s">
        <v>236</v>
      </c>
      <c r="C138" s="199">
        <v>0</v>
      </c>
      <c r="D138" s="199">
        <f>SUMIF('Contratos - Sub69'!D:D,'Detalhamento - Sub69'!A138,'Contratos - Sub69'!I:I)+SUMIF('Pedidos - Sub69'!D:D,'Detalhamento - Sub69'!A138,'Pedidos - Sub69'!G:G)</f>
        <v>0</v>
      </c>
      <c r="E138" s="199">
        <f t="shared" si="76"/>
        <v>0</v>
      </c>
      <c r="F138" s="199">
        <f>SUMIF('Notas fiscais - Sub69'!D:D,'Detalhamento - Sub69'!A138,'Notas fiscais - Sub69'!R:R)</f>
        <v>0</v>
      </c>
      <c r="G138" s="199">
        <f>VLOOKUP(A138,'Projeções - Sub69'!B:F,5)</f>
        <v>0</v>
      </c>
      <c r="H138" s="199">
        <f t="shared" si="77"/>
        <v>0</v>
      </c>
      <c r="I138" s="200">
        <f t="shared" si="78"/>
        <v>0</v>
      </c>
    </row>
    <row r="139" spans="1:9" outlineLevel="3">
      <c r="A139" s="197">
        <v>2001024012</v>
      </c>
      <c r="B139" s="198" t="s">
        <v>237</v>
      </c>
      <c r="C139" s="199">
        <v>0</v>
      </c>
      <c r="D139" s="199">
        <f>SUMIF('Contratos - Sub69'!D:D,'Detalhamento - Sub69'!A139,'Contratos - Sub69'!I:I)+SUMIF('Pedidos - Sub69'!D:D,'Detalhamento - Sub69'!A139,'Pedidos - Sub69'!G:G)</f>
        <v>0</v>
      </c>
      <c r="E139" s="199">
        <f t="shared" si="76"/>
        <v>0</v>
      </c>
      <c r="F139" s="199">
        <f>SUMIF('Notas fiscais - Sub69'!D:D,'Detalhamento - Sub69'!A139,'Notas fiscais - Sub69'!R:R)</f>
        <v>0</v>
      </c>
      <c r="G139" s="199">
        <f>VLOOKUP(A139,'Projeções - Sub69'!B:F,5)</f>
        <v>0</v>
      </c>
      <c r="H139" s="199">
        <f t="shared" si="77"/>
        <v>0</v>
      </c>
      <c r="I139" s="200">
        <f t="shared" si="78"/>
        <v>0</v>
      </c>
    </row>
    <row r="140" spans="1:9" outlineLevel="3">
      <c r="A140" s="197">
        <v>2001024013</v>
      </c>
      <c r="B140" s="198" t="s">
        <v>238</v>
      </c>
      <c r="C140" s="199">
        <v>0</v>
      </c>
      <c r="D140" s="199">
        <f>SUMIF('Contratos - Sub69'!D:D,'Detalhamento - Sub69'!A140,'Contratos - Sub69'!I:I)+SUMIF('Pedidos - Sub69'!D:D,'Detalhamento - Sub69'!A140,'Pedidos - Sub69'!G:G)</f>
        <v>0</v>
      </c>
      <c r="E140" s="199">
        <f t="shared" si="76"/>
        <v>0</v>
      </c>
      <c r="F140" s="199">
        <f>SUMIF('Notas fiscais - Sub69'!D:D,'Detalhamento - Sub69'!A140,'Notas fiscais - Sub69'!R:R)</f>
        <v>0</v>
      </c>
      <c r="G140" s="199">
        <f>VLOOKUP(A140,'Projeções - Sub69'!B:F,5)</f>
        <v>0</v>
      </c>
      <c r="H140" s="199">
        <f t="shared" si="77"/>
        <v>0</v>
      </c>
      <c r="I140" s="200">
        <f t="shared" si="78"/>
        <v>0</v>
      </c>
    </row>
    <row r="141" spans="1:9" outlineLevel="3">
      <c r="A141" s="197">
        <v>2001024014</v>
      </c>
      <c r="B141" s="198" t="s">
        <v>239</v>
      </c>
      <c r="C141" s="199">
        <v>0</v>
      </c>
      <c r="D141" s="199">
        <f>SUMIF('Contratos - Sub69'!D:D,'Detalhamento - Sub69'!A141,'Contratos - Sub69'!I:I)+SUMIF('Pedidos - Sub69'!D:D,'Detalhamento - Sub69'!A141,'Pedidos - Sub69'!G:G)</f>
        <v>0</v>
      </c>
      <c r="E141" s="199">
        <f t="shared" si="76"/>
        <v>0</v>
      </c>
      <c r="F141" s="199">
        <f>SUMIF('Notas fiscais - Sub69'!D:D,'Detalhamento - Sub69'!A141,'Notas fiscais - Sub69'!R:R)</f>
        <v>0</v>
      </c>
      <c r="G141" s="199">
        <f>VLOOKUP(A141,'Projeções - Sub69'!B:F,5)</f>
        <v>0</v>
      </c>
      <c r="H141" s="199">
        <f t="shared" si="77"/>
        <v>0</v>
      </c>
      <c r="I141" s="200">
        <f t="shared" si="78"/>
        <v>0</v>
      </c>
    </row>
    <row r="142" spans="1:9" outlineLevel="3">
      <c r="A142" s="197">
        <v>2001024015</v>
      </c>
      <c r="B142" s="198" t="s">
        <v>240</v>
      </c>
      <c r="C142" s="199">
        <v>0</v>
      </c>
      <c r="D142" s="199">
        <f>SUMIF('Contratos - Sub69'!D:D,'Detalhamento - Sub69'!A142,'Contratos - Sub69'!I:I)+SUMIF('Pedidos - Sub69'!D:D,'Detalhamento - Sub69'!A142,'Pedidos - Sub69'!G:G)</f>
        <v>0</v>
      </c>
      <c r="E142" s="199">
        <f t="shared" si="76"/>
        <v>0</v>
      </c>
      <c r="F142" s="199">
        <f>SUMIF('Notas fiscais - Sub69'!D:D,'Detalhamento - Sub69'!A142,'Notas fiscais - Sub69'!R:R)</f>
        <v>0</v>
      </c>
      <c r="G142" s="199">
        <f>VLOOKUP(A142,'Projeções - Sub69'!B:F,5)</f>
        <v>0</v>
      </c>
      <c r="H142" s="199">
        <f t="shared" si="77"/>
        <v>0</v>
      </c>
      <c r="I142" s="200">
        <f t="shared" si="78"/>
        <v>0</v>
      </c>
    </row>
    <row r="143" spans="1:9" outlineLevel="3">
      <c r="A143" s="197">
        <v>2001024016</v>
      </c>
      <c r="B143" s="198" t="s">
        <v>241</v>
      </c>
      <c r="C143" s="199">
        <v>0</v>
      </c>
      <c r="D143" s="199">
        <f>SUMIF('Contratos - Sub69'!D:D,'Detalhamento - Sub69'!A143,'Contratos - Sub69'!I:I)+SUMIF('Pedidos - Sub69'!D:D,'Detalhamento - Sub69'!A143,'Pedidos - Sub69'!G:G)</f>
        <v>0</v>
      </c>
      <c r="E143" s="199">
        <f t="shared" si="76"/>
        <v>0</v>
      </c>
      <c r="F143" s="199">
        <f>SUMIF('Notas fiscais - Sub69'!D:D,'Detalhamento - Sub69'!A143,'Notas fiscais - Sub69'!R:R)</f>
        <v>0</v>
      </c>
      <c r="G143" s="199">
        <f>VLOOKUP(A143,'Projeções - Sub69'!B:F,5)</f>
        <v>0</v>
      </c>
      <c r="H143" s="199">
        <f t="shared" si="77"/>
        <v>0</v>
      </c>
      <c r="I143" s="200">
        <f t="shared" si="78"/>
        <v>0</v>
      </c>
    </row>
    <row r="144" spans="1:9" outlineLevel="2">
      <c r="A144" s="193">
        <v>2001025</v>
      </c>
      <c r="B144" s="194" t="s">
        <v>242</v>
      </c>
      <c r="C144" s="195">
        <f>SUBTOTAL(9,C145:C146)</f>
        <v>0</v>
      </c>
      <c r="D144" s="195">
        <f t="shared" ref="D144:I144" si="79">SUBTOTAL(9,D145:D146)</f>
        <v>0</v>
      </c>
      <c r="E144" s="195">
        <f t="shared" si="79"/>
        <v>0</v>
      </c>
      <c r="F144" s="195">
        <f t="shared" si="79"/>
        <v>0</v>
      </c>
      <c r="G144" s="195">
        <f t="shared" si="79"/>
        <v>0</v>
      </c>
      <c r="H144" s="195">
        <f t="shared" si="79"/>
        <v>0</v>
      </c>
      <c r="I144" s="196">
        <f t="shared" si="79"/>
        <v>0</v>
      </c>
    </row>
    <row r="145" spans="1:9" outlineLevel="3">
      <c r="A145" s="197">
        <v>2001025001</v>
      </c>
      <c r="B145" s="198" t="s">
        <v>243</v>
      </c>
      <c r="C145" s="199">
        <v>0</v>
      </c>
      <c r="D145" s="199">
        <f>SUMIF('Contratos - Sub69'!D:D,'Detalhamento - Sub69'!A145,'Contratos - Sub69'!I:I)+SUMIF('Pedidos - Sub69'!D:D,'Detalhamento - Sub69'!A145,'Pedidos - Sub69'!G:G)</f>
        <v>0</v>
      </c>
      <c r="E145" s="199">
        <f t="shared" ref="E145:E146" si="80">C145-D145</f>
        <v>0</v>
      </c>
      <c r="F145" s="199">
        <f>SUMIF('Notas fiscais - Sub69'!D:D,'Detalhamento - Sub69'!A145,'Notas fiscais - Sub69'!R:R)</f>
        <v>0</v>
      </c>
      <c r="G145" s="199">
        <f>VLOOKUP(A145,'Projeções - Sub69'!B:F,5)</f>
        <v>0</v>
      </c>
      <c r="H145" s="199">
        <f t="shared" ref="H145:H146" si="81">D145+G145</f>
        <v>0</v>
      </c>
      <c r="I145" s="200">
        <f>C145-H145</f>
        <v>0</v>
      </c>
    </row>
    <row r="146" spans="1:9" outlineLevel="3">
      <c r="A146" s="197">
        <v>2001025002</v>
      </c>
      <c r="B146" s="198" t="s">
        <v>244</v>
      </c>
      <c r="C146" s="199">
        <v>0</v>
      </c>
      <c r="D146" s="199">
        <f>SUMIF('Contratos - Sub69'!D:D,'Detalhamento - Sub69'!A146,'Contratos - Sub69'!I:I)+SUMIF('Pedidos - Sub69'!D:D,'Detalhamento - Sub69'!A146,'Pedidos - Sub69'!G:G)</f>
        <v>0</v>
      </c>
      <c r="E146" s="199">
        <f t="shared" si="80"/>
        <v>0</v>
      </c>
      <c r="F146" s="199">
        <f>SUMIF('Notas fiscais - Sub69'!D:D,'Detalhamento - Sub69'!A146,'Notas fiscais - Sub69'!R:R)</f>
        <v>0</v>
      </c>
      <c r="G146" s="199">
        <f>VLOOKUP(A146,'Projeções - Sub69'!B:F,5)</f>
        <v>0</v>
      </c>
      <c r="H146" s="199">
        <f t="shared" si="81"/>
        <v>0</v>
      </c>
      <c r="I146" s="200">
        <f>C146-H146</f>
        <v>0</v>
      </c>
    </row>
    <row r="147" spans="1:9" outlineLevel="1">
      <c r="A147" s="190">
        <v>2002</v>
      </c>
      <c r="B147" s="183" t="s">
        <v>245</v>
      </c>
      <c r="C147" s="191">
        <f t="shared" ref="C147:I147" si="82">SUBTOTAL(9,C148:C149)</f>
        <v>2125000</v>
      </c>
      <c r="D147" s="191">
        <f t="shared" si="82"/>
        <v>2125000</v>
      </c>
      <c r="E147" s="191">
        <f t="shared" si="82"/>
        <v>0</v>
      </c>
      <c r="F147" s="191">
        <f t="shared" si="82"/>
        <v>888370.68702334107</v>
      </c>
      <c r="G147" s="191">
        <f t="shared" si="82"/>
        <v>0</v>
      </c>
      <c r="H147" s="191">
        <f t="shared" si="82"/>
        <v>2125000</v>
      </c>
      <c r="I147" s="192">
        <f t="shared" si="82"/>
        <v>0</v>
      </c>
    </row>
    <row r="148" spans="1:9" outlineLevel="2">
      <c r="A148" s="193">
        <v>2002001</v>
      </c>
      <c r="B148" s="194" t="s">
        <v>246</v>
      </c>
      <c r="C148" s="195">
        <f t="shared" ref="C148:I148" si="83">SUBTOTAL(9,C149:C149)</f>
        <v>2125000</v>
      </c>
      <c r="D148" s="195">
        <f t="shared" si="83"/>
        <v>2125000</v>
      </c>
      <c r="E148" s="195">
        <f t="shared" si="83"/>
        <v>0</v>
      </c>
      <c r="F148" s="195">
        <f t="shared" si="83"/>
        <v>888370.68702334107</v>
      </c>
      <c r="G148" s="195">
        <f t="shared" si="83"/>
        <v>0</v>
      </c>
      <c r="H148" s="195">
        <f t="shared" si="83"/>
        <v>2125000</v>
      </c>
      <c r="I148" s="196">
        <f t="shared" si="83"/>
        <v>0</v>
      </c>
    </row>
    <row r="149" spans="1:9" outlineLevel="3">
      <c r="A149" s="197">
        <v>2002001001</v>
      </c>
      <c r="B149" s="198" t="s">
        <v>247</v>
      </c>
      <c r="C149" s="199">
        <v>2125000</v>
      </c>
      <c r="D149" s="199">
        <f>SUMIF('Contratos - Sub69'!D:D,'Detalhamento - Sub69'!A149,'Contratos - Sub69'!I:I)+SUMIF('Pedidos - Sub69'!D:D,'Detalhamento - Sub69'!A149,'Pedidos - Sub69'!G:G)</f>
        <v>2125000</v>
      </c>
      <c r="E149" s="199">
        <f t="shared" ref="E149" si="84">C149-D149</f>
        <v>0</v>
      </c>
      <c r="F149" s="199">
        <f>SUMIF('Notas fiscais - Sub69'!D:D,'Detalhamento - Sub69'!A149,'Notas fiscais - Sub69'!R:R)</f>
        <v>888370.68702334107</v>
      </c>
      <c r="G149" s="199">
        <f>VLOOKUP(A149,'Projeções - Sub69'!B:F,5)</f>
        <v>0</v>
      </c>
      <c r="H149" s="199">
        <f>D149+G149</f>
        <v>2125000</v>
      </c>
      <c r="I149" s="200">
        <f>C149-H149</f>
        <v>0</v>
      </c>
    </row>
    <row r="150" spans="1:9" outlineLevel="1">
      <c r="A150" s="190">
        <v>2003</v>
      </c>
      <c r="B150" s="183" t="s">
        <v>248</v>
      </c>
      <c r="C150" s="191">
        <f t="shared" ref="C150:I150" si="85">SUBTOTAL(9,C151:C152)</f>
        <v>2367480.54</v>
      </c>
      <c r="D150" s="191">
        <f t="shared" si="85"/>
        <v>2259464.67</v>
      </c>
      <c r="E150" s="191">
        <f t="shared" si="85"/>
        <v>108015.87000000011</v>
      </c>
      <c r="F150" s="191">
        <f t="shared" si="85"/>
        <v>452504.14297665883</v>
      </c>
      <c r="G150" s="191">
        <f t="shared" si="85"/>
        <v>108015.87000000011</v>
      </c>
      <c r="H150" s="191">
        <f t="shared" si="85"/>
        <v>2367480.54</v>
      </c>
      <c r="I150" s="192">
        <f t="shared" si="85"/>
        <v>0</v>
      </c>
    </row>
    <row r="151" spans="1:9" outlineLevel="2">
      <c r="A151" s="193">
        <v>2003001</v>
      </c>
      <c r="B151" s="194" t="s">
        <v>248</v>
      </c>
      <c r="C151" s="195">
        <f t="shared" ref="C151:I151" si="86">SUBTOTAL(9,C152:C152)</f>
        <v>2367480.54</v>
      </c>
      <c r="D151" s="195">
        <f t="shared" si="86"/>
        <v>2259464.67</v>
      </c>
      <c r="E151" s="195">
        <f t="shared" si="86"/>
        <v>108015.87000000011</v>
      </c>
      <c r="F151" s="195">
        <f t="shared" si="86"/>
        <v>452504.14297665883</v>
      </c>
      <c r="G151" s="195">
        <f t="shared" si="86"/>
        <v>108015.87000000011</v>
      </c>
      <c r="H151" s="195">
        <f t="shared" si="86"/>
        <v>2367480.54</v>
      </c>
      <c r="I151" s="196">
        <f t="shared" si="86"/>
        <v>0</v>
      </c>
    </row>
    <row r="152" spans="1:9" ht="18.75" outlineLevel="3" thickBot="1">
      <c r="A152" s="201">
        <v>2003001001</v>
      </c>
      <c r="B152" s="202" t="s">
        <v>248</v>
      </c>
      <c r="C152" s="203">
        <v>2367480.54</v>
      </c>
      <c r="D152" s="203">
        <f>SUMIF('Contratos - Sub69'!D:D,'Detalhamento - Sub69'!A152,'Contratos - Sub69'!I:I)+SUMIF('Pedidos - Sub69'!D:D,'Detalhamento - Sub69'!A152,'Pedidos - Sub69'!G:G)</f>
        <v>2259464.67</v>
      </c>
      <c r="E152" s="203">
        <f t="shared" ref="E152" si="87">C152-D152</f>
        <v>108015.87000000011</v>
      </c>
      <c r="F152" s="203">
        <f>SUMIF('Notas fiscais - Sub69'!D:D,'Detalhamento - Sub69'!A152,'Notas fiscais - Sub69'!R:R)</f>
        <v>452504.14297665883</v>
      </c>
      <c r="G152" s="203">
        <f>VLOOKUP(A152,'Projeções - Sub69'!B:F,5)</f>
        <v>108015.87000000011</v>
      </c>
      <c r="H152" s="203">
        <f>D152+G152</f>
        <v>2367480.54</v>
      </c>
      <c r="I152" s="204">
        <f>C152-H152</f>
        <v>0</v>
      </c>
    </row>
  </sheetData>
  <autoFilter ref="A2:I152" xr:uid="{D2724FC5-AA58-470C-BD0A-6CDE8541AF91}"/>
  <mergeCells count="1">
    <mergeCell ref="A1:I1"/>
  </mergeCells>
  <conditionalFormatting sqref="A1:XFD1048576">
    <cfRule type="cellIs" dxfId="133" priority="8" operator="lessThan">
      <formula>0</formula>
    </cfRule>
  </conditionalFormatting>
  <conditionalFormatting sqref="B1:B1048576">
    <cfRule type="duplicateValues" dxfId="132" priority="7"/>
  </conditionalFormatting>
  <conditionalFormatting sqref="I3:I8 I127:I146 I148:I149">
    <cfRule type="cellIs" dxfId="131" priority="9" operator="lessThan">
      <formula>0</formula>
    </cfRule>
  </conditionalFormatting>
  <conditionalFormatting sqref="I3:I8 I148:I149">
    <cfRule type="cellIs" dxfId="130" priority="10" operator="greaterThan">
      <formula>0</formula>
    </cfRule>
  </conditionalFormatting>
  <conditionalFormatting sqref="I11:I146">
    <cfRule type="cellIs" dxfId="129" priority="3" operator="lessThan">
      <formula>0</formula>
    </cfRule>
    <cfRule type="cellIs" dxfId="128" priority="4" operator="greaterThan">
      <formula>0</formula>
    </cfRule>
  </conditionalFormatting>
  <conditionalFormatting sqref="I151:I152">
    <cfRule type="cellIs" dxfId="127" priority="1" operator="lessThan">
      <formula>0</formula>
    </cfRule>
    <cfRule type="cellIs" dxfId="126" priority="2" operator="greaterThan">
      <formula>0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37" firstPageNumber="0" fitToHeight="0" pageOrder="overThenDown" orientation="portrait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8BB19-1D8F-4B08-BEF6-5A1C36A8E485}">
  <sheetPr>
    <tabColor theme="2" tint="-0.249977111117893"/>
  </sheetPr>
  <dimension ref="A1:G94"/>
  <sheetViews>
    <sheetView showGridLines="0" zoomScale="70" zoomScaleNormal="70" workbookViewId="0">
      <selection activeCell="D21" sqref="D21"/>
    </sheetView>
  </sheetViews>
  <sheetFormatPr defaultColWidth="8.85546875" defaultRowHeight="18" outlineLevelRow="1"/>
  <cols>
    <col min="1" max="1" width="2.140625" style="157" customWidth="1"/>
    <col min="2" max="2" width="15.7109375" style="157" customWidth="1"/>
    <col min="3" max="3" width="91.5703125" style="208" customWidth="1"/>
    <col min="4" max="4" width="28.5703125" style="157" customWidth="1"/>
    <col min="5" max="5" width="33.85546875" style="157" customWidth="1"/>
    <col min="6" max="6" width="42.7109375" style="157" customWidth="1"/>
    <col min="7" max="7" width="24.42578125" style="159" bestFit="1" customWidth="1"/>
    <col min="8" max="9" width="8.85546875" style="159"/>
    <col min="10" max="10" width="13.5703125" style="159" bestFit="1" customWidth="1"/>
    <col min="11" max="16384" width="8.85546875" style="159"/>
  </cols>
  <sheetData>
    <row r="1" spans="2:7">
      <c r="C1" s="157"/>
    </row>
    <row r="2" spans="2:7" hidden="1" outlineLevel="1">
      <c r="B2" s="205" t="s">
        <v>264</v>
      </c>
      <c r="C2" s="206" t="s">
        <v>265</v>
      </c>
    </row>
    <row r="3" spans="2:7" hidden="1" outlineLevel="1">
      <c r="B3" s="205"/>
      <c r="C3" s="206" t="s">
        <v>266</v>
      </c>
    </row>
    <row r="4" spans="2:7" hidden="1" outlineLevel="1">
      <c r="B4" s="205" t="s">
        <v>267</v>
      </c>
      <c r="C4" s="206" t="s">
        <v>268</v>
      </c>
    </row>
    <row r="5" spans="2:7" collapsed="1">
      <c r="C5" s="159"/>
    </row>
    <row r="6" spans="2:7">
      <c r="C6" s="159"/>
    </row>
    <row r="7" spans="2:7">
      <c r="C7" s="159"/>
      <c r="E7" s="207"/>
    </row>
    <row r="8" spans="2:7">
      <c r="C8" s="159"/>
    </row>
    <row r="9" spans="2:7">
      <c r="C9" s="159"/>
    </row>
    <row r="11" spans="2:7">
      <c r="D11" s="209" t="s">
        <v>269</v>
      </c>
      <c r="E11" s="188">
        <f>SUBTOTAL(9,E14:E1048576)</f>
        <v>3700000</v>
      </c>
      <c r="F11" s="188"/>
    </row>
    <row r="12" spans="2:7" ht="18.75" thickBot="1">
      <c r="C12" s="157"/>
    </row>
    <row r="13" spans="2:7">
      <c r="B13" s="210" t="s">
        <v>270</v>
      </c>
      <c r="C13" s="211" t="s">
        <v>271</v>
      </c>
      <c r="D13" s="211" t="s">
        <v>256</v>
      </c>
      <c r="E13" s="211" t="s">
        <v>272</v>
      </c>
      <c r="F13" s="212" t="s">
        <v>273</v>
      </c>
      <c r="G13" s="211" t="s">
        <v>611</v>
      </c>
    </row>
    <row r="14" spans="2:7">
      <c r="B14" s="213" t="s">
        <v>657</v>
      </c>
      <c r="C14" s="214" t="s">
        <v>610</v>
      </c>
      <c r="D14" s="215">
        <v>1001001001</v>
      </c>
      <c r="E14" s="216">
        <v>3700000</v>
      </c>
      <c r="F14" s="216"/>
      <c r="G14" s="217">
        <f>IF(F14&lt;&gt;"",0,E14)</f>
        <v>3700000</v>
      </c>
    </row>
    <row r="15" spans="2:7">
      <c r="B15" s="213"/>
      <c r="C15" s="214"/>
      <c r="D15" s="215"/>
      <c r="E15" s="216"/>
      <c r="F15" s="216"/>
    </row>
    <row r="16" spans="2:7">
      <c r="B16" s="213"/>
      <c r="C16" s="214"/>
      <c r="D16" s="215"/>
      <c r="E16" s="216"/>
      <c r="F16" s="216"/>
    </row>
    <row r="17" spans="2:6">
      <c r="B17" s="213"/>
      <c r="C17" s="214"/>
      <c r="D17" s="215"/>
      <c r="E17" s="216"/>
      <c r="F17" s="216"/>
    </row>
    <row r="18" spans="2:6">
      <c r="B18" s="213"/>
      <c r="C18" s="214"/>
      <c r="D18" s="215"/>
      <c r="E18" s="216"/>
      <c r="F18" s="216"/>
    </row>
    <row r="19" spans="2:6">
      <c r="B19" s="213"/>
      <c r="C19" s="214"/>
      <c r="D19" s="215"/>
      <c r="E19" s="216"/>
      <c r="F19" s="216"/>
    </row>
    <row r="20" spans="2:6">
      <c r="B20" s="213"/>
      <c r="C20" s="214"/>
      <c r="D20" s="215"/>
      <c r="E20" s="216"/>
      <c r="F20" s="216"/>
    </row>
    <row r="21" spans="2:6">
      <c r="B21" s="213"/>
      <c r="C21" s="214"/>
      <c r="D21" s="215"/>
      <c r="E21" s="216"/>
      <c r="F21" s="216"/>
    </row>
    <row r="22" spans="2:6">
      <c r="B22" s="213"/>
      <c r="C22" s="214"/>
      <c r="D22" s="215"/>
      <c r="E22" s="216"/>
      <c r="F22" s="216"/>
    </row>
    <row r="23" spans="2:6">
      <c r="B23" s="213"/>
      <c r="C23" s="214"/>
      <c r="D23" s="215"/>
      <c r="E23" s="216"/>
      <c r="F23" s="216"/>
    </row>
    <row r="24" spans="2:6">
      <c r="B24" s="213"/>
      <c r="C24" s="214"/>
      <c r="D24" s="215"/>
      <c r="E24" s="216"/>
      <c r="F24" s="216"/>
    </row>
    <row r="25" spans="2:6">
      <c r="B25" s="213"/>
      <c r="C25" s="214"/>
      <c r="D25" s="215"/>
      <c r="E25" s="216"/>
      <c r="F25" s="216"/>
    </row>
    <row r="26" spans="2:6">
      <c r="B26" s="213"/>
      <c r="C26" s="214"/>
      <c r="D26" s="215"/>
      <c r="E26" s="216"/>
      <c r="F26" s="216"/>
    </row>
    <row r="27" spans="2:6">
      <c r="B27" s="213"/>
      <c r="C27" s="214"/>
      <c r="D27" s="215"/>
      <c r="E27" s="216"/>
      <c r="F27" s="216"/>
    </row>
    <row r="28" spans="2:6">
      <c r="B28" s="213"/>
      <c r="C28" s="214"/>
      <c r="D28" s="215"/>
      <c r="E28" s="216"/>
      <c r="F28" s="216"/>
    </row>
    <row r="29" spans="2:6">
      <c r="B29" s="213"/>
      <c r="C29" s="214"/>
      <c r="D29" s="215"/>
      <c r="E29" s="216"/>
      <c r="F29" s="216"/>
    </row>
    <row r="30" spans="2:6">
      <c r="B30" s="213"/>
      <c r="C30" s="214"/>
      <c r="D30" s="215"/>
      <c r="E30" s="216"/>
      <c r="F30" s="216"/>
    </row>
    <row r="31" spans="2:6">
      <c r="B31" s="213"/>
      <c r="C31" s="214"/>
      <c r="D31" s="215"/>
      <c r="E31" s="216"/>
      <c r="F31" s="216"/>
    </row>
    <row r="32" spans="2:6">
      <c r="B32" s="213"/>
      <c r="C32" s="214"/>
      <c r="D32" s="215"/>
      <c r="E32" s="216"/>
      <c r="F32" s="216"/>
    </row>
    <row r="33" spans="2:6">
      <c r="B33" s="213"/>
      <c r="C33" s="214"/>
      <c r="D33" s="215"/>
      <c r="E33" s="216"/>
      <c r="F33" s="216"/>
    </row>
    <row r="34" spans="2:6">
      <c r="B34" s="213"/>
      <c r="C34" s="214"/>
      <c r="D34" s="215"/>
      <c r="E34" s="216"/>
      <c r="F34" s="216"/>
    </row>
    <row r="35" spans="2:6">
      <c r="B35" s="213"/>
      <c r="C35" s="214"/>
      <c r="D35" s="215"/>
      <c r="E35" s="216"/>
      <c r="F35" s="216"/>
    </row>
    <row r="36" spans="2:6">
      <c r="B36" s="213"/>
      <c r="C36" s="214"/>
      <c r="D36" s="215"/>
      <c r="E36" s="216"/>
      <c r="F36" s="216"/>
    </row>
    <row r="37" spans="2:6">
      <c r="B37" s="213"/>
      <c r="C37" s="214"/>
      <c r="D37" s="215"/>
      <c r="E37" s="216"/>
      <c r="F37" s="216"/>
    </row>
    <row r="38" spans="2:6">
      <c r="B38" s="213"/>
      <c r="C38" s="214"/>
      <c r="D38" s="215"/>
      <c r="E38" s="216"/>
      <c r="F38" s="216"/>
    </row>
    <row r="39" spans="2:6">
      <c r="B39" s="139"/>
      <c r="C39" s="218"/>
      <c r="D39" s="219"/>
      <c r="E39" s="220"/>
      <c r="F39" s="220"/>
    </row>
    <row r="40" spans="2:6">
      <c r="B40" s="139"/>
      <c r="C40" s="218"/>
      <c r="D40" s="219"/>
      <c r="E40" s="220"/>
      <c r="F40" s="220"/>
    </row>
    <row r="41" spans="2:6">
      <c r="B41" s="139"/>
      <c r="C41" s="218"/>
      <c r="D41" s="219"/>
      <c r="E41" s="220"/>
      <c r="F41" s="220"/>
    </row>
    <row r="42" spans="2:6">
      <c r="B42" s="139"/>
      <c r="C42" s="218"/>
      <c r="D42" s="219"/>
      <c r="E42" s="220"/>
      <c r="F42" s="220"/>
    </row>
    <row r="43" spans="2:6">
      <c r="B43" s="139"/>
      <c r="C43" s="218"/>
      <c r="D43" s="219"/>
      <c r="E43" s="220"/>
      <c r="F43" s="220"/>
    </row>
    <row r="44" spans="2:6">
      <c r="B44" s="139"/>
      <c r="C44" s="218"/>
      <c r="D44" s="219"/>
      <c r="E44" s="220"/>
      <c r="F44" s="220"/>
    </row>
    <row r="45" spans="2:6">
      <c r="B45" s="139"/>
      <c r="C45" s="218"/>
      <c r="D45" s="219"/>
      <c r="E45" s="220"/>
      <c r="F45" s="220"/>
    </row>
    <row r="46" spans="2:6">
      <c r="B46" s="139"/>
      <c r="C46" s="218"/>
      <c r="D46" s="219"/>
      <c r="E46" s="220"/>
      <c r="F46" s="220"/>
    </row>
    <row r="47" spans="2:6">
      <c r="B47" s="139"/>
      <c r="C47" s="218"/>
      <c r="D47" s="219"/>
      <c r="E47" s="220"/>
      <c r="F47" s="220"/>
    </row>
    <row r="48" spans="2:6">
      <c r="B48" s="139"/>
      <c r="C48" s="218"/>
      <c r="D48" s="219"/>
      <c r="E48" s="220"/>
      <c r="F48" s="220"/>
    </row>
    <row r="49" spans="2:6">
      <c r="B49" s="139"/>
      <c r="C49" s="218"/>
      <c r="D49" s="219"/>
      <c r="E49" s="220"/>
      <c r="F49" s="220"/>
    </row>
    <row r="50" spans="2:6">
      <c r="B50" s="139"/>
      <c r="C50" s="218"/>
      <c r="D50" s="219"/>
      <c r="E50" s="220"/>
      <c r="F50" s="220"/>
    </row>
    <row r="51" spans="2:6">
      <c r="B51" s="139"/>
      <c r="C51" s="218"/>
      <c r="D51" s="219"/>
      <c r="E51" s="220"/>
      <c r="F51" s="220"/>
    </row>
    <row r="52" spans="2:6">
      <c r="B52" s="139"/>
      <c r="C52" s="218"/>
      <c r="D52" s="219"/>
      <c r="E52" s="220"/>
      <c r="F52" s="220"/>
    </row>
    <row r="53" spans="2:6">
      <c r="B53" s="139"/>
      <c r="C53" s="218"/>
      <c r="D53" s="219"/>
      <c r="E53" s="220"/>
      <c r="F53" s="220"/>
    </row>
    <row r="54" spans="2:6">
      <c r="B54" s="139"/>
      <c r="C54" s="218"/>
      <c r="D54" s="219"/>
      <c r="E54" s="220"/>
      <c r="F54" s="220"/>
    </row>
    <row r="55" spans="2:6">
      <c r="B55" s="139"/>
      <c r="C55" s="218"/>
      <c r="D55" s="219"/>
      <c r="E55" s="220"/>
      <c r="F55" s="220"/>
    </row>
    <row r="56" spans="2:6">
      <c r="B56" s="213"/>
      <c r="C56" s="214"/>
      <c r="D56" s="219"/>
      <c r="E56" s="216"/>
      <c r="F56" s="216"/>
    </row>
    <row r="57" spans="2:6">
      <c r="B57" s="139"/>
      <c r="C57" s="214"/>
      <c r="D57" s="219"/>
      <c r="E57" s="216"/>
      <c r="F57" s="216"/>
    </row>
    <row r="58" spans="2:6">
      <c r="B58" s="139"/>
      <c r="C58" s="218"/>
      <c r="D58" s="219"/>
      <c r="E58" s="220"/>
      <c r="F58" s="216"/>
    </row>
    <row r="59" spans="2:6">
      <c r="B59" s="139"/>
      <c r="C59" s="218"/>
      <c r="D59" s="219"/>
      <c r="E59" s="220"/>
      <c r="F59" s="216"/>
    </row>
    <row r="60" spans="2:6">
      <c r="B60" s="139"/>
      <c r="C60" s="214"/>
      <c r="D60" s="219"/>
      <c r="E60" s="220"/>
      <c r="F60" s="216"/>
    </row>
    <row r="61" spans="2:6">
      <c r="B61" s="139"/>
      <c r="C61" s="214"/>
      <c r="D61" s="219"/>
      <c r="E61" s="220"/>
      <c r="F61" s="216"/>
    </row>
    <row r="62" spans="2:6">
      <c r="B62" s="139"/>
      <c r="C62" s="214"/>
      <c r="D62" s="219"/>
      <c r="E62" s="220"/>
      <c r="F62" s="216"/>
    </row>
    <row r="63" spans="2:6">
      <c r="B63" s="139"/>
      <c r="C63" s="218"/>
      <c r="D63" s="219"/>
      <c r="E63" s="220"/>
      <c r="F63" s="216"/>
    </row>
    <row r="64" spans="2:6">
      <c r="B64" s="139"/>
      <c r="C64" s="218"/>
      <c r="D64" s="219"/>
      <c r="E64" s="220"/>
      <c r="F64" s="216"/>
    </row>
    <row r="65" spans="2:6">
      <c r="B65" s="139"/>
      <c r="C65" s="214"/>
      <c r="D65" s="219"/>
      <c r="E65" s="220"/>
      <c r="F65" s="216"/>
    </row>
    <row r="66" spans="2:6">
      <c r="B66" s="139"/>
      <c r="C66" s="214"/>
      <c r="D66" s="219"/>
      <c r="E66" s="220"/>
      <c r="F66" s="216"/>
    </row>
    <row r="67" spans="2:6">
      <c r="B67" s="139"/>
      <c r="C67" s="214"/>
      <c r="D67" s="219"/>
      <c r="E67" s="220"/>
      <c r="F67" s="216"/>
    </row>
    <row r="68" spans="2:6">
      <c r="B68" s="139"/>
      <c r="C68" s="214"/>
      <c r="D68" s="219"/>
      <c r="E68" s="220"/>
      <c r="F68" s="216"/>
    </row>
    <row r="69" spans="2:6">
      <c r="B69" s="139"/>
      <c r="C69" s="214"/>
      <c r="D69" s="219"/>
      <c r="E69" s="220"/>
      <c r="F69" s="216"/>
    </row>
    <row r="70" spans="2:6">
      <c r="B70" s="139"/>
      <c r="C70" s="214"/>
      <c r="D70" s="219"/>
      <c r="E70" s="220"/>
      <c r="F70" s="216"/>
    </row>
    <row r="71" spans="2:6">
      <c r="B71" s="139"/>
      <c r="C71" s="214"/>
      <c r="D71" s="219"/>
      <c r="E71" s="220"/>
      <c r="F71" s="216"/>
    </row>
    <row r="72" spans="2:6">
      <c r="B72" s="213"/>
      <c r="C72" s="214"/>
      <c r="D72" s="215"/>
      <c r="E72" s="216"/>
      <c r="F72" s="216"/>
    </row>
    <row r="73" spans="2:6">
      <c r="B73" s="213"/>
      <c r="C73" s="214"/>
      <c r="D73" s="215"/>
      <c r="E73" s="216"/>
      <c r="F73" s="216"/>
    </row>
    <row r="74" spans="2:6">
      <c r="B74" s="213"/>
      <c r="C74" s="214"/>
      <c r="D74" s="215"/>
      <c r="E74" s="216"/>
      <c r="F74" s="216"/>
    </row>
    <row r="75" spans="2:6">
      <c r="B75" s="213"/>
      <c r="C75" s="214"/>
      <c r="D75" s="215"/>
      <c r="E75" s="216"/>
      <c r="F75" s="216"/>
    </row>
    <row r="76" spans="2:6">
      <c r="B76" s="213"/>
      <c r="C76" s="214"/>
      <c r="D76" s="215"/>
      <c r="E76" s="216"/>
      <c r="F76" s="216"/>
    </row>
    <row r="77" spans="2:6">
      <c r="B77" s="213"/>
      <c r="C77" s="214"/>
      <c r="D77" s="215"/>
      <c r="E77" s="216"/>
      <c r="F77" s="216"/>
    </row>
    <row r="78" spans="2:6">
      <c r="B78" s="213"/>
      <c r="C78" s="214"/>
      <c r="D78" s="215"/>
      <c r="E78" s="216"/>
      <c r="F78" s="216"/>
    </row>
    <row r="79" spans="2:6">
      <c r="B79" s="213"/>
      <c r="C79" s="214"/>
      <c r="D79" s="215"/>
      <c r="E79" s="216"/>
      <c r="F79" s="216"/>
    </row>
    <row r="80" spans="2:6">
      <c r="B80" s="213"/>
      <c r="C80" s="214"/>
      <c r="D80" s="215"/>
      <c r="E80" s="216"/>
      <c r="F80" s="216"/>
    </row>
    <row r="81" spans="2:6">
      <c r="B81" s="213"/>
      <c r="C81" s="214"/>
      <c r="D81" s="215"/>
      <c r="E81" s="216"/>
      <c r="F81" s="216"/>
    </row>
    <row r="82" spans="2:6">
      <c r="B82" s="213"/>
      <c r="C82" s="214"/>
      <c r="D82" s="215"/>
      <c r="E82" s="216"/>
      <c r="F82" s="216"/>
    </row>
    <row r="83" spans="2:6">
      <c r="B83" s="213"/>
      <c r="C83" s="214"/>
      <c r="D83" s="215"/>
      <c r="E83" s="216"/>
      <c r="F83" s="216"/>
    </row>
    <row r="84" spans="2:6">
      <c r="B84" s="213"/>
      <c r="C84" s="214"/>
      <c r="D84" s="215"/>
      <c r="E84" s="216"/>
      <c r="F84" s="216"/>
    </row>
    <row r="85" spans="2:6">
      <c r="B85" s="213"/>
      <c r="C85" s="214"/>
      <c r="D85" s="215"/>
      <c r="E85" s="216"/>
      <c r="F85" s="216"/>
    </row>
    <row r="86" spans="2:6">
      <c r="B86" s="213"/>
      <c r="C86" s="214"/>
      <c r="D86" s="215"/>
      <c r="E86" s="216"/>
      <c r="F86" s="216"/>
    </row>
    <row r="87" spans="2:6">
      <c r="B87" s="221"/>
      <c r="C87" s="222"/>
      <c r="D87" s="221"/>
      <c r="E87" s="221"/>
      <c r="F87" s="221"/>
    </row>
    <row r="88" spans="2:6">
      <c r="B88" s="221"/>
      <c r="C88" s="222"/>
      <c r="D88" s="221"/>
      <c r="E88" s="221"/>
      <c r="F88" s="221"/>
    </row>
    <row r="89" spans="2:6">
      <c r="B89" s="221"/>
      <c r="C89" s="222"/>
      <c r="D89" s="221"/>
      <c r="E89" s="221"/>
      <c r="F89" s="221"/>
    </row>
    <row r="90" spans="2:6">
      <c r="B90" s="221"/>
      <c r="C90" s="222"/>
      <c r="D90" s="221"/>
      <c r="E90" s="221"/>
      <c r="F90" s="221"/>
    </row>
    <row r="91" spans="2:6">
      <c r="B91" s="221"/>
      <c r="C91" s="222"/>
      <c r="D91" s="221"/>
      <c r="E91" s="221"/>
      <c r="F91" s="221"/>
    </row>
    <row r="92" spans="2:6">
      <c r="B92" s="221"/>
      <c r="C92" s="222"/>
      <c r="D92" s="221"/>
      <c r="E92" s="221"/>
      <c r="F92" s="221"/>
    </row>
    <row r="93" spans="2:6">
      <c r="B93" s="221"/>
      <c r="C93" s="222"/>
      <c r="D93" s="221"/>
      <c r="E93" s="221"/>
      <c r="F93" s="221"/>
    </row>
    <row r="94" spans="2:6">
      <c r="B94" s="221"/>
      <c r="C94" s="222"/>
      <c r="D94" s="221"/>
      <c r="E94" s="221"/>
      <c r="F94" s="221"/>
    </row>
  </sheetData>
  <autoFilter ref="B13:E74" xr:uid="{F5B993B1-709F-4072-89B3-FB4FFDA82105}"/>
  <conditionalFormatting sqref="B13:G13">
    <cfRule type="cellIs" dxfId="125" priority="112" operator="lessThan">
      <formula>0</formula>
    </cfRule>
    <cfRule type="duplicateValues" dxfId="124" priority="113"/>
    <cfRule type="duplicateValues" dxfId="123" priority="114"/>
    <cfRule type="duplicateValues" dxfId="122" priority="115"/>
    <cfRule type="duplicateValues" dxfId="121" priority="116"/>
  </conditionalFormatting>
  <conditionalFormatting sqref="D11">
    <cfRule type="cellIs" dxfId="120" priority="2" operator="lessThan">
      <formula>0</formula>
    </cfRule>
    <cfRule type="duplicateValues" dxfId="119" priority="3"/>
    <cfRule type="duplicateValues" dxfId="118" priority="4"/>
    <cfRule type="duplicateValues" dxfId="117" priority="5"/>
    <cfRule type="duplicateValues" dxfId="116" priority="6"/>
  </conditionalFormatting>
  <conditionalFormatting sqref="E1:F1048576">
    <cfRule type="cellIs" dxfId="115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0F575-674F-487E-8D40-55BA798EAC88}">
  <sheetPr>
    <tabColor theme="2" tint="-0.249977111117893"/>
  </sheetPr>
  <dimension ref="A1:K12"/>
  <sheetViews>
    <sheetView showGridLines="0" zoomScale="70" zoomScaleNormal="70" workbookViewId="0">
      <selection activeCell="G17" sqref="G17"/>
    </sheetView>
  </sheetViews>
  <sheetFormatPr defaultColWidth="8.85546875" defaultRowHeight="18" outlineLevelRow="1" outlineLevelCol="1"/>
  <cols>
    <col min="1" max="1" width="2.140625" style="160" customWidth="1"/>
    <col min="2" max="2" width="19.140625" style="147" bestFit="1" customWidth="1"/>
    <col min="3" max="3" width="68.42578125" style="147" customWidth="1"/>
    <col min="4" max="4" width="28.5703125" style="146" customWidth="1"/>
    <col min="5" max="5" width="28.5703125" style="147" hidden="1" customWidth="1" outlineLevel="1"/>
    <col min="6" max="6" width="26.28515625" style="154" customWidth="1" collapsed="1"/>
    <col min="7" max="7" width="67.5703125" style="147" bestFit="1" customWidth="1"/>
    <col min="8" max="8" width="26.28515625" style="147" customWidth="1"/>
    <col min="9" max="9" width="24.42578125" style="154" bestFit="1" customWidth="1"/>
    <col min="10" max="10" width="8.85546875" style="162"/>
    <col min="11" max="11" width="13.5703125" style="162" bestFit="1" customWidth="1"/>
    <col min="12" max="16384" width="8.85546875" style="162"/>
  </cols>
  <sheetData>
    <row r="1" spans="2:11" ht="14.25">
      <c r="B1" s="162"/>
      <c r="C1" s="162"/>
      <c r="D1" s="162"/>
      <c r="E1" s="162"/>
      <c r="F1" s="164"/>
      <c r="G1" s="162"/>
      <c r="H1" s="162"/>
      <c r="I1" s="164"/>
    </row>
    <row r="2" spans="2:11" ht="14.25" hidden="1" outlineLevel="1">
      <c r="B2" s="162" t="s">
        <v>264</v>
      </c>
      <c r="C2" s="162" t="s">
        <v>265</v>
      </c>
      <c r="D2" s="162"/>
      <c r="E2" s="162"/>
      <c r="F2" s="164"/>
      <c r="G2" s="162"/>
      <c r="H2" s="162"/>
      <c r="I2" s="164"/>
    </row>
    <row r="3" spans="2:11" ht="14.25" hidden="1" outlineLevel="1">
      <c r="B3" s="162"/>
      <c r="C3" s="162" t="s">
        <v>266</v>
      </c>
      <c r="D3" s="162"/>
      <c r="E3" s="162"/>
      <c r="F3" s="164"/>
      <c r="G3" s="162"/>
      <c r="H3" s="162"/>
      <c r="I3" s="164"/>
    </row>
    <row r="4" spans="2:11" ht="14.25" hidden="1" outlineLevel="1">
      <c r="B4" s="162" t="s">
        <v>267</v>
      </c>
      <c r="C4" s="162" t="s">
        <v>268</v>
      </c>
      <c r="D4" s="162"/>
      <c r="E4" s="162"/>
      <c r="F4" s="164"/>
      <c r="G4" s="162"/>
      <c r="H4" s="162"/>
      <c r="I4" s="164"/>
    </row>
    <row r="5" spans="2:11" ht="14.25" collapsed="1">
      <c r="B5" s="162"/>
      <c r="C5" s="162"/>
      <c r="D5" s="162"/>
      <c r="E5" s="162"/>
      <c r="F5" s="164"/>
      <c r="G5" s="162"/>
      <c r="H5" s="162"/>
      <c r="I5" s="164"/>
    </row>
    <row r="6" spans="2:11" ht="14.25">
      <c r="B6" s="162"/>
      <c r="C6" s="162"/>
      <c r="D6" s="162"/>
      <c r="E6" s="162"/>
      <c r="F6" s="164"/>
      <c r="G6" s="162"/>
      <c r="H6" s="162"/>
      <c r="I6" s="164"/>
    </row>
    <row r="7" spans="2:11">
      <c r="B7" s="162"/>
      <c r="C7" s="162"/>
      <c r="D7" s="130" t="s">
        <v>269</v>
      </c>
      <c r="E7" s="130"/>
      <c r="F7" s="130">
        <f>SUBTOTAL(9,F10:F1048576)</f>
        <v>24184464.670000002</v>
      </c>
      <c r="G7" s="162"/>
      <c r="H7" s="162"/>
      <c r="I7" s="130">
        <f>SUBTOTAL(9,I10:I1048576)</f>
        <v>24184464.670000002</v>
      </c>
      <c r="J7" s="262"/>
      <c r="K7" s="262"/>
    </row>
    <row r="8" spans="2:11" ht="14.25">
      <c r="B8" s="162"/>
      <c r="C8" s="162"/>
      <c r="D8" s="162"/>
      <c r="E8" s="162"/>
      <c r="F8" s="164"/>
      <c r="G8" s="162"/>
      <c r="H8" s="162"/>
      <c r="I8" s="164"/>
    </row>
    <row r="9" spans="2:11" ht="54">
      <c r="B9" s="130" t="s">
        <v>263</v>
      </c>
      <c r="C9" s="130" t="s">
        <v>271</v>
      </c>
      <c r="D9" s="130" t="s">
        <v>256</v>
      </c>
      <c r="E9" s="130" t="s">
        <v>655</v>
      </c>
      <c r="F9" s="130" t="s">
        <v>272</v>
      </c>
      <c r="G9" s="130" t="s">
        <v>313</v>
      </c>
      <c r="H9" s="130" t="s">
        <v>273</v>
      </c>
      <c r="I9" s="130" t="s">
        <v>611</v>
      </c>
    </row>
    <row r="10" spans="2:11" ht="54">
      <c r="B10" s="147" t="s">
        <v>439</v>
      </c>
      <c r="C10" s="147" t="s">
        <v>315</v>
      </c>
      <c r="D10" s="146">
        <v>2002001001</v>
      </c>
      <c r="E10" s="147" t="str" cm="1">
        <f t="array" ref="E10">_xlfn.XLOOKUP(D10,'Detalhamento - Sub69'!A:A,'Detalhamento - Sub69'!B:B,X)</f>
        <v>SALÁRIOS, DISSÍDIO/REAJUSTE E AJUDA DE CUSTO</v>
      </c>
      <c r="F10" s="154">
        <f>141666.67+1983333.33</f>
        <v>2125000</v>
      </c>
      <c r="I10" s="154">
        <f>IF(H10&lt;&gt;"",0,F10)</f>
        <v>2125000</v>
      </c>
    </row>
    <row r="11" spans="2:11">
      <c r="B11" s="147" t="s">
        <v>439</v>
      </c>
      <c r="C11" s="147" t="s">
        <v>315</v>
      </c>
      <c r="D11" s="146">
        <v>2003001001</v>
      </c>
      <c r="E11" s="147" t="str" cm="1">
        <f t="array" ref="E11">_xlfn.XLOOKUP(D11,'Detalhamento - Sub69'!A:A,'Detalhamento - Sub69'!B:B,X)</f>
        <v>FEE</v>
      </c>
      <c r="F11" s="154">
        <f>1648255.69+ 219032.96+392176.02</f>
        <v>2259464.67</v>
      </c>
      <c r="I11" s="154">
        <f>IF(H11&lt;&gt;"",0,F11)</f>
        <v>2259464.67</v>
      </c>
    </row>
    <row r="12" spans="2:11" ht="36">
      <c r="B12" s="147" t="s">
        <v>1068</v>
      </c>
      <c r="C12" s="147" t="s">
        <v>364</v>
      </c>
      <c r="D12" s="146">
        <v>1001001002</v>
      </c>
      <c r="F12" s="154">
        <v>19800000</v>
      </c>
      <c r="G12" s="147" t="s">
        <v>1069</v>
      </c>
      <c r="I12" s="154">
        <f>IF(H12&lt;&gt;"",0,F12)</f>
        <v>19800000</v>
      </c>
    </row>
  </sheetData>
  <autoFilter ref="B9:H9" xr:uid="{7010F575-674F-487E-8D40-55BA798EAC88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C29D9-87C1-4E9D-B1E0-240AAD90B620}">
  <sheetPr>
    <tabColor theme="1"/>
  </sheetPr>
  <dimension ref="B1:H124"/>
  <sheetViews>
    <sheetView showGridLines="0" zoomScale="70" zoomScaleNormal="70" workbookViewId="0">
      <selection activeCell="G17" sqref="G17"/>
    </sheetView>
  </sheetViews>
  <sheetFormatPr defaultColWidth="8.85546875" defaultRowHeight="18"/>
  <cols>
    <col min="1" max="1" width="5.7109375" style="148" customWidth="1"/>
    <col min="2" max="2" width="26.5703125" style="148" bestFit="1" customWidth="1"/>
    <col min="3" max="3" width="62.7109375" style="149" bestFit="1" customWidth="1"/>
    <col min="4" max="4" width="22.28515625" style="155" bestFit="1" customWidth="1"/>
    <col min="5" max="6" width="27.42578125" style="155" customWidth="1"/>
    <col min="7" max="7" width="89.28515625" style="149" bestFit="1" customWidth="1"/>
    <col min="8" max="8" width="13.7109375" style="148" bestFit="1" customWidth="1"/>
    <col min="9" max="9" width="17.5703125" style="148" customWidth="1"/>
    <col min="10" max="16384" width="8.85546875" style="148"/>
  </cols>
  <sheetData>
    <row r="1" spans="2:8">
      <c r="D1" s="149"/>
      <c r="E1" s="149"/>
      <c r="F1" s="149"/>
    </row>
    <row r="2" spans="2:8">
      <c r="C2" s="223" t="s">
        <v>249</v>
      </c>
      <c r="D2" s="224" t="s">
        <v>250</v>
      </c>
      <c r="E2" s="150"/>
      <c r="F2" s="150"/>
      <c r="G2" s="150"/>
    </row>
    <row r="3" spans="2:8">
      <c r="C3" s="223" t="s">
        <v>251</v>
      </c>
      <c r="D3" s="225"/>
      <c r="E3" s="150"/>
      <c r="F3" s="150"/>
      <c r="G3" s="150"/>
    </row>
    <row r="4" spans="2:8">
      <c r="C4" s="223" t="s">
        <v>252</v>
      </c>
      <c r="D4" s="225"/>
      <c r="E4" s="150"/>
      <c r="F4" s="150"/>
      <c r="G4" s="150"/>
      <c r="H4" s="151"/>
    </row>
    <row r="5" spans="2:8">
      <c r="C5" s="223" t="s">
        <v>253</v>
      </c>
      <c r="D5" s="224" t="s">
        <v>254</v>
      </c>
      <c r="E5" s="150"/>
      <c r="F5" s="150"/>
      <c r="G5" s="150"/>
      <c r="H5" s="152"/>
    </row>
    <row r="6" spans="2:8">
      <c r="D6" s="149"/>
      <c r="E6" s="149"/>
      <c r="F6" s="149"/>
    </row>
    <row r="7" spans="2:8">
      <c r="B7" s="226"/>
      <c r="C7" s="227" t="s">
        <v>255</v>
      </c>
      <c r="D7" s="228">
        <f>SUM(D10:D124)</f>
        <v>-2078490.169999999</v>
      </c>
      <c r="E7" s="227"/>
      <c r="F7" s="228">
        <f>SUM(F10:F124)</f>
        <v>-2078490.169999999</v>
      </c>
      <c r="G7" s="227"/>
    </row>
    <row r="8" spans="2:8" ht="18.75" thickBot="1">
      <c r="D8" s="149" t="b">
        <f>D7='Detalhamento - Sub69'!E3</f>
        <v>1</v>
      </c>
      <c r="E8" s="149" t="s">
        <v>918</v>
      </c>
      <c r="F8" s="149" t="b">
        <f>F7='Detalhamento - Sub69'!G3</f>
        <v>1</v>
      </c>
    </row>
    <row r="9" spans="2:8" s="153" customFormat="1">
      <c r="B9" s="229" t="s">
        <v>256</v>
      </c>
      <c r="C9" s="230" t="s">
        <v>1</v>
      </c>
      <c r="D9" s="230" t="s">
        <v>919</v>
      </c>
      <c r="E9" s="231" t="s">
        <v>920</v>
      </c>
      <c r="F9" s="230" t="s">
        <v>6</v>
      </c>
      <c r="G9" s="230" t="s">
        <v>921</v>
      </c>
    </row>
    <row r="10" spans="2:8">
      <c r="B10" s="232" cm="1">
        <f t="array" ref="B10">_xlfn.XLOOKUP(C10,'Detalhamento - Sub69'!B3:B152,'Detalhamento - Sub69'!A3:A152,X)</f>
        <v>1001001001</v>
      </c>
      <c r="C10" s="233" t="s">
        <v>436</v>
      </c>
      <c r="D10" s="234">
        <f>VLOOKUP(B10,'Detalhamento - Sub69'!A:E,5,FALSE)</f>
        <v>12632395.5</v>
      </c>
      <c r="E10" s="234"/>
      <c r="F10" s="234">
        <f>D10+E10</f>
        <v>12632395.5</v>
      </c>
      <c r="G10" s="233"/>
    </row>
    <row r="11" spans="2:8">
      <c r="B11" s="232" cm="1">
        <f t="array" ref="B11">_xlfn.XLOOKUP(C11,'Detalhamento - Sub69'!B4:B153,'Detalhamento - Sub69'!A4:A153,X)</f>
        <v>1001001002</v>
      </c>
      <c r="C11" s="233" t="s">
        <v>437</v>
      </c>
      <c r="D11" s="234">
        <f>VLOOKUP(B11,'Detalhamento - Sub69'!A:E,5,FALSE)</f>
        <v>-16093901.539999999</v>
      </c>
      <c r="E11" s="234"/>
      <c r="F11" s="234">
        <f t="shared" ref="F11:F74" si="0">D11+E11</f>
        <v>-16093901.539999999</v>
      </c>
      <c r="G11" s="233"/>
    </row>
    <row r="12" spans="2:8">
      <c r="B12" s="232" cm="1">
        <f t="array" ref="B12">_xlfn.XLOOKUP(C12,'Detalhamento - Sub69'!B5:B154,'Detalhamento - Sub69'!A5:A154,X)</f>
        <v>2001001001</v>
      </c>
      <c r="C12" s="233" t="s">
        <v>110</v>
      </c>
      <c r="D12" s="234">
        <f>VLOOKUP(B12,'Detalhamento - Sub69'!A:E,5,FALSE)</f>
        <v>0</v>
      </c>
      <c r="E12" s="234"/>
      <c r="F12" s="234">
        <f t="shared" si="0"/>
        <v>0</v>
      </c>
      <c r="G12" s="233"/>
    </row>
    <row r="13" spans="2:8">
      <c r="B13" s="232" cm="1">
        <f t="array" ref="B13">_xlfn.XLOOKUP(C13,'Detalhamento - Sub69'!B6:B155,'Detalhamento - Sub69'!A6:A155,X)</f>
        <v>2001001002</v>
      </c>
      <c r="C13" s="233" t="s">
        <v>111</v>
      </c>
      <c r="D13" s="234">
        <f>VLOOKUP(B13,'Detalhamento - Sub69'!A:E,5,FALSE)</f>
        <v>0</v>
      </c>
      <c r="E13" s="234"/>
      <c r="F13" s="234">
        <f t="shared" si="0"/>
        <v>0</v>
      </c>
      <c r="G13" s="233"/>
    </row>
    <row r="14" spans="2:8">
      <c r="B14" s="232" cm="1">
        <f t="array" ref="B14">_xlfn.XLOOKUP(C14,'Detalhamento - Sub69'!B7:B156,'Detalhamento - Sub69'!A7:A156,X)</f>
        <v>2001001003</v>
      </c>
      <c r="C14" s="233" t="s">
        <v>112</v>
      </c>
      <c r="D14" s="234">
        <f>VLOOKUP(B14,'Detalhamento - Sub69'!A:E,5,FALSE)</f>
        <v>0</v>
      </c>
      <c r="E14" s="234"/>
      <c r="F14" s="234">
        <f t="shared" si="0"/>
        <v>0</v>
      </c>
      <c r="G14" s="233"/>
    </row>
    <row r="15" spans="2:8">
      <c r="B15" s="232" cm="1">
        <f t="array" ref="B15">_xlfn.XLOOKUP(C15,'Detalhamento - Sub69'!B8:B157,'Detalhamento - Sub69'!A8:A157,X)</f>
        <v>2001001004</v>
      </c>
      <c r="C15" s="233" t="s">
        <v>113</v>
      </c>
      <c r="D15" s="234">
        <f>VLOOKUP(B15,'Detalhamento - Sub69'!A:E,5,FALSE)</f>
        <v>0</v>
      </c>
      <c r="E15" s="234"/>
      <c r="F15" s="234">
        <f t="shared" si="0"/>
        <v>0</v>
      </c>
      <c r="G15" s="233"/>
    </row>
    <row r="16" spans="2:8">
      <c r="B16" s="232" cm="1">
        <f t="array" ref="B16">_xlfn.XLOOKUP(C16,'Detalhamento - Sub69'!B9:B158,'Detalhamento - Sub69'!A9:A158,X)</f>
        <v>2001001005</v>
      </c>
      <c r="C16" s="233" t="s">
        <v>114</v>
      </c>
      <c r="D16" s="234">
        <f>VLOOKUP(B16,'Detalhamento - Sub69'!A:E,5,FALSE)</f>
        <v>0</v>
      </c>
      <c r="E16" s="234"/>
      <c r="F16" s="234">
        <f t="shared" si="0"/>
        <v>0</v>
      </c>
      <c r="G16" s="233"/>
    </row>
    <row r="17" spans="2:7">
      <c r="B17" s="232" cm="1">
        <f t="array" ref="B17">_xlfn.XLOOKUP(C17,'Detalhamento - Sub69'!B10:B159,'Detalhamento - Sub69'!A10:A159,X)</f>
        <v>2001001006</v>
      </c>
      <c r="C17" s="233" t="s">
        <v>115</v>
      </c>
      <c r="D17" s="234">
        <f>VLOOKUP(B17,'Detalhamento - Sub69'!A:E,5,FALSE)</f>
        <v>0</v>
      </c>
      <c r="E17" s="234"/>
      <c r="F17" s="234">
        <f t="shared" si="0"/>
        <v>0</v>
      </c>
      <c r="G17" s="233"/>
    </row>
    <row r="18" spans="2:7">
      <c r="B18" s="232" cm="1">
        <f t="array" ref="B18">_xlfn.XLOOKUP(C18,'Detalhamento - Sub69'!B11:B160,'Detalhamento - Sub69'!A11:A160,X)</f>
        <v>2001001007</v>
      </c>
      <c r="C18" s="233" t="s">
        <v>116</v>
      </c>
      <c r="D18" s="234">
        <f>VLOOKUP(B18,'Detalhamento - Sub69'!A:E,5,FALSE)</f>
        <v>0</v>
      </c>
      <c r="E18" s="234"/>
      <c r="F18" s="234">
        <f t="shared" si="0"/>
        <v>0</v>
      </c>
      <c r="G18" s="233"/>
    </row>
    <row r="19" spans="2:7">
      <c r="B19" s="232" cm="1">
        <f t="array" ref="B19">_xlfn.XLOOKUP(C19,'Detalhamento - Sub69'!B12:B161,'Detalhamento - Sub69'!A12:A161,X)</f>
        <v>2001001008</v>
      </c>
      <c r="C19" s="233" t="s">
        <v>117</v>
      </c>
      <c r="D19" s="234">
        <f>VLOOKUP(B19,'Detalhamento - Sub69'!A:E,5,FALSE)</f>
        <v>0</v>
      </c>
      <c r="E19" s="234"/>
      <c r="F19" s="234">
        <f t="shared" si="0"/>
        <v>0</v>
      </c>
      <c r="G19" s="233"/>
    </row>
    <row r="20" spans="2:7">
      <c r="B20" s="232" cm="1">
        <f t="array" ref="B20">_xlfn.XLOOKUP(C20,'Detalhamento - Sub69'!B13:B162,'Detalhamento - Sub69'!A13:A162,X)</f>
        <v>2001001009</v>
      </c>
      <c r="C20" s="233" t="s">
        <v>118</v>
      </c>
      <c r="D20" s="234">
        <f>VLOOKUP(B20,'Detalhamento - Sub69'!A:E,5,FALSE)</f>
        <v>0</v>
      </c>
      <c r="E20" s="234"/>
      <c r="F20" s="234">
        <f t="shared" si="0"/>
        <v>0</v>
      </c>
      <c r="G20" s="233"/>
    </row>
    <row r="21" spans="2:7">
      <c r="B21" s="232" cm="1">
        <f t="array" ref="B21">_xlfn.XLOOKUP(C21,'Detalhamento - Sub69'!B14:B163,'Detalhamento - Sub69'!A14:A163,X)</f>
        <v>2001001010</v>
      </c>
      <c r="C21" s="233" t="s">
        <v>119</v>
      </c>
      <c r="D21" s="234">
        <f>VLOOKUP(B21,'Detalhamento - Sub69'!A:E,5,FALSE)</f>
        <v>0</v>
      </c>
      <c r="E21" s="234"/>
      <c r="F21" s="234">
        <f t="shared" si="0"/>
        <v>0</v>
      </c>
      <c r="G21" s="233"/>
    </row>
    <row r="22" spans="2:7">
      <c r="B22" s="232" cm="1">
        <f t="array" ref="B22">_xlfn.XLOOKUP(C22,'Detalhamento - Sub69'!B15:B164,'Detalhamento - Sub69'!A15:A164,X)</f>
        <v>2001002001</v>
      </c>
      <c r="C22" s="233" t="s">
        <v>121</v>
      </c>
      <c r="D22" s="234">
        <f>VLOOKUP(B22,'Detalhamento - Sub69'!A:E,5,FALSE)</f>
        <v>0</v>
      </c>
      <c r="E22" s="234"/>
      <c r="F22" s="234">
        <f t="shared" si="0"/>
        <v>0</v>
      </c>
      <c r="G22" s="233"/>
    </row>
    <row r="23" spans="2:7">
      <c r="B23" s="232" cm="1">
        <f t="array" ref="B23">_xlfn.XLOOKUP(C23,'Detalhamento - Sub69'!B16:B165,'Detalhamento - Sub69'!A16:A165,X)</f>
        <v>2001002002</v>
      </c>
      <c r="C23" s="233" t="s">
        <v>122</v>
      </c>
      <c r="D23" s="234">
        <f>VLOOKUP(B23,'Detalhamento - Sub69'!A:E,5,FALSE)</f>
        <v>0</v>
      </c>
      <c r="E23" s="234"/>
      <c r="F23" s="234">
        <f t="shared" si="0"/>
        <v>0</v>
      </c>
      <c r="G23" s="233"/>
    </row>
    <row r="24" spans="2:7">
      <c r="B24" s="232" cm="1">
        <f t="array" ref="B24">_xlfn.XLOOKUP(C24,'Detalhamento - Sub69'!B17:B166,'Detalhamento - Sub69'!A17:A166,X)</f>
        <v>2001002003</v>
      </c>
      <c r="C24" s="233" t="s">
        <v>123</v>
      </c>
      <c r="D24" s="234">
        <f>VLOOKUP(B24,'Detalhamento - Sub69'!A:E,5,FALSE)</f>
        <v>0</v>
      </c>
      <c r="E24" s="234"/>
      <c r="F24" s="234">
        <f t="shared" si="0"/>
        <v>0</v>
      </c>
      <c r="G24" s="233"/>
    </row>
    <row r="25" spans="2:7">
      <c r="B25" s="232" cm="1">
        <f t="array" ref="B25">_xlfn.XLOOKUP(C25,'Detalhamento - Sub69'!B18:B167,'Detalhamento - Sub69'!A18:A167,X)</f>
        <v>2001003001</v>
      </c>
      <c r="C25" s="233" t="s">
        <v>125</v>
      </c>
      <c r="D25" s="234">
        <f>VLOOKUP(B25,'Detalhamento - Sub69'!A:E,5,FALSE)</f>
        <v>1034300.93</v>
      </c>
      <c r="E25" s="234"/>
      <c r="F25" s="234">
        <f t="shared" si="0"/>
        <v>1034300.93</v>
      </c>
      <c r="G25" s="233"/>
    </row>
    <row r="26" spans="2:7">
      <c r="B26" s="232" cm="1">
        <f t="array" ref="B26">_xlfn.XLOOKUP(C26,'Detalhamento - Sub69'!B19:B168,'Detalhamento - Sub69'!A19:A168,X)</f>
        <v>2001003002</v>
      </c>
      <c r="C26" s="233" t="s">
        <v>126</v>
      </c>
      <c r="D26" s="234">
        <f>VLOOKUP(B26,'Detalhamento - Sub69'!A:E,5,FALSE)</f>
        <v>0</v>
      </c>
      <c r="E26" s="234"/>
      <c r="F26" s="234">
        <f t="shared" si="0"/>
        <v>0</v>
      </c>
      <c r="G26" s="233"/>
    </row>
    <row r="27" spans="2:7">
      <c r="B27" s="232" cm="1">
        <f t="array" ref="B27">_xlfn.XLOOKUP(C27,'Detalhamento - Sub69'!B20:B169,'Detalhamento - Sub69'!A20:A169,X)</f>
        <v>2001003003</v>
      </c>
      <c r="C27" s="233" t="s">
        <v>127</v>
      </c>
      <c r="D27" s="234">
        <f>VLOOKUP(B27,'Detalhamento - Sub69'!A:E,5,FALSE)</f>
        <v>0</v>
      </c>
      <c r="E27" s="234"/>
      <c r="F27" s="234">
        <f t="shared" si="0"/>
        <v>0</v>
      </c>
      <c r="G27" s="233"/>
    </row>
    <row r="28" spans="2:7">
      <c r="B28" s="232" cm="1">
        <f t="array" ref="B28">_xlfn.XLOOKUP(C28,'Detalhamento - Sub69'!B21:B170,'Detalhamento - Sub69'!A21:A170,X)</f>
        <v>2001004001</v>
      </c>
      <c r="C28" s="233" t="s">
        <v>129</v>
      </c>
      <c r="D28" s="234">
        <f>VLOOKUP(B28,'Detalhamento - Sub69'!A:E,5,FALSE)</f>
        <v>91206.28</v>
      </c>
      <c r="E28" s="234"/>
      <c r="F28" s="234">
        <f t="shared" si="0"/>
        <v>91206.28</v>
      </c>
      <c r="G28" s="233"/>
    </row>
    <row r="29" spans="2:7">
      <c r="B29" s="232" cm="1">
        <f t="array" ref="B29">_xlfn.XLOOKUP(C29,'Detalhamento - Sub69'!B22:B171,'Detalhamento - Sub69'!A22:A171,X)</f>
        <v>2001004002</v>
      </c>
      <c r="C29" s="233" t="s">
        <v>130</v>
      </c>
      <c r="D29" s="234">
        <f>VLOOKUP(B29,'Detalhamento - Sub69'!A:E,5,FALSE)</f>
        <v>69259.77</v>
      </c>
      <c r="E29" s="234"/>
      <c r="F29" s="234">
        <f t="shared" si="0"/>
        <v>69259.77</v>
      </c>
      <c r="G29" s="233"/>
    </row>
    <row r="30" spans="2:7">
      <c r="B30" s="232" cm="1">
        <f t="array" ref="B30">_xlfn.XLOOKUP(C30,'Detalhamento - Sub69'!B23:B172,'Detalhamento - Sub69'!A23:A172,X)</f>
        <v>2001004003</v>
      </c>
      <c r="C30" s="233" t="s">
        <v>131</v>
      </c>
      <c r="D30" s="234">
        <f>VLOOKUP(B30,'Detalhamento - Sub69'!A:E,5,FALSE)</f>
        <v>13538.43</v>
      </c>
      <c r="E30" s="234"/>
      <c r="F30" s="234">
        <f t="shared" si="0"/>
        <v>13538.43</v>
      </c>
      <c r="G30" s="233"/>
    </row>
    <row r="31" spans="2:7">
      <c r="B31" s="232" cm="1">
        <f t="array" ref="B31">_xlfn.XLOOKUP(C31,'Detalhamento - Sub69'!B24:B173,'Detalhamento - Sub69'!A24:A173,X)</f>
        <v>2001004004</v>
      </c>
      <c r="C31" s="233" t="s">
        <v>132</v>
      </c>
      <c r="D31" s="234">
        <f>VLOOKUP(B31,'Detalhamento - Sub69'!A:E,5,FALSE)</f>
        <v>66694.59</v>
      </c>
      <c r="E31" s="234"/>
      <c r="F31" s="234">
        <f t="shared" si="0"/>
        <v>66694.59</v>
      </c>
      <c r="G31" s="233"/>
    </row>
    <row r="32" spans="2:7">
      <c r="B32" s="232" cm="1">
        <f t="array" ref="B32">_xlfn.XLOOKUP(C32,'Detalhamento - Sub69'!B25:B174,'Detalhamento - Sub69'!A25:A174,X)</f>
        <v>2001005001</v>
      </c>
      <c r="C32" s="233" t="s">
        <v>134</v>
      </c>
      <c r="D32" s="234">
        <f>VLOOKUP(B32,'Detalhamento - Sub69'!A:E,5,FALSE)</f>
        <v>0</v>
      </c>
      <c r="E32" s="234"/>
      <c r="F32" s="234">
        <f t="shared" si="0"/>
        <v>0</v>
      </c>
      <c r="G32" s="233"/>
    </row>
    <row r="33" spans="2:7">
      <c r="B33" s="232" cm="1">
        <f t="array" ref="B33">_xlfn.XLOOKUP(C33,'Detalhamento - Sub69'!B26:B175,'Detalhamento - Sub69'!A26:A175,X)</f>
        <v>2001005002</v>
      </c>
      <c r="C33" s="233" t="s">
        <v>135</v>
      </c>
      <c r="D33" s="234">
        <f>VLOOKUP(B33,'Detalhamento - Sub69'!A:E,5,FALSE)</f>
        <v>0</v>
      </c>
      <c r="E33" s="234"/>
      <c r="F33" s="234">
        <f t="shared" si="0"/>
        <v>0</v>
      </c>
      <c r="G33" s="233"/>
    </row>
    <row r="34" spans="2:7">
      <c r="B34" s="232" cm="1">
        <f t="array" ref="B34">_xlfn.XLOOKUP(C34,'Detalhamento - Sub69'!B27:B176,'Detalhamento - Sub69'!A27:A176,X)</f>
        <v>2001006001</v>
      </c>
      <c r="C34" s="233" t="s">
        <v>137</v>
      </c>
      <c r="D34" s="234">
        <f>VLOOKUP(B34,'Detalhamento - Sub69'!A:E,5,FALSE)</f>
        <v>0</v>
      </c>
      <c r="E34" s="234"/>
      <c r="F34" s="234">
        <f t="shared" si="0"/>
        <v>0</v>
      </c>
      <c r="G34" s="233"/>
    </row>
    <row r="35" spans="2:7">
      <c r="B35" s="232" cm="1">
        <f t="array" ref="B35">_xlfn.XLOOKUP(C35,'Detalhamento - Sub69'!B28:B177,'Detalhamento - Sub69'!A28:A177,X)</f>
        <v>2001006002</v>
      </c>
      <c r="C35" s="233" t="s">
        <v>138</v>
      </c>
      <c r="D35" s="234">
        <f>VLOOKUP(B35,'Detalhamento - Sub69'!A:E,5,FALSE)</f>
        <v>0</v>
      </c>
      <c r="E35" s="234"/>
      <c r="F35" s="234">
        <f t="shared" si="0"/>
        <v>0</v>
      </c>
      <c r="G35" s="233"/>
    </row>
    <row r="36" spans="2:7">
      <c r="B36" s="232" cm="1">
        <f t="array" ref="B36">_xlfn.XLOOKUP(C36,'Detalhamento - Sub69'!B29:B178,'Detalhamento - Sub69'!A29:A178,X)</f>
        <v>2001006003</v>
      </c>
      <c r="C36" s="233" t="s">
        <v>139</v>
      </c>
      <c r="D36" s="234">
        <f>VLOOKUP(B36,'Detalhamento - Sub69'!A:E,5,FALSE)</f>
        <v>0</v>
      </c>
      <c r="E36" s="234"/>
      <c r="F36" s="234">
        <f t="shared" si="0"/>
        <v>0</v>
      </c>
      <c r="G36" s="233"/>
    </row>
    <row r="37" spans="2:7">
      <c r="B37" s="232" cm="1">
        <f t="array" ref="B37">_xlfn.XLOOKUP(C37,'Detalhamento - Sub69'!B30:B179,'Detalhamento - Sub69'!A30:A179,X)</f>
        <v>2001006004</v>
      </c>
      <c r="C37" s="233" t="s">
        <v>140</v>
      </c>
      <c r="D37" s="234">
        <f>VLOOKUP(B37,'Detalhamento - Sub69'!A:E,5,FALSE)</f>
        <v>0</v>
      </c>
      <c r="E37" s="234"/>
      <c r="F37" s="234">
        <f t="shared" si="0"/>
        <v>0</v>
      </c>
      <c r="G37" s="233"/>
    </row>
    <row r="38" spans="2:7">
      <c r="B38" s="232" cm="1">
        <f t="array" ref="B38">_xlfn.XLOOKUP(C38,'Detalhamento - Sub69'!B31:B180,'Detalhamento - Sub69'!A31:A180,X)</f>
        <v>2001006005</v>
      </c>
      <c r="C38" s="233" t="s">
        <v>141</v>
      </c>
      <c r="D38" s="234">
        <f>VLOOKUP(B38,'Detalhamento - Sub69'!A:E,5,FALSE)</f>
        <v>0</v>
      </c>
      <c r="E38" s="234"/>
      <c r="F38" s="234">
        <f t="shared" si="0"/>
        <v>0</v>
      </c>
      <c r="G38" s="233"/>
    </row>
    <row r="39" spans="2:7">
      <c r="B39" s="232" cm="1">
        <f t="array" ref="B39">_xlfn.XLOOKUP(C39,'Detalhamento - Sub69'!B32:B181,'Detalhamento - Sub69'!A32:A181,X)</f>
        <v>2001006006</v>
      </c>
      <c r="C39" s="233" t="s">
        <v>142</v>
      </c>
      <c r="D39" s="234">
        <f>VLOOKUP(B39,'Detalhamento - Sub69'!A:E,5,FALSE)</f>
        <v>0</v>
      </c>
      <c r="E39" s="234"/>
      <c r="F39" s="234">
        <f t="shared" si="0"/>
        <v>0</v>
      </c>
      <c r="G39" s="233"/>
    </row>
    <row r="40" spans="2:7">
      <c r="B40" s="232" cm="1">
        <f t="array" ref="B40">_xlfn.XLOOKUP(C40,'Detalhamento - Sub69'!B33:B182,'Detalhamento - Sub69'!A33:A182,X)</f>
        <v>2001006007</v>
      </c>
      <c r="C40" s="233" t="s">
        <v>143</v>
      </c>
      <c r="D40" s="234">
        <f>VLOOKUP(B40,'Detalhamento - Sub69'!A:E,5,FALSE)</f>
        <v>0</v>
      </c>
      <c r="E40" s="234"/>
      <c r="F40" s="234">
        <f t="shared" si="0"/>
        <v>0</v>
      </c>
      <c r="G40" s="233"/>
    </row>
    <row r="41" spans="2:7">
      <c r="B41" s="232" cm="1">
        <f t="array" ref="B41">_xlfn.XLOOKUP(C41,'Detalhamento - Sub69'!B34:B183,'Detalhamento - Sub69'!A34:A183,X)</f>
        <v>2001006008</v>
      </c>
      <c r="C41" s="233" t="s">
        <v>144</v>
      </c>
      <c r="D41" s="234">
        <f>VLOOKUP(B41,'Detalhamento - Sub69'!A:E,5,FALSE)</f>
        <v>0</v>
      </c>
      <c r="E41" s="234"/>
      <c r="F41" s="234">
        <f t="shared" si="0"/>
        <v>0</v>
      </c>
      <c r="G41" s="233"/>
    </row>
    <row r="42" spans="2:7">
      <c r="B42" s="232" cm="1">
        <f t="array" ref="B42">_xlfn.XLOOKUP(C42,'Detalhamento - Sub69'!B35:B184,'Detalhamento - Sub69'!A35:A184,X)</f>
        <v>2001006009</v>
      </c>
      <c r="C42" s="233" t="s">
        <v>145</v>
      </c>
      <c r="D42" s="234">
        <f>VLOOKUP(B42,'Detalhamento - Sub69'!A:E,5,FALSE)</f>
        <v>0</v>
      </c>
      <c r="E42" s="234"/>
      <c r="F42" s="234">
        <f t="shared" si="0"/>
        <v>0</v>
      </c>
      <c r="G42" s="233"/>
    </row>
    <row r="43" spans="2:7">
      <c r="B43" s="232" cm="1">
        <f t="array" ref="B43">_xlfn.XLOOKUP(C43,'Detalhamento - Sub69'!B36:B185,'Detalhamento - Sub69'!A36:A185,X)</f>
        <v>2001006010</v>
      </c>
      <c r="C43" s="233" t="s">
        <v>146</v>
      </c>
      <c r="D43" s="234">
        <f>VLOOKUP(B43,'Detalhamento - Sub69'!A:E,5,FALSE)</f>
        <v>0</v>
      </c>
      <c r="E43" s="234"/>
      <c r="F43" s="234">
        <f t="shared" si="0"/>
        <v>0</v>
      </c>
      <c r="G43" s="233"/>
    </row>
    <row r="44" spans="2:7">
      <c r="B44" s="232" cm="1">
        <f t="array" ref="B44">_xlfn.XLOOKUP(C44,'Detalhamento - Sub69'!B37:B186,'Detalhamento - Sub69'!A37:A186,X)</f>
        <v>2001006011</v>
      </c>
      <c r="C44" s="233" t="s">
        <v>147</v>
      </c>
      <c r="D44" s="234">
        <f>VLOOKUP(B44,'Detalhamento - Sub69'!A:E,5,FALSE)</f>
        <v>0</v>
      </c>
      <c r="E44" s="234"/>
      <c r="F44" s="234">
        <f t="shared" si="0"/>
        <v>0</v>
      </c>
      <c r="G44" s="233"/>
    </row>
    <row r="45" spans="2:7">
      <c r="B45" s="232" cm="1">
        <f t="array" ref="B45">_xlfn.XLOOKUP(C45,'Detalhamento - Sub69'!B38:B187,'Detalhamento - Sub69'!A38:A187,X)</f>
        <v>2001006012</v>
      </c>
      <c r="C45" s="233" t="s">
        <v>148</v>
      </c>
      <c r="D45" s="234">
        <f>VLOOKUP(B45,'Detalhamento - Sub69'!A:E,5,FALSE)</f>
        <v>0</v>
      </c>
      <c r="E45" s="234"/>
      <c r="F45" s="234">
        <f t="shared" si="0"/>
        <v>0</v>
      </c>
      <c r="G45" s="233"/>
    </row>
    <row r="46" spans="2:7">
      <c r="B46" s="232" cm="1">
        <f t="array" ref="B46">_xlfn.XLOOKUP(C46,'Detalhamento - Sub69'!B39:B188,'Detalhamento - Sub69'!A39:A188,X)</f>
        <v>2001006013</v>
      </c>
      <c r="C46" s="233" t="s">
        <v>149</v>
      </c>
      <c r="D46" s="234">
        <f>VLOOKUP(B46,'Detalhamento - Sub69'!A:E,5,FALSE)</f>
        <v>0</v>
      </c>
      <c r="E46" s="234"/>
      <c r="F46" s="234">
        <f t="shared" si="0"/>
        <v>0</v>
      </c>
      <c r="G46" s="233"/>
    </row>
    <row r="47" spans="2:7">
      <c r="B47" s="232" cm="1">
        <f t="array" ref="B47">_xlfn.XLOOKUP(C47,'Detalhamento - Sub69'!B40:B189,'Detalhamento - Sub69'!A40:A189,X)</f>
        <v>2001006014</v>
      </c>
      <c r="C47" s="233" t="s">
        <v>150</v>
      </c>
      <c r="D47" s="234">
        <f>VLOOKUP(B47,'Detalhamento - Sub69'!A:E,5,FALSE)</f>
        <v>0</v>
      </c>
      <c r="E47" s="234"/>
      <c r="F47" s="234">
        <f t="shared" si="0"/>
        <v>0</v>
      </c>
      <c r="G47" s="233"/>
    </row>
    <row r="48" spans="2:7">
      <c r="B48" s="232" cm="1">
        <f t="array" ref="B48">_xlfn.XLOOKUP(C48,'Detalhamento - Sub69'!B41:B190,'Detalhamento - Sub69'!A41:A190,X)</f>
        <v>2001006015</v>
      </c>
      <c r="C48" s="233" t="s">
        <v>151</v>
      </c>
      <c r="D48" s="234">
        <f>VLOOKUP(B48,'Detalhamento - Sub69'!A:E,5,FALSE)</f>
        <v>0</v>
      </c>
      <c r="E48" s="234"/>
      <c r="F48" s="234">
        <f t="shared" si="0"/>
        <v>0</v>
      </c>
      <c r="G48" s="233"/>
    </row>
    <row r="49" spans="2:7">
      <c r="B49" s="232" cm="1">
        <f t="array" ref="B49">_xlfn.XLOOKUP(C49,'Detalhamento - Sub69'!B42:B191,'Detalhamento - Sub69'!A42:A191,X)</f>
        <v>2001006016</v>
      </c>
      <c r="C49" s="233" t="s">
        <v>152</v>
      </c>
      <c r="D49" s="234">
        <f>VLOOKUP(B49,'Detalhamento - Sub69'!A:E,5,FALSE)</f>
        <v>0</v>
      </c>
      <c r="E49" s="234"/>
      <c r="F49" s="234">
        <f t="shared" si="0"/>
        <v>0</v>
      </c>
      <c r="G49" s="233"/>
    </row>
    <row r="50" spans="2:7">
      <c r="B50" s="232" cm="1">
        <f t="array" ref="B50">_xlfn.XLOOKUP(C50,'Detalhamento - Sub69'!B43:B192,'Detalhamento - Sub69'!A43:A192,X)</f>
        <v>2001006017</v>
      </c>
      <c r="C50" s="233" t="s">
        <v>153</v>
      </c>
      <c r="D50" s="234">
        <f>VLOOKUP(B50,'Detalhamento - Sub69'!A:E,5,FALSE)</f>
        <v>0</v>
      </c>
      <c r="E50" s="234"/>
      <c r="F50" s="234">
        <f t="shared" si="0"/>
        <v>0</v>
      </c>
      <c r="G50" s="233"/>
    </row>
    <row r="51" spans="2:7">
      <c r="B51" s="232" cm="1">
        <f t="array" ref="B51">_xlfn.XLOOKUP(C51,'Detalhamento - Sub69'!B44:B193,'Detalhamento - Sub69'!A44:A193,X)</f>
        <v>2001006018</v>
      </c>
      <c r="C51" s="233" t="s">
        <v>154</v>
      </c>
      <c r="D51" s="234">
        <f>VLOOKUP(B51,'Detalhamento - Sub69'!A:E,5,FALSE)</f>
        <v>0</v>
      </c>
      <c r="E51" s="234"/>
      <c r="F51" s="234">
        <f t="shared" si="0"/>
        <v>0</v>
      </c>
      <c r="G51" s="233"/>
    </row>
    <row r="52" spans="2:7">
      <c r="B52" s="232" cm="1">
        <f t="array" ref="B52">_xlfn.XLOOKUP(C52,'Detalhamento - Sub69'!B45:B194,'Detalhamento - Sub69'!A45:A194,X)</f>
        <v>2001006019</v>
      </c>
      <c r="C52" s="233" t="s">
        <v>155</v>
      </c>
      <c r="D52" s="234">
        <f>VLOOKUP(B52,'Detalhamento - Sub69'!A:E,5,FALSE)</f>
        <v>0</v>
      </c>
      <c r="E52" s="234"/>
      <c r="F52" s="234">
        <f t="shared" si="0"/>
        <v>0</v>
      </c>
      <c r="G52" s="233"/>
    </row>
    <row r="53" spans="2:7">
      <c r="B53" s="232" cm="1">
        <f t="array" ref="B53">_xlfn.XLOOKUP(C53,'Detalhamento - Sub69'!B46:B195,'Detalhamento - Sub69'!A46:A195,X)</f>
        <v>2001006020</v>
      </c>
      <c r="C53" s="233" t="s">
        <v>156</v>
      </c>
      <c r="D53" s="234">
        <f>VLOOKUP(B53,'Detalhamento - Sub69'!A:E,5,FALSE)</f>
        <v>0</v>
      </c>
      <c r="E53" s="234"/>
      <c r="F53" s="234">
        <f t="shared" si="0"/>
        <v>0</v>
      </c>
      <c r="G53" s="233"/>
    </row>
    <row r="54" spans="2:7">
      <c r="B54" s="232" cm="1">
        <f t="array" ref="B54">_xlfn.XLOOKUP(C54,'Detalhamento - Sub69'!B47:B196,'Detalhamento - Sub69'!A47:A196,X)</f>
        <v>2001007001</v>
      </c>
      <c r="C54" s="233" t="s">
        <v>158</v>
      </c>
      <c r="D54" s="234">
        <f>VLOOKUP(B54,'Detalhamento - Sub69'!A:E,5,FALSE)</f>
        <v>0</v>
      </c>
      <c r="E54" s="234"/>
      <c r="F54" s="234">
        <f t="shared" si="0"/>
        <v>0</v>
      </c>
      <c r="G54" s="233"/>
    </row>
    <row r="55" spans="2:7">
      <c r="B55" s="232" cm="1">
        <f t="array" ref="B55">_xlfn.XLOOKUP(C55,'Detalhamento - Sub69'!B48:B197,'Detalhamento - Sub69'!A48:A197,X)</f>
        <v>2001007002</v>
      </c>
      <c r="C55" s="233" t="s">
        <v>159</v>
      </c>
      <c r="D55" s="234">
        <f>VLOOKUP(B55,'Detalhamento - Sub69'!A:E,5,FALSE)</f>
        <v>0</v>
      </c>
      <c r="E55" s="234"/>
      <c r="F55" s="234">
        <f t="shared" si="0"/>
        <v>0</v>
      </c>
      <c r="G55" s="233"/>
    </row>
    <row r="56" spans="2:7">
      <c r="B56" s="232" cm="1">
        <f t="array" ref="B56">_xlfn.XLOOKUP(C56,'Detalhamento - Sub69'!B49:B198,'Detalhamento - Sub69'!A49:A198,X)</f>
        <v>2001007003</v>
      </c>
      <c r="C56" s="233" t="s">
        <v>160</v>
      </c>
      <c r="D56" s="234">
        <f>VLOOKUP(B56,'Detalhamento - Sub69'!A:E,5,FALSE)</f>
        <v>0</v>
      </c>
      <c r="E56" s="234"/>
      <c r="F56" s="234">
        <f t="shared" si="0"/>
        <v>0</v>
      </c>
      <c r="G56" s="233"/>
    </row>
    <row r="57" spans="2:7">
      <c r="B57" s="232" cm="1">
        <f t="array" ref="B57">_xlfn.XLOOKUP(C57,'Detalhamento - Sub69'!B50:B199,'Detalhamento - Sub69'!A50:A199,X)</f>
        <v>2001008001</v>
      </c>
      <c r="C57" s="233" t="s">
        <v>162</v>
      </c>
      <c r="D57" s="234">
        <f>VLOOKUP(B57,'Detalhamento - Sub69'!A:E,5,FALSE)</f>
        <v>0</v>
      </c>
      <c r="E57" s="234"/>
      <c r="F57" s="234">
        <f t="shared" si="0"/>
        <v>0</v>
      </c>
      <c r="G57" s="233"/>
    </row>
    <row r="58" spans="2:7">
      <c r="B58" s="232" cm="1">
        <f t="array" ref="B58">_xlfn.XLOOKUP(C58,'Detalhamento - Sub69'!B51:B200,'Detalhamento - Sub69'!A51:A200,X)</f>
        <v>2001008002</v>
      </c>
      <c r="C58" s="233" t="s">
        <v>163</v>
      </c>
      <c r="D58" s="234">
        <f>VLOOKUP(B58,'Detalhamento - Sub69'!A:E,5,FALSE)</f>
        <v>0</v>
      </c>
      <c r="E58" s="234"/>
      <c r="F58" s="234">
        <f t="shared" si="0"/>
        <v>0</v>
      </c>
      <c r="G58" s="233"/>
    </row>
    <row r="59" spans="2:7">
      <c r="B59" s="232" cm="1">
        <f t="array" ref="B59">_xlfn.XLOOKUP(C59,'Detalhamento - Sub69'!B52:B201,'Detalhamento - Sub69'!A52:A201,X)</f>
        <v>2001008003</v>
      </c>
      <c r="C59" s="233" t="s">
        <v>164</v>
      </c>
      <c r="D59" s="234">
        <f>VLOOKUP(B59,'Detalhamento - Sub69'!A:E,5,FALSE)</f>
        <v>0</v>
      </c>
      <c r="E59" s="234"/>
      <c r="F59" s="234">
        <f t="shared" si="0"/>
        <v>0</v>
      </c>
      <c r="G59" s="233"/>
    </row>
    <row r="60" spans="2:7">
      <c r="B60" s="232" cm="1">
        <f t="array" ref="B60">_xlfn.XLOOKUP(C60,'Detalhamento - Sub69'!B53:B202,'Detalhamento - Sub69'!A53:A202,X)</f>
        <v>2001009001</v>
      </c>
      <c r="C60" s="233" t="s">
        <v>166</v>
      </c>
      <c r="D60" s="234">
        <f>VLOOKUP(B60,'Detalhamento - Sub69'!A:E,5,FALSE)</f>
        <v>0</v>
      </c>
      <c r="E60" s="234"/>
      <c r="F60" s="234">
        <f t="shared" si="0"/>
        <v>0</v>
      </c>
      <c r="G60" s="233"/>
    </row>
    <row r="61" spans="2:7">
      <c r="B61" s="232" cm="1">
        <f t="array" ref="B61">_xlfn.XLOOKUP(C61,'Detalhamento - Sub69'!B54:B203,'Detalhamento - Sub69'!A54:A203,X)</f>
        <v>2001009002</v>
      </c>
      <c r="C61" s="233" t="s">
        <v>167</v>
      </c>
      <c r="D61" s="234">
        <f>VLOOKUP(B61,'Detalhamento - Sub69'!A:E,5,FALSE)</f>
        <v>0</v>
      </c>
      <c r="E61" s="234"/>
      <c r="F61" s="234">
        <f t="shared" si="0"/>
        <v>0</v>
      </c>
      <c r="G61" s="233"/>
    </row>
    <row r="62" spans="2:7">
      <c r="B62" s="232" cm="1">
        <f t="array" ref="B62">_xlfn.XLOOKUP(C62,'Detalhamento - Sub69'!B55:B204,'Detalhamento - Sub69'!A55:A204,X)</f>
        <v>2001009003</v>
      </c>
      <c r="C62" s="233" t="s">
        <v>168</v>
      </c>
      <c r="D62" s="234">
        <f>VLOOKUP(B62,'Detalhamento - Sub69'!A:E,5,FALSE)</f>
        <v>0</v>
      </c>
      <c r="E62" s="234"/>
      <c r="F62" s="234">
        <f t="shared" si="0"/>
        <v>0</v>
      </c>
      <c r="G62" s="233"/>
    </row>
    <row r="63" spans="2:7">
      <c r="B63" s="232" cm="1">
        <f t="array" ref="B63">_xlfn.XLOOKUP(C63,'Detalhamento - Sub69'!B56:B205,'Detalhamento - Sub69'!A56:A205,X)</f>
        <v>2001010001</v>
      </c>
      <c r="C63" s="233" t="s">
        <v>170</v>
      </c>
      <c r="D63" s="234">
        <f>VLOOKUP(B63,'Detalhamento - Sub69'!A:E,5,FALSE)</f>
        <v>0</v>
      </c>
      <c r="E63" s="234"/>
      <c r="F63" s="234">
        <f t="shared" si="0"/>
        <v>0</v>
      </c>
      <c r="G63" s="233"/>
    </row>
    <row r="64" spans="2:7">
      <c r="B64" s="232" cm="1">
        <f t="array" ref="B64">_xlfn.XLOOKUP(C64,'Detalhamento - Sub69'!B57:B206,'Detalhamento - Sub69'!A57:A206,X)</f>
        <v>2001011001</v>
      </c>
      <c r="C64" s="233" t="s">
        <v>172</v>
      </c>
      <c r="D64" s="234">
        <f>VLOOKUP(B64,'Detalhamento - Sub69'!A:E,5,FALSE)</f>
        <v>0</v>
      </c>
      <c r="E64" s="234"/>
      <c r="F64" s="234">
        <f t="shared" si="0"/>
        <v>0</v>
      </c>
      <c r="G64" s="233"/>
    </row>
    <row r="65" spans="2:7">
      <c r="B65" s="232" cm="1">
        <f t="array" ref="B65">_xlfn.XLOOKUP(C65,'Detalhamento - Sub69'!B58:B207,'Detalhamento - Sub69'!A58:A207,X)</f>
        <v>2001011002</v>
      </c>
      <c r="C65" s="233" t="s">
        <v>173</v>
      </c>
      <c r="D65" s="234">
        <f>VLOOKUP(B65,'Detalhamento - Sub69'!A:E,5,FALSE)</f>
        <v>0</v>
      </c>
      <c r="E65" s="234"/>
      <c r="F65" s="234">
        <f t="shared" si="0"/>
        <v>0</v>
      </c>
      <c r="G65" s="233"/>
    </row>
    <row r="66" spans="2:7">
      <c r="B66" s="232" cm="1">
        <f t="array" ref="B66">_xlfn.XLOOKUP(C66,'Detalhamento - Sub69'!B59:B208,'Detalhamento - Sub69'!A59:A208,X)</f>
        <v>2001011003</v>
      </c>
      <c r="C66" s="233" t="s">
        <v>174</v>
      </c>
      <c r="D66" s="234">
        <f>VLOOKUP(B66,'Detalhamento - Sub69'!A:E,5,FALSE)</f>
        <v>0</v>
      </c>
      <c r="E66" s="234"/>
      <c r="F66" s="234">
        <f t="shared" si="0"/>
        <v>0</v>
      </c>
      <c r="G66" s="233"/>
    </row>
    <row r="67" spans="2:7">
      <c r="B67" s="232" cm="1">
        <f t="array" ref="B67">_xlfn.XLOOKUP(C67,'Detalhamento - Sub69'!B60:B209,'Detalhamento - Sub69'!A60:A209,X)</f>
        <v>2001011004</v>
      </c>
      <c r="C67" s="233" t="s">
        <v>175</v>
      </c>
      <c r="D67" s="234">
        <f>VLOOKUP(B67,'Detalhamento - Sub69'!A:E,5,FALSE)</f>
        <v>0</v>
      </c>
      <c r="E67" s="234"/>
      <c r="F67" s="234">
        <f t="shared" si="0"/>
        <v>0</v>
      </c>
      <c r="G67" s="233"/>
    </row>
    <row r="68" spans="2:7">
      <c r="B68" s="232" cm="1">
        <f t="array" ref="B68">_xlfn.XLOOKUP(C68,'Detalhamento - Sub69'!B61:B210,'Detalhamento - Sub69'!A61:A210,X)</f>
        <v>2001011005</v>
      </c>
      <c r="C68" s="233" t="s">
        <v>176</v>
      </c>
      <c r="D68" s="234">
        <f>VLOOKUP(B68,'Detalhamento - Sub69'!A:E,5,FALSE)</f>
        <v>0</v>
      </c>
      <c r="E68" s="234"/>
      <c r="F68" s="234">
        <f t="shared" si="0"/>
        <v>0</v>
      </c>
      <c r="G68" s="233"/>
    </row>
    <row r="69" spans="2:7">
      <c r="B69" s="232" cm="1">
        <f t="array" ref="B69">_xlfn.XLOOKUP(C69,'Detalhamento - Sub69'!B62:B211,'Detalhamento - Sub69'!A62:A211,X)</f>
        <v>2001011006</v>
      </c>
      <c r="C69" s="233" t="s">
        <v>177</v>
      </c>
      <c r="D69" s="234">
        <f>VLOOKUP(B69,'Detalhamento - Sub69'!A:E,5,FALSE)</f>
        <v>0</v>
      </c>
      <c r="E69" s="234"/>
      <c r="F69" s="234">
        <f t="shared" si="0"/>
        <v>0</v>
      </c>
      <c r="G69" s="233"/>
    </row>
    <row r="70" spans="2:7">
      <c r="B70" s="232" cm="1">
        <f t="array" ref="B70">_xlfn.XLOOKUP(C70,'Detalhamento - Sub69'!B63:B212,'Detalhamento - Sub69'!A63:A212,X)</f>
        <v>2001011007</v>
      </c>
      <c r="C70" s="233" t="s">
        <v>178</v>
      </c>
      <c r="D70" s="234">
        <f>VLOOKUP(B70,'Detalhamento - Sub69'!A:E,5,FALSE)</f>
        <v>0</v>
      </c>
      <c r="E70" s="234"/>
      <c r="F70" s="234">
        <f t="shared" si="0"/>
        <v>0</v>
      </c>
      <c r="G70" s="233"/>
    </row>
    <row r="71" spans="2:7">
      <c r="B71" s="232" cm="1">
        <f t="array" ref="B71">_xlfn.XLOOKUP(C71,'Detalhamento - Sub69'!B64:B213,'Detalhamento - Sub69'!A64:A213,X)</f>
        <v>2001011008</v>
      </c>
      <c r="C71" s="233" t="s">
        <v>179</v>
      </c>
      <c r="D71" s="234">
        <f>VLOOKUP(B71,'Detalhamento - Sub69'!A:E,5,FALSE)</f>
        <v>0</v>
      </c>
      <c r="E71" s="234"/>
      <c r="F71" s="234">
        <f t="shared" si="0"/>
        <v>0</v>
      </c>
      <c r="G71" s="233"/>
    </row>
    <row r="72" spans="2:7">
      <c r="B72" s="232" cm="1">
        <f t="array" ref="B72">_xlfn.XLOOKUP(C72,'Detalhamento - Sub69'!B65:B214,'Detalhamento - Sub69'!A65:A214,X)</f>
        <v>2001011009</v>
      </c>
      <c r="C72" s="233" t="s">
        <v>180</v>
      </c>
      <c r="D72" s="234">
        <f>VLOOKUP(B72,'Detalhamento - Sub69'!A:E,5,FALSE)</f>
        <v>0</v>
      </c>
      <c r="E72" s="234"/>
      <c r="F72" s="234">
        <f t="shared" si="0"/>
        <v>0</v>
      </c>
      <c r="G72" s="233"/>
    </row>
    <row r="73" spans="2:7">
      <c r="B73" s="232" cm="1">
        <f t="array" ref="B73">_xlfn.XLOOKUP(C73,'Detalhamento - Sub69'!B66:B215,'Detalhamento - Sub69'!A66:A215,X)</f>
        <v>2001012001</v>
      </c>
      <c r="C73" s="233" t="s">
        <v>182</v>
      </c>
      <c r="D73" s="234">
        <f>VLOOKUP(B73,'Detalhamento - Sub69'!A:E,5,FALSE)</f>
        <v>0</v>
      </c>
      <c r="E73" s="234"/>
      <c r="F73" s="234">
        <f t="shared" si="0"/>
        <v>0</v>
      </c>
      <c r="G73" s="233"/>
    </row>
    <row r="74" spans="2:7">
      <c r="B74" s="232" cm="1">
        <f t="array" ref="B74">_xlfn.XLOOKUP(C74,'Detalhamento - Sub69'!B67:B216,'Detalhamento - Sub69'!A67:A216,X)</f>
        <v>2001012002</v>
      </c>
      <c r="C74" s="233" t="s">
        <v>183</v>
      </c>
      <c r="D74" s="234">
        <f>VLOOKUP(B74,'Detalhamento - Sub69'!A:E,5,FALSE)</f>
        <v>0</v>
      </c>
      <c r="E74" s="234"/>
      <c r="F74" s="234">
        <f t="shared" si="0"/>
        <v>0</v>
      </c>
      <c r="G74" s="233"/>
    </row>
    <row r="75" spans="2:7">
      <c r="B75" s="232" cm="1">
        <f t="array" ref="B75">_xlfn.XLOOKUP(C75,'Detalhamento - Sub69'!B68:B217,'Detalhamento - Sub69'!A68:A217,X)</f>
        <v>2001012003</v>
      </c>
      <c r="C75" s="233" t="s">
        <v>184</v>
      </c>
      <c r="D75" s="234">
        <f>VLOOKUP(B75,'Detalhamento - Sub69'!A:E,5,FALSE)</f>
        <v>0</v>
      </c>
      <c r="E75" s="234"/>
      <c r="F75" s="234">
        <f t="shared" ref="F75:F124" si="1">D75+E75</f>
        <v>0</v>
      </c>
      <c r="G75" s="233"/>
    </row>
    <row r="76" spans="2:7">
      <c r="B76" s="232" cm="1">
        <f t="array" ref="B76">_xlfn.XLOOKUP(C76,'Detalhamento - Sub69'!B69:B218,'Detalhamento - Sub69'!A69:A218,X)</f>
        <v>2001012004</v>
      </c>
      <c r="C76" s="233" t="s">
        <v>185</v>
      </c>
      <c r="D76" s="234">
        <f>VLOOKUP(B76,'Detalhamento - Sub69'!A:E,5,FALSE)</f>
        <v>0</v>
      </c>
      <c r="E76" s="234"/>
      <c r="F76" s="234">
        <f t="shared" si="1"/>
        <v>0</v>
      </c>
      <c r="G76" s="233"/>
    </row>
    <row r="77" spans="2:7">
      <c r="B77" s="232" cm="1">
        <f t="array" ref="B77">_xlfn.XLOOKUP(C77,'Detalhamento - Sub69'!B70:B219,'Detalhamento - Sub69'!A70:A219,X)</f>
        <v>2001012005</v>
      </c>
      <c r="C77" s="233" t="s">
        <v>186</v>
      </c>
      <c r="D77" s="234">
        <f>VLOOKUP(B77,'Detalhamento - Sub69'!A:E,5,FALSE)</f>
        <v>0</v>
      </c>
      <c r="E77" s="234"/>
      <c r="F77" s="234">
        <f t="shared" si="1"/>
        <v>0</v>
      </c>
      <c r="G77" s="233"/>
    </row>
    <row r="78" spans="2:7">
      <c r="B78" s="232" cm="1">
        <f t="array" ref="B78">_xlfn.XLOOKUP(C78,'Detalhamento - Sub69'!B71:B220,'Detalhamento - Sub69'!A71:A220,X)</f>
        <v>2001012006</v>
      </c>
      <c r="C78" s="233" t="s">
        <v>187</v>
      </c>
      <c r="D78" s="234">
        <f>VLOOKUP(B78,'Detalhamento - Sub69'!A:E,5,FALSE)</f>
        <v>0</v>
      </c>
      <c r="E78" s="234"/>
      <c r="F78" s="234">
        <f t="shared" si="1"/>
        <v>0</v>
      </c>
      <c r="G78" s="233"/>
    </row>
    <row r="79" spans="2:7">
      <c r="B79" s="232" cm="1">
        <f t="array" ref="B79">_xlfn.XLOOKUP(C79,'Detalhamento - Sub69'!B72:B221,'Detalhamento - Sub69'!A72:A221,X)</f>
        <v>2001012007</v>
      </c>
      <c r="C79" s="233" t="s">
        <v>188</v>
      </c>
      <c r="D79" s="234">
        <f>VLOOKUP(B79,'Detalhamento - Sub69'!A:E,5,FALSE)</f>
        <v>0</v>
      </c>
      <c r="E79" s="234"/>
      <c r="F79" s="234">
        <f t="shared" si="1"/>
        <v>0</v>
      </c>
      <c r="G79" s="233"/>
    </row>
    <row r="80" spans="2:7">
      <c r="B80" s="232" cm="1">
        <f t="array" ref="B80">_xlfn.XLOOKUP(C80,'Detalhamento - Sub69'!B73:B222,'Detalhamento - Sub69'!A73:A222,X)</f>
        <v>2001012008</v>
      </c>
      <c r="C80" s="233" t="s">
        <v>189</v>
      </c>
      <c r="D80" s="234">
        <f>VLOOKUP(B80,'Detalhamento - Sub69'!A:E,5,FALSE)</f>
        <v>0</v>
      </c>
      <c r="E80" s="234"/>
      <c r="F80" s="234">
        <f t="shared" si="1"/>
        <v>0</v>
      </c>
      <c r="G80" s="233"/>
    </row>
    <row r="81" spans="2:7">
      <c r="B81" s="232" cm="1">
        <f t="array" ref="B81">_xlfn.XLOOKUP(C81,'Detalhamento - Sub69'!B74:B223,'Detalhamento - Sub69'!A74:A223,X)</f>
        <v>2001012009</v>
      </c>
      <c r="C81" s="233" t="s">
        <v>190</v>
      </c>
      <c r="D81" s="234">
        <f>VLOOKUP(B81,'Detalhamento - Sub69'!A:E,5,FALSE)</f>
        <v>0</v>
      </c>
      <c r="E81" s="234"/>
      <c r="F81" s="234">
        <f t="shared" si="1"/>
        <v>0</v>
      </c>
      <c r="G81" s="233"/>
    </row>
    <row r="82" spans="2:7">
      <c r="B82" s="232" cm="1">
        <f t="array" ref="B82">_xlfn.XLOOKUP(C82,'Detalhamento - Sub69'!B75:B224,'Detalhamento - Sub69'!A75:A224,X)</f>
        <v>2001012010</v>
      </c>
      <c r="C82" s="233" t="s">
        <v>191</v>
      </c>
      <c r="D82" s="234">
        <f>VLOOKUP(B82,'Detalhamento - Sub69'!A:E,5,FALSE)</f>
        <v>0</v>
      </c>
      <c r="E82" s="234"/>
      <c r="F82" s="234">
        <f t="shared" si="1"/>
        <v>0</v>
      </c>
      <c r="G82" s="233"/>
    </row>
    <row r="83" spans="2:7">
      <c r="B83" s="232" cm="1">
        <f t="array" ref="B83">_xlfn.XLOOKUP(C83,'Detalhamento - Sub69'!B76:B225,'Detalhamento - Sub69'!A76:A225,X)</f>
        <v>2001012011</v>
      </c>
      <c r="C83" s="233" t="s">
        <v>192</v>
      </c>
      <c r="D83" s="234">
        <f>VLOOKUP(B83,'Detalhamento - Sub69'!A:E,5,FALSE)</f>
        <v>0</v>
      </c>
      <c r="E83" s="234"/>
      <c r="F83" s="234">
        <f t="shared" si="1"/>
        <v>0</v>
      </c>
      <c r="G83" s="233"/>
    </row>
    <row r="84" spans="2:7">
      <c r="B84" s="232" cm="1">
        <f t="array" ref="B84">_xlfn.XLOOKUP(C84,'Detalhamento - Sub69'!B77:B226,'Detalhamento - Sub69'!A77:A226,X)</f>
        <v>2001013001</v>
      </c>
      <c r="C84" s="233" t="s">
        <v>194</v>
      </c>
      <c r="D84" s="234">
        <f>VLOOKUP(B84,'Detalhamento - Sub69'!A:E,5,FALSE)</f>
        <v>0</v>
      </c>
      <c r="E84" s="234"/>
      <c r="F84" s="234">
        <f t="shared" si="1"/>
        <v>0</v>
      </c>
      <c r="G84" s="233"/>
    </row>
    <row r="85" spans="2:7">
      <c r="B85" s="232" cm="1">
        <f t="array" ref="B85">_xlfn.XLOOKUP(C85,'Detalhamento - Sub69'!B78:B227,'Detalhamento - Sub69'!A78:A227,X)</f>
        <v>2001014001</v>
      </c>
      <c r="C85" s="233" t="s">
        <v>196</v>
      </c>
      <c r="D85" s="234">
        <f>VLOOKUP(B85,'Detalhamento - Sub69'!A:E,5,FALSE)</f>
        <v>0</v>
      </c>
      <c r="E85" s="234"/>
      <c r="F85" s="234">
        <f t="shared" si="1"/>
        <v>0</v>
      </c>
      <c r="G85" s="233"/>
    </row>
    <row r="86" spans="2:7">
      <c r="B86" s="232" cm="1">
        <f t="array" ref="B86">_xlfn.XLOOKUP(C86,'Detalhamento - Sub69'!B79:B228,'Detalhamento - Sub69'!A79:A228,X)</f>
        <v>2001014002</v>
      </c>
      <c r="C86" s="233" t="s">
        <v>197</v>
      </c>
      <c r="D86" s="234">
        <f>VLOOKUP(B86,'Detalhamento - Sub69'!A:E,5,FALSE)</f>
        <v>0</v>
      </c>
      <c r="E86" s="234"/>
      <c r="F86" s="234">
        <f t="shared" si="1"/>
        <v>0</v>
      </c>
      <c r="G86" s="233"/>
    </row>
    <row r="87" spans="2:7">
      <c r="B87" s="232" cm="1">
        <f t="array" ref="B87">_xlfn.XLOOKUP(C87,'Detalhamento - Sub69'!B80:B229,'Detalhamento - Sub69'!A80:A229,X)</f>
        <v>2001015001</v>
      </c>
      <c r="C87" s="233" t="s">
        <v>199</v>
      </c>
      <c r="D87" s="234">
        <f>VLOOKUP(B87,'Detalhamento - Sub69'!A:E,5,FALSE)</f>
        <v>0</v>
      </c>
      <c r="E87" s="234"/>
      <c r="F87" s="234">
        <f t="shared" si="1"/>
        <v>0</v>
      </c>
      <c r="G87" s="233"/>
    </row>
    <row r="88" spans="2:7">
      <c r="B88" s="232" cm="1">
        <f t="array" ref="B88">_xlfn.XLOOKUP(C88,'Detalhamento - Sub69'!B81:B230,'Detalhamento - Sub69'!A81:A230,X)</f>
        <v>2001015002</v>
      </c>
      <c r="C88" s="233" t="s">
        <v>200</v>
      </c>
      <c r="D88" s="234">
        <f>VLOOKUP(B88,'Detalhamento - Sub69'!A:E,5,FALSE)</f>
        <v>0</v>
      </c>
      <c r="E88" s="234"/>
      <c r="F88" s="234">
        <f t="shared" si="1"/>
        <v>0</v>
      </c>
      <c r="G88" s="233"/>
    </row>
    <row r="89" spans="2:7">
      <c r="B89" s="232" cm="1">
        <f t="array" ref="B89">_xlfn.XLOOKUP(C89,'Detalhamento - Sub69'!B82:B231,'Detalhamento - Sub69'!A82:A231,X)</f>
        <v>2001016001</v>
      </c>
      <c r="C89" s="233" t="s">
        <v>202</v>
      </c>
      <c r="D89" s="234">
        <f>VLOOKUP(B89,'Detalhamento - Sub69'!A:E,5,FALSE)</f>
        <v>0</v>
      </c>
      <c r="E89" s="234"/>
      <c r="F89" s="234">
        <f t="shared" si="1"/>
        <v>0</v>
      </c>
      <c r="G89" s="233"/>
    </row>
    <row r="90" spans="2:7">
      <c r="B90" s="232" cm="1">
        <f t="array" ref="B90">_xlfn.XLOOKUP(C90,'Detalhamento - Sub69'!B83:B232,'Detalhamento - Sub69'!A83:A232,X)</f>
        <v>2001017001</v>
      </c>
      <c r="C90" s="233" t="s">
        <v>204</v>
      </c>
      <c r="D90" s="234">
        <f>VLOOKUP(B90,'Detalhamento - Sub69'!A:E,5,FALSE)</f>
        <v>0</v>
      </c>
      <c r="E90" s="234"/>
      <c r="F90" s="234">
        <f t="shared" si="1"/>
        <v>0</v>
      </c>
      <c r="G90" s="233"/>
    </row>
    <row r="91" spans="2:7">
      <c r="B91" s="232" cm="1">
        <f t="array" ref="B91">_xlfn.XLOOKUP(C91,'Detalhamento - Sub69'!B84:B233,'Detalhamento - Sub69'!A84:A233,X)</f>
        <v>2001017002</v>
      </c>
      <c r="C91" s="233" t="s">
        <v>205</v>
      </c>
      <c r="D91" s="234">
        <f>VLOOKUP(B91,'Detalhamento - Sub69'!A:E,5,FALSE)</f>
        <v>0</v>
      </c>
      <c r="E91" s="234"/>
      <c r="F91" s="234">
        <f t="shared" si="1"/>
        <v>0</v>
      </c>
      <c r="G91" s="233"/>
    </row>
    <row r="92" spans="2:7">
      <c r="B92" s="232" cm="1">
        <f t="array" ref="B92">_xlfn.XLOOKUP(C92,'Detalhamento - Sub69'!B85:B234,'Detalhamento - Sub69'!A85:A234,X)</f>
        <v>2001017003</v>
      </c>
      <c r="C92" s="233" t="s">
        <v>206</v>
      </c>
      <c r="D92" s="234">
        <f>VLOOKUP(B92,'Detalhamento - Sub69'!A:E,5,FALSE)</f>
        <v>0</v>
      </c>
      <c r="E92" s="234"/>
      <c r="F92" s="234">
        <f t="shared" si="1"/>
        <v>0</v>
      </c>
      <c r="G92" s="233"/>
    </row>
    <row r="93" spans="2:7">
      <c r="B93" s="232" cm="1">
        <f t="array" ref="B93">_xlfn.XLOOKUP(C93,'Detalhamento - Sub69'!B86:B235,'Detalhamento - Sub69'!A86:A235,X)</f>
        <v>2001017004</v>
      </c>
      <c r="C93" s="233" t="s">
        <v>207</v>
      </c>
      <c r="D93" s="234">
        <f>VLOOKUP(B93,'Detalhamento - Sub69'!A:E,5,FALSE)</f>
        <v>0</v>
      </c>
      <c r="E93" s="234"/>
      <c r="F93" s="234">
        <f t="shared" si="1"/>
        <v>0</v>
      </c>
      <c r="G93" s="233"/>
    </row>
    <row r="94" spans="2:7">
      <c r="B94" s="232" cm="1">
        <f t="array" ref="B94">_xlfn.XLOOKUP(C94,'Detalhamento - Sub69'!B87:B236,'Detalhamento - Sub69'!A87:A236,X)</f>
        <v>2001017005</v>
      </c>
      <c r="C94" s="233" t="s">
        <v>208</v>
      </c>
      <c r="D94" s="234">
        <f>VLOOKUP(B94,'Detalhamento - Sub69'!A:E,5,FALSE)</f>
        <v>0</v>
      </c>
      <c r="E94" s="234"/>
      <c r="F94" s="234">
        <f t="shared" si="1"/>
        <v>0</v>
      </c>
      <c r="G94" s="233"/>
    </row>
    <row r="95" spans="2:7">
      <c r="B95" s="232" cm="1">
        <f t="array" ref="B95">_xlfn.XLOOKUP(C95,'Detalhamento - Sub69'!B88:B237,'Detalhamento - Sub69'!A88:A237,X)</f>
        <v>2001018001</v>
      </c>
      <c r="C95" s="233" t="s">
        <v>210</v>
      </c>
      <c r="D95" s="234">
        <f>VLOOKUP(B95,'Detalhamento - Sub69'!A:E,5,FALSE)</f>
        <v>0</v>
      </c>
      <c r="E95" s="234"/>
      <c r="F95" s="234">
        <f t="shared" si="1"/>
        <v>0</v>
      </c>
      <c r="G95" s="233"/>
    </row>
    <row r="96" spans="2:7">
      <c r="B96" s="232" cm="1">
        <f t="array" ref="B96">_xlfn.XLOOKUP(C96,'Detalhamento - Sub69'!B89:B238,'Detalhamento - Sub69'!A89:A238,X)</f>
        <v>2001018002</v>
      </c>
      <c r="C96" s="233" t="s">
        <v>211</v>
      </c>
      <c r="D96" s="234">
        <f>VLOOKUP(B96,'Detalhamento - Sub69'!A:E,5,FALSE)</f>
        <v>0</v>
      </c>
      <c r="E96" s="234"/>
      <c r="F96" s="234">
        <f t="shared" si="1"/>
        <v>0</v>
      </c>
      <c r="G96" s="233"/>
    </row>
    <row r="97" spans="2:7">
      <c r="B97" s="232" cm="1">
        <f t="array" ref="B97">_xlfn.XLOOKUP(C97,'Detalhamento - Sub69'!B90:B239,'Detalhamento - Sub69'!A90:A239,X)</f>
        <v>2001018003</v>
      </c>
      <c r="C97" s="233" t="s">
        <v>212</v>
      </c>
      <c r="D97" s="234">
        <f>VLOOKUP(B97,'Detalhamento - Sub69'!A:E,5,FALSE)</f>
        <v>0</v>
      </c>
      <c r="E97" s="234"/>
      <c r="F97" s="234">
        <f t="shared" si="1"/>
        <v>0</v>
      </c>
      <c r="G97" s="233"/>
    </row>
    <row r="98" spans="2:7">
      <c r="B98" s="232" cm="1">
        <f t="array" ref="B98">_xlfn.XLOOKUP(C98,'Detalhamento - Sub69'!B91:B240,'Detalhamento - Sub69'!A91:A240,X)</f>
        <v>2001019001</v>
      </c>
      <c r="C98" s="233" t="s">
        <v>214</v>
      </c>
      <c r="D98" s="234">
        <f>VLOOKUP(B98,'Detalhamento - Sub69'!A:E,5,FALSE)</f>
        <v>0</v>
      </c>
      <c r="E98" s="234"/>
      <c r="F98" s="234">
        <f t="shared" si="1"/>
        <v>0</v>
      </c>
      <c r="G98" s="233"/>
    </row>
    <row r="99" spans="2:7">
      <c r="B99" s="232" cm="1">
        <f t="array" ref="B99">_xlfn.XLOOKUP(C99,'Detalhamento - Sub69'!B92:B241,'Detalhamento - Sub69'!A92:A241,X)</f>
        <v>2001019002</v>
      </c>
      <c r="C99" s="233" t="s">
        <v>215</v>
      </c>
      <c r="D99" s="234">
        <f>VLOOKUP(B99,'Detalhamento - Sub69'!A:E,5,FALSE)</f>
        <v>0</v>
      </c>
      <c r="E99" s="234"/>
      <c r="F99" s="234">
        <f t="shared" si="1"/>
        <v>0</v>
      </c>
      <c r="G99" s="233"/>
    </row>
    <row r="100" spans="2:7">
      <c r="B100" s="232" cm="1">
        <f t="array" ref="B100">_xlfn.XLOOKUP(C100,'Detalhamento - Sub69'!B93:B242,'Detalhamento - Sub69'!A93:A242,X)</f>
        <v>2001020001</v>
      </c>
      <c r="C100" s="233" t="s">
        <v>217</v>
      </c>
      <c r="D100" s="234">
        <f>VLOOKUP(B100,'Detalhamento - Sub69'!A:E,5,FALSE)</f>
        <v>0</v>
      </c>
      <c r="E100" s="234"/>
      <c r="F100" s="234">
        <f t="shared" si="1"/>
        <v>0</v>
      </c>
      <c r="G100" s="233"/>
    </row>
    <row r="101" spans="2:7">
      <c r="B101" s="232" cm="1">
        <f t="array" ref="B101">_xlfn.XLOOKUP(C101,'Detalhamento - Sub69'!B94:B243,'Detalhamento - Sub69'!A94:A243,X)</f>
        <v>2001020002</v>
      </c>
      <c r="C101" s="233" t="s">
        <v>218</v>
      </c>
      <c r="D101" s="234">
        <f>VLOOKUP(B101,'Detalhamento - Sub69'!A:E,5,FALSE)</f>
        <v>0</v>
      </c>
      <c r="E101" s="234"/>
      <c r="F101" s="234">
        <f t="shared" si="1"/>
        <v>0</v>
      </c>
      <c r="G101" s="233"/>
    </row>
    <row r="102" spans="2:7">
      <c r="B102" s="232" cm="1">
        <f t="array" ref="B102">_xlfn.XLOOKUP(C102,'Detalhamento - Sub69'!B95:B244,'Detalhamento - Sub69'!A95:A244,X)</f>
        <v>2001021001</v>
      </c>
      <c r="C102" s="233" t="s">
        <v>220</v>
      </c>
      <c r="D102" s="234">
        <f>VLOOKUP(B102,'Detalhamento - Sub69'!A:E,5,FALSE)</f>
        <v>0</v>
      </c>
      <c r="E102" s="234"/>
      <c r="F102" s="234">
        <f t="shared" si="1"/>
        <v>0</v>
      </c>
      <c r="G102" s="233"/>
    </row>
    <row r="103" spans="2:7">
      <c r="B103" s="232" cm="1">
        <f t="array" ref="B103">_xlfn.XLOOKUP(C103,'Detalhamento - Sub69'!B96:B245,'Detalhamento - Sub69'!A96:A245,X)</f>
        <v>2001022001</v>
      </c>
      <c r="C103" s="233" t="s">
        <v>222</v>
      </c>
      <c r="D103" s="234">
        <f>VLOOKUP(B103,'Detalhamento - Sub69'!A:E,5,FALSE)</f>
        <v>0</v>
      </c>
      <c r="E103" s="234"/>
      <c r="F103" s="234">
        <f t="shared" si="1"/>
        <v>0</v>
      </c>
      <c r="G103" s="233"/>
    </row>
    <row r="104" spans="2:7">
      <c r="B104" s="232" cm="1">
        <f t="array" ref="B104">_xlfn.XLOOKUP(C104,'Detalhamento - Sub69'!B97:B246,'Detalhamento - Sub69'!A97:A246,X)</f>
        <v>2001023001</v>
      </c>
      <c r="C104" s="233" t="s">
        <v>224</v>
      </c>
      <c r="D104" s="234">
        <f>VLOOKUP(B104,'Detalhamento - Sub69'!A:E,5,FALSE)</f>
        <v>0</v>
      </c>
      <c r="E104" s="234"/>
      <c r="F104" s="234">
        <f t="shared" si="1"/>
        <v>0</v>
      </c>
      <c r="G104" s="233"/>
    </row>
    <row r="105" spans="2:7">
      <c r="B105" s="232" cm="1">
        <f t="array" ref="B105">_xlfn.XLOOKUP(C105,'Detalhamento - Sub69'!B98:B247,'Detalhamento - Sub69'!A98:A247,X)</f>
        <v>2001024001</v>
      </c>
      <c r="C105" s="233" t="s">
        <v>226</v>
      </c>
      <c r="D105" s="234">
        <f>VLOOKUP(B105,'Detalhamento - Sub69'!A:E,5,FALSE)</f>
        <v>0</v>
      </c>
      <c r="E105" s="234"/>
      <c r="F105" s="234">
        <f t="shared" si="1"/>
        <v>0</v>
      </c>
      <c r="G105" s="233"/>
    </row>
    <row r="106" spans="2:7">
      <c r="B106" s="232" cm="1">
        <f t="array" ref="B106">_xlfn.XLOOKUP(C106,'Detalhamento - Sub69'!B99:B248,'Detalhamento - Sub69'!A99:A248,X)</f>
        <v>2001024002</v>
      </c>
      <c r="C106" s="233" t="s">
        <v>227</v>
      </c>
      <c r="D106" s="234">
        <f>VLOOKUP(B106,'Detalhamento - Sub69'!A:E,5,FALSE)</f>
        <v>0</v>
      </c>
      <c r="E106" s="234"/>
      <c r="F106" s="234">
        <f t="shared" si="1"/>
        <v>0</v>
      </c>
      <c r="G106" s="233"/>
    </row>
    <row r="107" spans="2:7">
      <c r="B107" s="232" cm="1">
        <f t="array" ref="B107">_xlfn.XLOOKUP(C107,'Detalhamento - Sub69'!B100:B249,'Detalhamento - Sub69'!A100:A249,X)</f>
        <v>2001024003</v>
      </c>
      <c r="C107" s="233" t="s">
        <v>228</v>
      </c>
      <c r="D107" s="234">
        <f>VLOOKUP(B107,'Detalhamento - Sub69'!A:E,5,FALSE)</f>
        <v>0</v>
      </c>
      <c r="E107" s="234"/>
      <c r="F107" s="234">
        <f t="shared" si="1"/>
        <v>0</v>
      </c>
      <c r="G107" s="233"/>
    </row>
    <row r="108" spans="2:7">
      <c r="B108" s="232" cm="1">
        <f t="array" ref="B108">_xlfn.XLOOKUP(C108,'Detalhamento - Sub69'!B101:B250,'Detalhamento - Sub69'!A101:A250,X)</f>
        <v>2001024004</v>
      </c>
      <c r="C108" s="233" t="s">
        <v>229</v>
      </c>
      <c r="D108" s="234">
        <f>VLOOKUP(B108,'Detalhamento - Sub69'!A:E,5,FALSE)</f>
        <v>0</v>
      </c>
      <c r="E108" s="234"/>
      <c r="F108" s="234">
        <f t="shared" si="1"/>
        <v>0</v>
      </c>
      <c r="G108" s="233"/>
    </row>
    <row r="109" spans="2:7">
      <c r="B109" s="232" cm="1">
        <f t="array" ref="B109">_xlfn.XLOOKUP(C109,'Detalhamento - Sub69'!B102:B251,'Detalhamento - Sub69'!A102:A251,X)</f>
        <v>2001024005</v>
      </c>
      <c r="C109" s="233" t="s">
        <v>230</v>
      </c>
      <c r="D109" s="234">
        <f>VLOOKUP(B109,'Detalhamento - Sub69'!A:E,5,FALSE)</f>
        <v>0</v>
      </c>
      <c r="E109" s="234"/>
      <c r="F109" s="234">
        <f t="shared" si="1"/>
        <v>0</v>
      </c>
      <c r="G109" s="233"/>
    </row>
    <row r="110" spans="2:7">
      <c r="B110" s="232" cm="1">
        <f t="array" ref="B110">_xlfn.XLOOKUP(C110,'Detalhamento - Sub69'!B103:B252,'Detalhamento - Sub69'!A103:A252,X)</f>
        <v>2001024006</v>
      </c>
      <c r="C110" s="233" t="s">
        <v>231</v>
      </c>
      <c r="D110" s="234">
        <f>VLOOKUP(B110,'Detalhamento - Sub69'!A:E,5,FALSE)</f>
        <v>0</v>
      </c>
      <c r="E110" s="234"/>
      <c r="F110" s="234">
        <f t="shared" si="1"/>
        <v>0</v>
      </c>
      <c r="G110" s="233"/>
    </row>
    <row r="111" spans="2:7">
      <c r="B111" s="232" cm="1">
        <f t="array" ref="B111">_xlfn.XLOOKUP(C111,'Detalhamento - Sub69'!B104:B253,'Detalhamento - Sub69'!A104:A253,X)</f>
        <v>2001024007</v>
      </c>
      <c r="C111" s="233" t="s">
        <v>232</v>
      </c>
      <c r="D111" s="234">
        <f>VLOOKUP(B111,'Detalhamento - Sub69'!A:E,5,FALSE)</f>
        <v>0</v>
      </c>
      <c r="E111" s="234"/>
      <c r="F111" s="234">
        <f t="shared" si="1"/>
        <v>0</v>
      </c>
      <c r="G111" s="233"/>
    </row>
    <row r="112" spans="2:7">
      <c r="B112" s="232" cm="1">
        <f t="array" ref="B112">_xlfn.XLOOKUP(C112,'Detalhamento - Sub69'!B105:B254,'Detalhamento - Sub69'!A105:A254,X)</f>
        <v>2001024008</v>
      </c>
      <c r="C112" s="233" t="s">
        <v>233</v>
      </c>
      <c r="D112" s="234">
        <f>VLOOKUP(B112,'Detalhamento - Sub69'!A:E,5,FALSE)</f>
        <v>0</v>
      </c>
      <c r="E112" s="234"/>
      <c r="F112" s="234">
        <f t="shared" si="1"/>
        <v>0</v>
      </c>
      <c r="G112" s="233"/>
    </row>
    <row r="113" spans="2:7">
      <c r="B113" s="232" cm="1">
        <f t="array" ref="B113">_xlfn.XLOOKUP(C113,'Detalhamento - Sub69'!B106:B255,'Detalhamento - Sub69'!A106:A255,X)</f>
        <v>2001024009</v>
      </c>
      <c r="C113" s="233" t="s">
        <v>234</v>
      </c>
      <c r="D113" s="234">
        <f>VLOOKUP(B113,'Detalhamento - Sub69'!A:E,5,FALSE)</f>
        <v>0</v>
      </c>
      <c r="E113" s="234"/>
      <c r="F113" s="234">
        <f t="shared" si="1"/>
        <v>0</v>
      </c>
      <c r="G113" s="233"/>
    </row>
    <row r="114" spans="2:7">
      <c r="B114" s="232" cm="1">
        <f t="array" ref="B114">_xlfn.XLOOKUP(C114,'Detalhamento - Sub69'!B107:B256,'Detalhamento - Sub69'!A107:A256,X)</f>
        <v>2001024010</v>
      </c>
      <c r="C114" s="233" t="s">
        <v>235</v>
      </c>
      <c r="D114" s="234">
        <f>VLOOKUP(B114,'Detalhamento - Sub69'!A:E,5,FALSE)</f>
        <v>0</v>
      </c>
      <c r="E114" s="234"/>
      <c r="F114" s="234">
        <f t="shared" si="1"/>
        <v>0</v>
      </c>
      <c r="G114" s="233"/>
    </row>
    <row r="115" spans="2:7">
      <c r="B115" s="232" cm="1">
        <f t="array" ref="B115">_xlfn.XLOOKUP(C115,'Detalhamento - Sub69'!B108:B257,'Detalhamento - Sub69'!A108:A257,X)</f>
        <v>2001024011</v>
      </c>
      <c r="C115" s="233" t="s">
        <v>236</v>
      </c>
      <c r="D115" s="234">
        <f>VLOOKUP(B115,'Detalhamento - Sub69'!A:E,5,FALSE)</f>
        <v>0</v>
      </c>
      <c r="E115" s="234"/>
      <c r="F115" s="234">
        <f t="shared" si="1"/>
        <v>0</v>
      </c>
      <c r="G115" s="233"/>
    </row>
    <row r="116" spans="2:7">
      <c r="B116" s="232" cm="1">
        <f t="array" ref="B116">_xlfn.XLOOKUP(C116,'Detalhamento - Sub69'!B109:B258,'Detalhamento - Sub69'!A109:A258,X)</f>
        <v>2001024012</v>
      </c>
      <c r="C116" s="233" t="s">
        <v>237</v>
      </c>
      <c r="D116" s="234">
        <f>VLOOKUP(B116,'Detalhamento - Sub69'!A:E,5,FALSE)</f>
        <v>0</v>
      </c>
      <c r="E116" s="234"/>
      <c r="F116" s="234">
        <f t="shared" si="1"/>
        <v>0</v>
      </c>
      <c r="G116" s="233"/>
    </row>
    <row r="117" spans="2:7">
      <c r="B117" s="232" cm="1">
        <f t="array" ref="B117">_xlfn.XLOOKUP(C117,'Detalhamento - Sub69'!B110:B259,'Detalhamento - Sub69'!A110:A259,X)</f>
        <v>2001024013</v>
      </c>
      <c r="C117" s="233" t="s">
        <v>238</v>
      </c>
      <c r="D117" s="234">
        <f>VLOOKUP(B117,'Detalhamento - Sub69'!A:E,5,FALSE)</f>
        <v>0</v>
      </c>
      <c r="E117" s="234"/>
      <c r="F117" s="234">
        <f t="shared" si="1"/>
        <v>0</v>
      </c>
      <c r="G117" s="233"/>
    </row>
    <row r="118" spans="2:7">
      <c r="B118" s="232" cm="1">
        <f t="array" ref="B118">_xlfn.XLOOKUP(C118,'Detalhamento - Sub69'!B111:B260,'Detalhamento - Sub69'!A111:A260,X)</f>
        <v>2001024014</v>
      </c>
      <c r="C118" s="233" t="s">
        <v>239</v>
      </c>
      <c r="D118" s="234">
        <f>VLOOKUP(B118,'Detalhamento - Sub69'!A:E,5,FALSE)</f>
        <v>0</v>
      </c>
      <c r="E118" s="234"/>
      <c r="F118" s="234">
        <f t="shared" si="1"/>
        <v>0</v>
      </c>
      <c r="G118" s="233"/>
    </row>
    <row r="119" spans="2:7">
      <c r="B119" s="232" cm="1">
        <f t="array" ref="B119">_xlfn.XLOOKUP(C119,'Detalhamento - Sub69'!B112:B261,'Detalhamento - Sub69'!A112:A261,X)</f>
        <v>2001024015</v>
      </c>
      <c r="C119" s="233" t="s">
        <v>240</v>
      </c>
      <c r="D119" s="234">
        <f>VLOOKUP(B119,'Detalhamento - Sub69'!A:E,5,FALSE)</f>
        <v>0</v>
      </c>
      <c r="E119" s="234"/>
      <c r="F119" s="234">
        <f t="shared" si="1"/>
        <v>0</v>
      </c>
      <c r="G119" s="233"/>
    </row>
    <row r="120" spans="2:7">
      <c r="B120" s="232" cm="1">
        <f t="array" ref="B120">_xlfn.XLOOKUP(C120,'Detalhamento - Sub69'!B113:B262,'Detalhamento - Sub69'!A113:A262,X)</f>
        <v>2001024016</v>
      </c>
      <c r="C120" s="233" t="s">
        <v>241</v>
      </c>
      <c r="D120" s="234">
        <f>VLOOKUP(B120,'Detalhamento - Sub69'!A:E,5,FALSE)</f>
        <v>0</v>
      </c>
      <c r="E120" s="234"/>
      <c r="F120" s="234">
        <f t="shared" si="1"/>
        <v>0</v>
      </c>
      <c r="G120" s="233"/>
    </row>
    <row r="121" spans="2:7">
      <c r="B121" s="232" cm="1">
        <f t="array" ref="B121">_xlfn.XLOOKUP(C121,'Detalhamento - Sub69'!B114:B263,'Detalhamento - Sub69'!A114:A263,X)</f>
        <v>2001025001</v>
      </c>
      <c r="C121" s="233" t="s">
        <v>243</v>
      </c>
      <c r="D121" s="234">
        <f>VLOOKUP(B121,'Detalhamento - Sub69'!A:E,5,FALSE)</f>
        <v>0</v>
      </c>
      <c r="E121" s="234"/>
      <c r="F121" s="234">
        <f t="shared" si="1"/>
        <v>0</v>
      </c>
      <c r="G121" s="233"/>
    </row>
    <row r="122" spans="2:7">
      <c r="B122" s="232" cm="1">
        <f t="array" ref="B122">_xlfn.XLOOKUP(C122,'Detalhamento - Sub69'!B115:B264,'Detalhamento - Sub69'!A115:A264,X)</f>
        <v>2001025002</v>
      </c>
      <c r="C122" s="233" t="s">
        <v>244</v>
      </c>
      <c r="D122" s="234">
        <f>VLOOKUP(B122,'Detalhamento - Sub69'!A:E,5,FALSE)</f>
        <v>0</v>
      </c>
      <c r="E122" s="234"/>
      <c r="F122" s="234">
        <f t="shared" si="1"/>
        <v>0</v>
      </c>
      <c r="G122" s="233"/>
    </row>
    <row r="123" spans="2:7">
      <c r="B123" s="232" cm="1">
        <f t="array" ref="B123">_xlfn.XLOOKUP(C123,'Detalhamento - Sub69'!B116:B265,'Detalhamento - Sub69'!A116:A265,X)</f>
        <v>2002001001</v>
      </c>
      <c r="C123" s="233" t="s">
        <v>247</v>
      </c>
      <c r="D123" s="234">
        <f>VLOOKUP(B123,'Detalhamento - Sub69'!A:E,5,FALSE)</f>
        <v>0</v>
      </c>
      <c r="E123" s="234"/>
      <c r="F123" s="234">
        <f t="shared" si="1"/>
        <v>0</v>
      </c>
      <c r="G123" s="233"/>
    </row>
    <row r="124" spans="2:7" ht="18.75" thickBot="1">
      <c r="B124" s="232">
        <v>2003001001</v>
      </c>
      <c r="C124" s="235" t="s">
        <v>248</v>
      </c>
      <c r="D124" s="234">
        <f>VLOOKUP(B124,'Detalhamento - Sub69'!A:E,5,FALSE)</f>
        <v>108015.87000000011</v>
      </c>
      <c r="E124" s="236"/>
      <c r="F124" s="236">
        <f t="shared" si="1"/>
        <v>108015.87000000011</v>
      </c>
      <c r="G124" s="235"/>
    </row>
  </sheetData>
  <conditionalFormatting sqref="D10:F124">
    <cfRule type="cellIs" dxfId="114" priority="1" operator="lessThan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F868C-4EAB-4E74-97A0-084E9F50B641}">
  <sheetPr>
    <tabColor theme="2" tint="-0.249977111117893"/>
  </sheetPr>
  <dimension ref="B1:U29"/>
  <sheetViews>
    <sheetView showGridLines="0" zoomScale="70" zoomScaleNormal="70" workbookViewId="0">
      <pane xSplit="5" ySplit="5" topLeftCell="F6" activePane="bottomRight" state="frozen"/>
      <selection activeCell="G1" sqref="G1:G1048576"/>
      <selection pane="topRight" activeCell="G1" sqref="G1:G1048576"/>
      <selection pane="bottomLeft" activeCell="G1" sqref="G1:G1048576"/>
      <selection pane="bottomRight" activeCell="I15" sqref="I15"/>
    </sheetView>
  </sheetViews>
  <sheetFormatPr defaultColWidth="8.85546875" defaultRowHeight="18"/>
  <cols>
    <col min="1" max="1" width="2.28515625" style="172" customWidth="1"/>
    <col min="2" max="2" width="10.85546875" style="139" customWidth="1"/>
    <col min="3" max="3" width="20.28515625" style="139" customWidth="1"/>
    <col min="4" max="4" width="15.28515625" style="172" bestFit="1" customWidth="1"/>
    <col min="5" max="5" width="27" style="139" bestFit="1" customWidth="1"/>
    <col min="6" max="6" width="43.7109375" style="139" customWidth="1"/>
    <col min="7" max="7" width="14" style="139" customWidth="1"/>
    <col min="8" max="8" width="14.5703125" style="139" customWidth="1"/>
    <col min="9" max="9" width="26.28515625" style="139" customWidth="1"/>
    <col min="10" max="10" width="52.140625" style="172" customWidth="1"/>
    <col min="11" max="11" width="19.140625" style="172" bestFit="1" customWidth="1"/>
    <col min="12" max="12" width="16" style="172" bestFit="1" customWidth="1"/>
    <col min="13" max="13" width="16.7109375" style="172" bestFit="1" customWidth="1"/>
    <col min="14" max="14" width="27.7109375" style="172" bestFit="1" customWidth="1"/>
    <col min="15" max="16" width="27.7109375" style="172" customWidth="1"/>
    <col min="17" max="17" width="19.140625" style="172" bestFit="1" customWidth="1"/>
    <col min="18" max="20" width="18.7109375" style="172" customWidth="1"/>
    <col min="21" max="21" width="18.28515625" style="139" customWidth="1"/>
    <col min="22" max="16384" width="8.85546875" style="172"/>
  </cols>
  <sheetData>
    <row r="1" spans="2:21">
      <c r="J1" s="237"/>
    </row>
    <row r="2" spans="2:21">
      <c r="J2" s="237"/>
    </row>
    <row r="3" spans="2:21">
      <c r="I3" s="238"/>
      <c r="J3" s="239"/>
      <c r="K3" s="240">
        <f t="shared" ref="K3:R3" si="0">SUBTOTAL(9,K6:K4982)</f>
        <v>4007283.67</v>
      </c>
      <c r="L3" s="240">
        <f t="shared" si="0"/>
        <v>46401.79</v>
      </c>
      <c r="M3" s="240">
        <f t="shared" si="0"/>
        <v>1847.77</v>
      </c>
      <c r="N3" s="240">
        <f t="shared" si="0"/>
        <v>74561.070000000022</v>
      </c>
      <c r="O3" s="240">
        <f t="shared" si="0"/>
        <v>0</v>
      </c>
      <c r="P3" s="240">
        <f t="shared" si="0"/>
        <v>0</v>
      </c>
      <c r="Q3" s="240">
        <f t="shared" si="0"/>
        <v>3884473.04</v>
      </c>
      <c r="R3" s="240">
        <f t="shared" si="0"/>
        <v>3930874.8300000005</v>
      </c>
      <c r="S3" s="240"/>
      <c r="T3" s="240"/>
    </row>
    <row r="5" spans="2:21" ht="43.15" customHeight="1">
      <c r="B5" s="241" t="s">
        <v>391</v>
      </c>
      <c r="C5" s="241" t="s">
        <v>628</v>
      </c>
      <c r="D5" s="241" t="s">
        <v>392</v>
      </c>
      <c r="E5" s="241" t="s">
        <v>393</v>
      </c>
      <c r="F5" s="242" t="s">
        <v>394</v>
      </c>
      <c r="G5" s="242" t="s">
        <v>395</v>
      </c>
      <c r="H5" s="242" t="s">
        <v>623</v>
      </c>
      <c r="I5" s="241" t="s">
        <v>396</v>
      </c>
      <c r="J5" s="241" t="s">
        <v>397</v>
      </c>
      <c r="K5" s="241" t="s">
        <v>398</v>
      </c>
      <c r="L5" s="241" t="s">
        <v>399</v>
      </c>
      <c r="M5" s="241" t="s">
        <v>400</v>
      </c>
      <c r="N5" s="241" t="s">
        <v>401</v>
      </c>
      <c r="O5" s="241" t="s">
        <v>402</v>
      </c>
      <c r="P5" s="242" t="s">
        <v>793</v>
      </c>
      <c r="Q5" s="241" t="s">
        <v>403</v>
      </c>
      <c r="R5" s="243" t="s">
        <v>782</v>
      </c>
      <c r="S5" s="242" t="s">
        <v>696</v>
      </c>
      <c r="T5" s="242" t="s">
        <v>1066</v>
      </c>
      <c r="U5" s="242" t="s">
        <v>1067</v>
      </c>
    </row>
    <row r="6" spans="2:21">
      <c r="B6" s="244" t="s">
        <v>440</v>
      </c>
      <c r="C6" s="139">
        <v>90326</v>
      </c>
      <c r="D6" s="171">
        <v>2003001001</v>
      </c>
      <c r="E6" s="139" t="s">
        <v>407</v>
      </c>
      <c r="F6" s="139" t="s">
        <v>629</v>
      </c>
      <c r="G6" s="245">
        <v>46093</v>
      </c>
      <c r="H6" s="245">
        <v>46101</v>
      </c>
      <c r="I6" s="139" t="s">
        <v>408</v>
      </c>
      <c r="J6" s="172" t="s">
        <v>409</v>
      </c>
      <c r="K6" s="246">
        <v>359953.87</v>
      </c>
      <c r="L6" s="246">
        <v>0</v>
      </c>
      <c r="M6" s="246">
        <v>0</v>
      </c>
      <c r="N6" s="246"/>
      <c r="O6" s="246">
        <v>0</v>
      </c>
      <c r="P6" s="246">
        <v>0</v>
      </c>
      <c r="Q6" s="246">
        <f>K6-SUM(L6:P6)</f>
        <v>359953.87</v>
      </c>
      <c r="R6" s="246">
        <f>L6+Q6</f>
        <v>359953.87</v>
      </c>
      <c r="S6" s="246"/>
      <c r="T6" s="246"/>
      <c r="U6" s="247" t="s">
        <v>439</v>
      </c>
    </row>
    <row r="7" spans="2:21">
      <c r="B7" s="244" t="s">
        <v>440</v>
      </c>
      <c r="C7" s="139">
        <v>90326</v>
      </c>
      <c r="D7" s="171">
        <v>2002001001</v>
      </c>
      <c r="E7" s="139" t="s">
        <v>411</v>
      </c>
      <c r="F7" s="139" t="s">
        <v>629</v>
      </c>
      <c r="G7" s="245">
        <v>46093</v>
      </c>
      <c r="H7" s="245">
        <v>46101</v>
      </c>
      <c r="I7" s="139" t="s">
        <v>408</v>
      </c>
      <c r="J7" s="172" t="s">
        <v>409</v>
      </c>
      <c r="K7" s="246">
        <v>516939.06</v>
      </c>
      <c r="L7" s="246">
        <v>0</v>
      </c>
      <c r="M7" s="246">
        <v>0</v>
      </c>
      <c r="N7" s="246"/>
      <c r="O7" s="246">
        <v>0</v>
      </c>
      <c r="P7" s="246">
        <v>0</v>
      </c>
      <c r="Q7" s="246">
        <f t="shared" ref="Q7:Q17" si="1">K7-SUM(L7:P7)</f>
        <v>516939.06</v>
      </c>
      <c r="R7" s="246">
        <f t="shared" ref="R7:R17" si="2">L7+Q7</f>
        <v>516939.06</v>
      </c>
      <c r="S7" s="246"/>
      <c r="T7" s="246"/>
      <c r="U7" s="247" t="s">
        <v>439</v>
      </c>
    </row>
    <row r="8" spans="2:21">
      <c r="B8" s="244" t="s">
        <v>426</v>
      </c>
      <c r="C8" s="139">
        <v>91279</v>
      </c>
      <c r="D8" s="171">
        <v>2003001001</v>
      </c>
      <c r="E8" s="139">
        <v>164</v>
      </c>
      <c r="F8" s="139" t="s">
        <v>624</v>
      </c>
      <c r="G8" s="245">
        <v>46106</v>
      </c>
      <c r="H8" s="245">
        <v>46117</v>
      </c>
      <c r="I8" s="139" t="s">
        <v>408</v>
      </c>
      <c r="J8" s="172" t="s">
        <v>315</v>
      </c>
      <c r="K8" s="246">
        <v>11234.47</v>
      </c>
      <c r="L8" s="246">
        <v>561.72</v>
      </c>
      <c r="M8" s="246">
        <v>561.72</v>
      </c>
      <c r="N8" s="246">
        <v>3382.45</v>
      </c>
      <c r="O8" s="246">
        <v>0</v>
      </c>
      <c r="P8" s="246">
        <v>0</v>
      </c>
      <c r="Q8" s="246">
        <f t="shared" si="1"/>
        <v>6728.58</v>
      </c>
      <c r="R8" s="246">
        <f t="shared" si="2"/>
        <v>7290.3</v>
      </c>
      <c r="S8" s="246"/>
      <c r="T8" s="246"/>
      <c r="U8" s="247" t="s">
        <v>439</v>
      </c>
    </row>
    <row r="9" spans="2:21">
      <c r="B9" s="244" t="s">
        <v>426</v>
      </c>
      <c r="C9" s="139">
        <v>91281</v>
      </c>
      <c r="D9" s="171">
        <v>2002001001</v>
      </c>
      <c r="E9" s="139">
        <v>165</v>
      </c>
      <c r="F9" s="139" t="s">
        <v>624</v>
      </c>
      <c r="G9" s="245">
        <v>46106</v>
      </c>
      <c r="H9" s="245">
        <v>46117</v>
      </c>
      <c r="I9" s="139" t="s">
        <v>408</v>
      </c>
      <c r="J9" s="172" t="s">
        <v>315</v>
      </c>
      <c r="K9" s="246">
        <v>141666.66155799926</v>
      </c>
      <c r="L9" s="246">
        <v>12537.501147641924</v>
      </c>
      <c r="M9" s="246">
        <v>0</v>
      </c>
      <c r="N9" s="246">
        <v>17856.121511552668</v>
      </c>
      <c r="O9" s="246">
        <v>0</v>
      </c>
      <c r="P9" s="246">
        <v>0</v>
      </c>
      <c r="Q9" s="246">
        <f t="shared" si="1"/>
        <v>111273.03889880468</v>
      </c>
      <c r="R9" s="246">
        <f t="shared" si="2"/>
        <v>123810.54004644661</v>
      </c>
      <c r="S9" s="246"/>
      <c r="T9" s="246"/>
      <c r="U9" s="247" t="s">
        <v>439</v>
      </c>
    </row>
    <row r="10" spans="2:21">
      <c r="B10" s="244" t="s">
        <v>426</v>
      </c>
      <c r="C10" s="139">
        <v>91281</v>
      </c>
      <c r="D10" s="171">
        <v>2003001001</v>
      </c>
      <c r="E10" s="139">
        <v>165</v>
      </c>
      <c r="F10" s="139" t="s">
        <v>624</v>
      </c>
      <c r="G10" s="245">
        <v>46106</v>
      </c>
      <c r="H10" s="245">
        <v>46117</v>
      </c>
      <c r="I10" s="139" t="s">
        <v>408</v>
      </c>
      <c r="J10" s="172" t="s">
        <v>315</v>
      </c>
      <c r="K10" s="246">
        <v>26145.068442000746</v>
      </c>
      <c r="L10" s="246">
        <v>2313.8388523580761</v>
      </c>
      <c r="M10" s="246">
        <v>0</v>
      </c>
      <c r="N10" s="246">
        <v>3295.4084884473327</v>
      </c>
      <c r="O10" s="246">
        <v>0</v>
      </c>
      <c r="P10" s="246">
        <v>0</v>
      </c>
      <c r="Q10" s="246">
        <f t="shared" si="1"/>
        <v>20535.821101195339</v>
      </c>
      <c r="R10" s="246">
        <f t="shared" si="2"/>
        <v>22849.659953553415</v>
      </c>
      <c r="S10" s="246"/>
      <c r="T10" s="246"/>
      <c r="U10" s="247" t="s">
        <v>439</v>
      </c>
    </row>
    <row r="11" spans="2:21">
      <c r="B11" s="244" t="s">
        <v>426</v>
      </c>
      <c r="C11" s="139">
        <v>91282</v>
      </c>
      <c r="D11" s="171">
        <v>2003001001</v>
      </c>
      <c r="E11" s="139">
        <v>166</v>
      </c>
      <c r="F11" s="139" t="s">
        <v>624</v>
      </c>
      <c r="G11" s="245">
        <v>46106</v>
      </c>
      <c r="H11" s="245">
        <v>46117</v>
      </c>
      <c r="I11" s="139" t="s">
        <v>408</v>
      </c>
      <c r="J11" s="172" t="s">
        <v>315</v>
      </c>
      <c r="K11" s="246">
        <v>11234.47</v>
      </c>
      <c r="L11" s="246">
        <v>561.72</v>
      </c>
      <c r="M11" s="246">
        <v>561.72</v>
      </c>
      <c r="N11" s="246">
        <v>3382.45</v>
      </c>
      <c r="O11" s="246">
        <v>0</v>
      </c>
      <c r="P11" s="246">
        <v>0</v>
      </c>
      <c r="Q11" s="246">
        <f t="shared" si="1"/>
        <v>6728.58</v>
      </c>
      <c r="R11" s="246">
        <f t="shared" si="2"/>
        <v>7290.3</v>
      </c>
      <c r="S11" s="246"/>
      <c r="T11" s="246"/>
      <c r="U11" s="247" t="s">
        <v>439</v>
      </c>
    </row>
    <row r="12" spans="2:21">
      <c r="B12" s="244" t="s">
        <v>426</v>
      </c>
      <c r="C12" s="139">
        <v>91285</v>
      </c>
      <c r="D12" s="171">
        <v>2002001001</v>
      </c>
      <c r="E12" s="139">
        <v>167</v>
      </c>
      <c r="F12" s="139" t="s">
        <v>624</v>
      </c>
      <c r="G12" s="245">
        <v>46106</v>
      </c>
      <c r="H12" s="245">
        <v>46117</v>
      </c>
      <c r="I12" s="139" t="s">
        <v>408</v>
      </c>
      <c r="J12" s="172" t="s">
        <v>315</v>
      </c>
      <c r="K12" s="246">
        <v>141666.66</v>
      </c>
      <c r="L12" s="246">
        <v>12537.501147641924</v>
      </c>
      <c r="M12" s="246">
        <v>0</v>
      </c>
      <c r="N12" s="246">
        <v>17856.121511552668</v>
      </c>
      <c r="O12" s="246">
        <v>0</v>
      </c>
      <c r="P12" s="246">
        <v>0</v>
      </c>
      <c r="Q12" s="246">
        <f t="shared" si="1"/>
        <v>111273.03734080541</v>
      </c>
      <c r="R12" s="246">
        <f t="shared" si="2"/>
        <v>123810.53848844735</v>
      </c>
      <c r="S12" s="246"/>
      <c r="T12" s="246"/>
      <c r="U12" s="247" t="s">
        <v>439</v>
      </c>
    </row>
    <row r="13" spans="2:21">
      <c r="B13" s="244" t="s">
        <v>426</v>
      </c>
      <c r="C13" s="139">
        <v>91285</v>
      </c>
      <c r="D13" s="171">
        <v>2003001001</v>
      </c>
      <c r="E13" s="139">
        <v>167</v>
      </c>
      <c r="F13" s="139" t="s">
        <v>624</v>
      </c>
      <c r="G13" s="245">
        <v>46106</v>
      </c>
      <c r="H13" s="245">
        <v>46117</v>
      </c>
      <c r="I13" s="139" t="s">
        <v>408</v>
      </c>
      <c r="J13" s="172" t="s">
        <v>315</v>
      </c>
      <c r="K13" s="246">
        <v>26145.07</v>
      </c>
      <c r="L13" s="246">
        <v>2313.8388523580761</v>
      </c>
      <c r="M13" s="246">
        <v>0</v>
      </c>
      <c r="N13" s="246">
        <v>3295.4084884473327</v>
      </c>
      <c r="O13" s="246">
        <v>0</v>
      </c>
      <c r="P13" s="246">
        <v>0</v>
      </c>
      <c r="Q13" s="246">
        <f t="shared" si="1"/>
        <v>20535.822659194593</v>
      </c>
      <c r="R13" s="246">
        <f t="shared" si="2"/>
        <v>22849.661511552669</v>
      </c>
      <c r="S13" s="246"/>
      <c r="T13" s="246"/>
      <c r="U13" s="247" t="s">
        <v>439</v>
      </c>
    </row>
    <row r="14" spans="2:21">
      <c r="B14" s="244" t="s">
        <v>698</v>
      </c>
      <c r="C14" s="139">
        <v>92646</v>
      </c>
      <c r="D14" s="171">
        <v>1001001001</v>
      </c>
      <c r="E14" s="139" t="s">
        <v>407</v>
      </c>
      <c r="F14" s="139" t="s">
        <v>629</v>
      </c>
      <c r="G14" s="245">
        <v>46125</v>
      </c>
      <c r="H14" s="245">
        <v>46142</v>
      </c>
      <c r="I14" s="139" t="s">
        <v>697</v>
      </c>
      <c r="J14" s="172" t="s">
        <v>610</v>
      </c>
      <c r="K14" s="246">
        <v>1850000</v>
      </c>
      <c r="L14" s="246">
        <v>0</v>
      </c>
      <c r="M14" s="246">
        <v>0</v>
      </c>
      <c r="N14" s="246">
        <v>0</v>
      </c>
      <c r="O14" s="246">
        <v>0</v>
      </c>
      <c r="P14" s="246">
        <v>0</v>
      </c>
      <c r="Q14" s="246">
        <f t="shared" si="1"/>
        <v>1850000</v>
      </c>
      <c r="R14" s="246">
        <f t="shared" si="2"/>
        <v>1850000</v>
      </c>
      <c r="T14" s="248" t="s">
        <v>657</v>
      </c>
      <c r="U14" s="248" t="s">
        <v>657</v>
      </c>
    </row>
    <row r="15" spans="2:21">
      <c r="B15" s="244" t="s">
        <v>771</v>
      </c>
      <c r="C15" s="139">
        <v>93393</v>
      </c>
      <c r="D15" s="249">
        <v>2003001001</v>
      </c>
      <c r="E15" s="139">
        <v>187</v>
      </c>
      <c r="F15" s="139" t="s">
        <v>792</v>
      </c>
      <c r="G15" s="245">
        <v>46135</v>
      </c>
      <c r="H15" s="245">
        <v>46147</v>
      </c>
      <c r="I15" s="139" t="s">
        <v>408</v>
      </c>
      <c r="J15" s="172" t="s">
        <v>315</v>
      </c>
      <c r="K15" s="246">
        <v>14486.6</v>
      </c>
      <c r="L15" s="246">
        <v>724.33</v>
      </c>
      <c r="M15" s="246">
        <v>724.33</v>
      </c>
      <c r="N15" s="246">
        <v>4341.58</v>
      </c>
      <c r="O15" s="246">
        <v>0</v>
      </c>
      <c r="P15" s="246">
        <v>0</v>
      </c>
      <c r="Q15" s="246">
        <f t="shared" si="1"/>
        <v>8696.36</v>
      </c>
      <c r="R15" s="246">
        <f t="shared" si="2"/>
        <v>9420.69</v>
      </c>
      <c r="S15" s="246"/>
      <c r="T15" s="246"/>
      <c r="U15" s="247" t="s">
        <v>439</v>
      </c>
    </row>
    <row r="16" spans="2:21">
      <c r="B16" s="244" t="s">
        <v>771</v>
      </c>
      <c r="C16" s="139">
        <v>93392</v>
      </c>
      <c r="D16" s="249">
        <v>2002001001</v>
      </c>
      <c r="E16" s="139">
        <v>186</v>
      </c>
      <c r="F16" s="139" t="s">
        <v>792</v>
      </c>
      <c r="G16" s="245">
        <v>46135</v>
      </c>
      <c r="H16" s="245">
        <v>46147</v>
      </c>
      <c r="I16" s="139" t="s">
        <v>408</v>
      </c>
      <c r="J16" s="172" t="s">
        <v>315</v>
      </c>
      <c r="K16" s="246">
        <v>141666.67000000001</v>
      </c>
      <c r="L16" s="246">
        <v>12537.501147641995</v>
      </c>
      <c r="M16" s="246">
        <v>0</v>
      </c>
      <c r="N16" s="246">
        <v>17856.121511552767</v>
      </c>
      <c r="O16" s="246">
        <v>0</v>
      </c>
      <c r="P16" s="246">
        <v>0</v>
      </c>
      <c r="Q16" s="246">
        <f t="shared" si="1"/>
        <v>111273.04734080525</v>
      </c>
      <c r="R16" s="246">
        <f t="shared" si="2"/>
        <v>123810.54848844724</v>
      </c>
      <c r="S16" s="246"/>
      <c r="T16" s="246"/>
      <c r="U16" s="247" t="s">
        <v>439</v>
      </c>
    </row>
    <row r="17" spans="2:21">
      <c r="B17" s="244" t="s">
        <v>771</v>
      </c>
      <c r="C17" s="139">
        <v>93392</v>
      </c>
      <c r="D17" s="249">
        <v>2003001001</v>
      </c>
      <c r="E17" s="139">
        <v>186</v>
      </c>
      <c r="F17" s="139" t="s">
        <v>792</v>
      </c>
      <c r="G17" s="245">
        <v>46135</v>
      </c>
      <c r="H17" s="245">
        <v>46147</v>
      </c>
      <c r="I17" s="139" t="s">
        <v>408</v>
      </c>
      <c r="J17" s="172" t="s">
        <v>315</v>
      </c>
      <c r="K17" s="246">
        <v>26145.07</v>
      </c>
      <c r="L17" s="246">
        <v>2313.8388523580056</v>
      </c>
      <c r="M17" s="246">
        <v>0</v>
      </c>
      <c r="N17" s="246">
        <v>3295.4084884472327</v>
      </c>
      <c r="O17" s="246">
        <v>0</v>
      </c>
      <c r="P17" s="246">
        <v>0</v>
      </c>
      <c r="Q17" s="246">
        <f t="shared" si="1"/>
        <v>20535.82265919476</v>
      </c>
      <c r="R17" s="246">
        <f t="shared" si="2"/>
        <v>22849.661511552767</v>
      </c>
      <c r="S17" s="246"/>
      <c r="T17" s="246"/>
      <c r="U17" s="247" t="s">
        <v>439</v>
      </c>
    </row>
    <row r="18" spans="2:21">
      <c r="B18" s="244" t="s">
        <v>1062</v>
      </c>
      <c r="C18" s="139">
        <v>95322</v>
      </c>
      <c r="D18" s="249">
        <v>1001001001</v>
      </c>
      <c r="E18" s="139">
        <v>41262</v>
      </c>
      <c r="F18" s="139" t="s">
        <v>812</v>
      </c>
      <c r="G18" s="245">
        <v>46162</v>
      </c>
      <c r="H18" s="245">
        <v>46171</v>
      </c>
      <c r="I18" s="139" t="s">
        <v>697</v>
      </c>
      <c r="J18" s="172" t="s">
        <v>610</v>
      </c>
      <c r="K18" s="246">
        <v>740000</v>
      </c>
      <c r="L18" s="246">
        <v>0</v>
      </c>
      <c r="M18" s="246">
        <v>0</v>
      </c>
      <c r="N18" s="246">
        <v>0</v>
      </c>
      <c r="O18" s="246">
        <v>0</v>
      </c>
      <c r="P18" s="246">
        <v>0</v>
      </c>
      <c r="Q18" s="246">
        <f t="shared" ref="Q18" si="3">K18-SUM(L18:P18)</f>
        <v>740000</v>
      </c>
      <c r="R18" s="246">
        <f t="shared" ref="R18" si="4">L18+Q18</f>
        <v>740000</v>
      </c>
      <c r="S18" s="246"/>
      <c r="T18" s="246" t="s">
        <v>657</v>
      </c>
      <c r="U18" s="248" t="s">
        <v>657</v>
      </c>
    </row>
    <row r="19" spans="2:21">
      <c r="K19" s="246"/>
      <c r="L19" s="246"/>
      <c r="M19" s="246"/>
      <c r="N19" s="246"/>
      <c r="O19" s="246"/>
      <c r="P19" s="246"/>
      <c r="Q19" s="246"/>
      <c r="R19" s="246"/>
      <c r="S19" s="246"/>
      <c r="T19" s="246"/>
    </row>
    <row r="20" spans="2:21">
      <c r="K20" s="246"/>
      <c r="L20" s="246"/>
      <c r="M20" s="246"/>
      <c r="N20" s="246"/>
      <c r="O20" s="246"/>
      <c r="P20" s="246"/>
      <c r="Q20" s="246"/>
      <c r="R20" s="246"/>
      <c r="S20" s="246"/>
      <c r="T20" s="246"/>
    </row>
    <row r="21" spans="2:21">
      <c r="K21" s="246"/>
      <c r="L21" s="246"/>
      <c r="M21" s="246"/>
      <c r="N21" s="246"/>
      <c r="O21" s="246"/>
      <c r="P21" s="246"/>
      <c r="Q21" s="246"/>
      <c r="R21" s="246"/>
      <c r="S21" s="246"/>
      <c r="T21" s="246"/>
    </row>
    <row r="22" spans="2:21">
      <c r="K22" s="246"/>
      <c r="L22" s="246"/>
      <c r="M22" s="246"/>
      <c r="N22" s="246"/>
      <c r="O22" s="246"/>
      <c r="P22" s="246"/>
      <c r="Q22" s="246"/>
      <c r="R22" s="246"/>
      <c r="S22" s="246"/>
      <c r="T22" s="246"/>
    </row>
    <row r="23" spans="2:21">
      <c r="K23" s="246"/>
      <c r="L23" s="246"/>
      <c r="M23" s="246"/>
      <c r="N23" s="246"/>
      <c r="O23" s="246"/>
      <c r="P23" s="246"/>
      <c r="Q23" s="246"/>
      <c r="R23" s="246"/>
      <c r="S23" s="246"/>
      <c r="T23" s="246"/>
    </row>
    <row r="24" spans="2:21">
      <c r="K24" s="246"/>
      <c r="L24" s="246"/>
      <c r="M24" s="246"/>
      <c r="N24" s="246"/>
      <c r="O24" s="246"/>
      <c r="P24" s="246"/>
      <c r="Q24" s="246"/>
      <c r="R24" s="246"/>
      <c r="S24" s="246"/>
      <c r="T24" s="246"/>
    </row>
    <row r="25" spans="2:21">
      <c r="K25" s="246"/>
      <c r="L25" s="246"/>
      <c r="M25" s="246"/>
      <c r="N25" s="246"/>
      <c r="O25" s="246"/>
      <c r="P25" s="246"/>
      <c r="Q25" s="246"/>
      <c r="R25" s="246"/>
      <c r="S25" s="246"/>
      <c r="T25" s="246"/>
    </row>
    <row r="26" spans="2:21">
      <c r="K26" s="246"/>
      <c r="L26" s="246"/>
      <c r="M26" s="246"/>
      <c r="N26" s="246"/>
      <c r="O26" s="246"/>
      <c r="P26" s="246"/>
      <c r="Q26" s="246"/>
      <c r="R26" s="246"/>
      <c r="S26" s="246"/>
      <c r="T26" s="246"/>
    </row>
    <row r="27" spans="2:21">
      <c r="K27" s="246"/>
      <c r="L27" s="246"/>
      <c r="M27" s="246"/>
      <c r="N27" s="246"/>
      <c r="O27" s="246"/>
      <c r="P27" s="246"/>
      <c r="Q27" s="246"/>
      <c r="R27" s="246"/>
      <c r="S27" s="246"/>
      <c r="T27" s="246"/>
    </row>
    <row r="28" spans="2:21">
      <c r="K28" s="246"/>
      <c r="L28" s="246"/>
      <c r="M28" s="246"/>
      <c r="N28" s="246"/>
      <c r="O28" s="246"/>
      <c r="P28" s="246"/>
      <c r="Q28" s="246"/>
      <c r="R28" s="246"/>
      <c r="S28" s="246"/>
      <c r="T28" s="246"/>
    </row>
    <row r="29" spans="2:21">
      <c r="K29" s="246"/>
      <c r="L29" s="246"/>
      <c r="M29" s="246"/>
      <c r="N29" s="246"/>
      <c r="O29" s="246"/>
      <c r="P29" s="246"/>
      <c r="Q29" s="246"/>
      <c r="R29" s="246"/>
      <c r="S29" s="246"/>
      <c r="T29" s="246"/>
    </row>
  </sheetData>
  <autoFilter ref="B5:Q13" xr:uid="{299F868C-4EAB-4E74-97A0-084E9F50B641}"/>
  <phoneticPr fontId="41" type="noConversion"/>
  <conditionalFormatting sqref="C1:C1048576">
    <cfRule type="duplicateValues" dxfId="113" priority="1"/>
  </conditionalFormatting>
  <conditionalFormatting sqref="D6:D14">
    <cfRule type="cellIs" dxfId="112" priority="4" operator="lessThan">
      <formula>0</formula>
    </cfRule>
  </conditionalFormatting>
  <conditionalFormatting sqref="E1:E1048576">
    <cfRule type="duplicateValues" dxfId="111" priority="2"/>
  </conditionalFormatting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24FC5-AA58-470C-BD0A-6CDE8541AF91}">
  <sheetPr>
    <tabColor rgb="FF00B050"/>
    <outlinePr summaryBelow="0"/>
    <pageSetUpPr fitToPage="1"/>
  </sheetPr>
  <dimension ref="A1:L55"/>
  <sheetViews>
    <sheetView showGridLines="0" view="pageBreakPreview" zoomScale="70" zoomScaleNormal="70" zoomScaleSheetLayoutView="70" workbookViewId="0">
      <pane ySplit="1" topLeftCell="A2" activePane="bottomLeft" state="frozen"/>
      <selection pane="bottomLeft" activeCell="H7" sqref="H7"/>
    </sheetView>
  </sheetViews>
  <sheetFormatPr defaultColWidth="9.140625" defaultRowHeight="12.75" outlineLevelRow="4" outlineLevelCol="1"/>
  <cols>
    <col min="1" max="1" width="12.28515625" style="4" customWidth="1"/>
    <col min="2" max="2" width="60.5703125" style="4" customWidth="1" outlineLevel="1"/>
    <col min="3" max="3" width="16.85546875" style="4" customWidth="1" outlineLevel="1"/>
    <col min="4" max="4" width="18.140625" style="4" customWidth="1" outlineLevel="1"/>
    <col min="5" max="5" width="20.42578125" style="4" customWidth="1"/>
    <col min="6" max="6" width="16.28515625" style="4" customWidth="1"/>
    <col min="7" max="7" width="17.5703125" style="4" customWidth="1"/>
    <col min="8" max="8" width="16.7109375" style="4" bestFit="1" customWidth="1"/>
    <col min="9" max="9" width="17.7109375" style="4" bestFit="1" customWidth="1"/>
    <col min="10" max="10" width="16.140625" style="4" customWidth="1"/>
    <col min="11" max="11" width="9.140625" style="4"/>
    <col min="12" max="12" width="10.85546875" style="4" bestFit="1" customWidth="1"/>
    <col min="13" max="16384" width="9.140625" style="4"/>
  </cols>
  <sheetData>
    <row r="1" spans="1:12" s="1" customFormat="1" ht="75.75" customHeight="1">
      <c r="A1" s="268" t="s">
        <v>441</v>
      </c>
      <c r="B1" s="269"/>
      <c r="C1" s="269"/>
      <c r="D1" s="269"/>
      <c r="E1" s="269"/>
      <c r="F1" s="269"/>
      <c r="G1" s="269"/>
      <c r="H1" s="269"/>
      <c r="I1" s="269"/>
      <c r="J1" s="270"/>
    </row>
    <row r="2" spans="1:12" s="3" customFormat="1" ht="24.75" customHeight="1">
      <c r="A2" s="90" t="s">
        <v>442</v>
      </c>
      <c r="B2" s="6" t="s">
        <v>443</v>
      </c>
      <c r="C2" s="7" t="s">
        <v>444</v>
      </c>
      <c r="D2" s="7" t="s">
        <v>445</v>
      </c>
      <c r="E2" s="7" t="s">
        <v>446</v>
      </c>
      <c r="F2" s="7" t="s">
        <v>447</v>
      </c>
      <c r="G2" s="7" t="s">
        <v>448</v>
      </c>
      <c r="H2" s="7" t="s">
        <v>449</v>
      </c>
      <c r="I2" s="7" t="s">
        <v>450</v>
      </c>
      <c r="J2" s="91" t="s">
        <v>451</v>
      </c>
    </row>
    <row r="3" spans="1:12" ht="18.600000000000001" customHeight="1">
      <c r="A3" s="92">
        <v>0</v>
      </c>
      <c r="B3" s="77" t="s">
        <v>452</v>
      </c>
      <c r="C3" s="8">
        <f t="shared" ref="C3:J3" si="0">SUBTOTAL(9,C4:C50)</f>
        <v>27340692.239999995</v>
      </c>
      <c r="D3" s="8" t="e">
        <f t="shared" si="0"/>
        <v>#REF!</v>
      </c>
      <c r="E3" s="8" t="e">
        <f t="shared" si="0"/>
        <v>#REF!</v>
      </c>
      <c r="F3" s="8" t="e">
        <f t="shared" si="0"/>
        <v>#REF!</v>
      </c>
      <c r="G3" s="8" t="e">
        <f t="shared" si="0"/>
        <v>#REF!</v>
      </c>
      <c r="H3" s="8" t="e">
        <f t="shared" si="0"/>
        <v>#REF!</v>
      </c>
      <c r="I3" s="8" t="e">
        <f t="shared" si="0"/>
        <v>#REF!</v>
      </c>
      <c r="J3" s="93" t="e">
        <f t="shared" si="0"/>
        <v>#REF!</v>
      </c>
      <c r="L3" s="74"/>
    </row>
    <row r="4" spans="1:12" ht="20.100000000000001" customHeight="1" outlineLevel="1">
      <c r="A4" s="94">
        <v>1</v>
      </c>
      <c r="B4" s="9" t="s">
        <v>453</v>
      </c>
      <c r="C4" s="10">
        <f t="shared" ref="C4:J4" si="1">SUBTOTAL(9,C5:C26)</f>
        <v>2204808.29</v>
      </c>
      <c r="D4" s="10" t="e">
        <f t="shared" si="1"/>
        <v>#REF!</v>
      </c>
      <c r="E4" s="10" t="e">
        <f t="shared" si="1"/>
        <v>#REF!</v>
      </c>
      <c r="F4" s="10" t="e">
        <f t="shared" si="1"/>
        <v>#REF!</v>
      </c>
      <c r="G4" s="10" t="e">
        <f t="shared" si="1"/>
        <v>#REF!</v>
      </c>
      <c r="H4" s="10" t="e">
        <f t="shared" si="1"/>
        <v>#REF!</v>
      </c>
      <c r="I4" s="10" t="e">
        <f t="shared" si="1"/>
        <v>#REF!</v>
      </c>
      <c r="J4" s="95" t="e">
        <f t="shared" si="1"/>
        <v>#REF!</v>
      </c>
    </row>
    <row r="5" spans="1:12" ht="20.100000000000001" customHeight="1" outlineLevel="2">
      <c r="A5" s="96">
        <v>1001</v>
      </c>
      <c r="B5" s="17" t="s">
        <v>107</v>
      </c>
      <c r="C5" s="18">
        <f t="shared" ref="C5:J5" si="2">SUBTOTAL(9,C6:C26)</f>
        <v>2204808.29</v>
      </c>
      <c r="D5" s="18" t="e">
        <f t="shared" si="2"/>
        <v>#REF!</v>
      </c>
      <c r="E5" s="18" t="e">
        <f t="shared" si="2"/>
        <v>#REF!</v>
      </c>
      <c r="F5" s="18" t="e">
        <f t="shared" si="2"/>
        <v>#REF!</v>
      </c>
      <c r="G5" s="18" t="e">
        <f t="shared" si="2"/>
        <v>#REF!</v>
      </c>
      <c r="H5" s="18" t="e">
        <f t="shared" si="2"/>
        <v>#REF!</v>
      </c>
      <c r="I5" s="18" t="e">
        <f t="shared" si="2"/>
        <v>#REF!</v>
      </c>
      <c r="J5" s="97" t="e">
        <f t="shared" si="2"/>
        <v>#REF!</v>
      </c>
    </row>
    <row r="6" spans="1:12" ht="20.100000000000001" customHeight="1" outlineLevel="3">
      <c r="A6" s="98">
        <v>1001001</v>
      </c>
      <c r="B6" s="19" t="s">
        <v>107</v>
      </c>
      <c r="C6" s="20">
        <f t="shared" ref="C6:J6" si="3">SUBTOTAL(9,C7:C15)</f>
        <v>260075.01</v>
      </c>
      <c r="D6" s="20" t="e">
        <f t="shared" si="3"/>
        <v>#REF!</v>
      </c>
      <c r="E6" s="20" t="e">
        <f t="shared" si="3"/>
        <v>#REF!</v>
      </c>
      <c r="F6" s="20" t="e">
        <f t="shared" si="3"/>
        <v>#REF!</v>
      </c>
      <c r="G6" s="20" t="e">
        <f t="shared" si="3"/>
        <v>#REF!</v>
      </c>
      <c r="H6" s="20" t="e">
        <f t="shared" si="3"/>
        <v>#REF!</v>
      </c>
      <c r="I6" s="20" t="e">
        <f t="shared" si="3"/>
        <v>#REF!</v>
      </c>
      <c r="J6" s="99" t="e">
        <f t="shared" si="3"/>
        <v>#REF!</v>
      </c>
    </row>
    <row r="7" spans="1:12" ht="20.100000000000001" customHeight="1" outlineLevel="4">
      <c r="A7" s="100">
        <v>1001001001</v>
      </c>
      <c r="B7" s="21" t="s">
        <v>454</v>
      </c>
      <c r="C7" s="11">
        <f>VLOOKUP(B7,Comprometido!B:C,2,)</f>
        <v>88636.5</v>
      </c>
      <c r="D7" s="11" t="e">
        <f>VLOOKUP(B7,Comprometido!B:F,5,FALSE)</f>
        <v>#REF!</v>
      </c>
      <c r="E7" s="11" t="e">
        <f>C7-D7</f>
        <v>#REF!</v>
      </c>
      <c r="F7" s="11" t="e">
        <f>SUMIF(#REF!,B7,#REF!)</f>
        <v>#REF!</v>
      </c>
      <c r="G7" s="11" t="e">
        <f>SUMIF(#REF!,B7,#REF!)</f>
        <v>#REF!</v>
      </c>
      <c r="H7" s="11" t="e">
        <f>VLOOKUP(B7,Comprometido!B:H,7,)</f>
        <v>#REF!</v>
      </c>
      <c r="I7" s="11" t="e">
        <f>D7+H7</f>
        <v>#REF!</v>
      </c>
      <c r="J7" s="101" t="e">
        <f>C7-I7</f>
        <v>#REF!</v>
      </c>
    </row>
    <row r="8" spans="1:12" ht="20.100000000000001" customHeight="1" outlineLevel="4">
      <c r="A8" s="100">
        <v>1001001002</v>
      </c>
      <c r="B8" s="36" t="s">
        <v>455</v>
      </c>
      <c r="C8" s="11">
        <f>VLOOKUP(B8,Comprometido!B:C,2,)</f>
        <v>12000</v>
      </c>
      <c r="D8" s="11" t="e">
        <f>VLOOKUP(B8,Comprometido!B:F,5,FALSE)</f>
        <v>#REF!</v>
      </c>
      <c r="E8" s="11" t="e">
        <f t="shared" ref="E8:E15" si="4">C8-D8</f>
        <v>#REF!</v>
      </c>
      <c r="F8" s="11" t="e">
        <f>SUMIF(#REF!,B8,#REF!)</f>
        <v>#REF!</v>
      </c>
      <c r="G8" s="11" t="e">
        <f>SUMIF(#REF!,B8,#REF!)</f>
        <v>#REF!</v>
      </c>
      <c r="H8" s="11" t="e">
        <f>VLOOKUP(B8,Comprometido!B:H,7,)</f>
        <v>#REF!</v>
      </c>
      <c r="I8" s="11" t="e">
        <f t="shared" ref="I8:I15" si="5">D8+H8</f>
        <v>#REF!</v>
      </c>
      <c r="J8" s="101" t="e">
        <f>C8-I8</f>
        <v>#REF!</v>
      </c>
    </row>
    <row r="9" spans="1:12" ht="20.100000000000001" customHeight="1" outlineLevel="4">
      <c r="A9" s="100">
        <v>1001001003</v>
      </c>
      <c r="B9" s="36" t="s">
        <v>116</v>
      </c>
      <c r="C9" s="11">
        <f>VLOOKUP(B9,Comprometido!B:C,2,)</f>
        <v>5000</v>
      </c>
      <c r="D9" s="11" t="e">
        <f>VLOOKUP(B9,Comprometido!B:F,5,FALSE)</f>
        <v>#REF!</v>
      </c>
      <c r="E9" s="11" t="e">
        <f t="shared" ref="E9:E14" si="6">C9-D9</f>
        <v>#REF!</v>
      </c>
      <c r="F9" s="11" t="e">
        <f>SUMIF(#REF!,B9,#REF!)</f>
        <v>#REF!</v>
      </c>
      <c r="G9" s="11" t="e">
        <f>SUMIF(#REF!,B9,#REF!)</f>
        <v>#REF!</v>
      </c>
      <c r="H9" s="11" t="e">
        <f>VLOOKUP(B9,Comprometido!B:H,7,)</f>
        <v>#REF!</v>
      </c>
      <c r="I9" s="11" t="e">
        <f t="shared" ref="I9:I14" si="7">D9+H9</f>
        <v>#REF!</v>
      </c>
      <c r="J9" s="101" t="e">
        <f t="shared" ref="J9:J14" si="8">C9-I9</f>
        <v>#REF!</v>
      </c>
    </row>
    <row r="10" spans="1:12" ht="20.100000000000001" customHeight="1" outlineLevel="4">
      <c r="A10" s="100">
        <v>1001001004</v>
      </c>
      <c r="B10" s="36" t="s">
        <v>456</v>
      </c>
      <c r="C10" s="11">
        <f>VLOOKUP(B10,Comprometido!B:C,2,)</f>
        <v>10500</v>
      </c>
      <c r="D10" s="11" t="e">
        <f>VLOOKUP(B10,Comprometido!B:F,5,FALSE)</f>
        <v>#REF!</v>
      </c>
      <c r="E10" s="11" t="e">
        <f t="shared" si="6"/>
        <v>#REF!</v>
      </c>
      <c r="F10" s="11" t="e">
        <f>SUMIF(#REF!,B10,#REF!)</f>
        <v>#REF!</v>
      </c>
      <c r="G10" s="11" t="e">
        <f>SUMIF(#REF!,B10,#REF!)</f>
        <v>#REF!</v>
      </c>
      <c r="H10" s="11" t="e">
        <f>VLOOKUP(B10,Comprometido!B:H,7,)</f>
        <v>#REF!</v>
      </c>
      <c r="I10" s="11" t="e">
        <f t="shared" si="7"/>
        <v>#REF!</v>
      </c>
      <c r="J10" s="101" t="e">
        <f t="shared" si="8"/>
        <v>#REF!</v>
      </c>
    </row>
    <row r="11" spans="1:12" ht="20.100000000000001" customHeight="1" outlineLevel="4">
      <c r="A11" s="100">
        <v>1001001005</v>
      </c>
      <c r="B11" s="36" t="s">
        <v>457</v>
      </c>
      <c r="C11" s="11">
        <f>VLOOKUP(B11,Comprometido!B:C,2,)</f>
        <v>0</v>
      </c>
      <c r="D11" s="11" t="e">
        <f>VLOOKUP(B11,Comprometido!B:F,5,FALSE)</f>
        <v>#REF!</v>
      </c>
      <c r="E11" s="11" t="e">
        <f t="shared" si="6"/>
        <v>#REF!</v>
      </c>
      <c r="F11" s="11" t="e">
        <f>SUMIF(#REF!,B11,#REF!)</f>
        <v>#REF!</v>
      </c>
      <c r="G11" s="11" t="e">
        <f>SUMIF(#REF!,B11,#REF!)</f>
        <v>#REF!</v>
      </c>
      <c r="H11" s="11" t="e">
        <f>VLOOKUP(B11,Comprometido!B:H,7,)</f>
        <v>#REF!</v>
      </c>
      <c r="I11" s="11" t="e">
        <f t="shared" si="7"/>
        <v>#REF!</v>
      </c>
      <c r="J11" s="101" t="e">
        <f t="shared" si="8"/>
        <v>#REF!</v>
      </c>
    </row>
    <row r="12" spans="1:12" ht="20.100000000000001" customHeight="1" outlineLevel="4">
      <c r="A12" s="100">
        <v>1001001006</v>
      </c>
      <c r="B12" s="36" t="s">
        <v>458</v>
      </c>
      <c r="C12" s="11">
        <f>VLOOKUP(B12,Comprometido!B:C,2,)</f>
        <v>20250</v>
      </c>
      <c r="D12" s="11" t="e">
        <f>VLOOKUP(B12,Comprometido!B:F,5,FALSE)</f>
        <v>#REF!</v>
      </c>
      <c r="E12" s="11" t="e">
        <f t="shared" si="6"/>
        <v>#REF!</v>
      </c>
      <c r="F12" s="11" t="e">
        <f>SUMIF(#REF!,B12,#REF!)</f>
        <v>#REF!</v>
      </c>
      <c r="G12" s="11" t="e">
        <f>SUMIF(#REF!,B12,#REF!)</f>
        <v>#REF!</v>
      </c>
      <c r="H12" s="11" t="e">
        <f>VLOOKUP(B12,Comprometido!B:H,7,)</f>
        <v>#REF!</v>
      </c>
      <c r="I12" s="11" t="e">
        <f t="shared" si="7"/>
        <v>#REF!</v>
      </c>
      <c r="J12" s="101" t="e">
        <f t="shared" si="8"/>
        <v>#REF!</v>
      </c>
    </row>
    <row r="13" spans="1:12" ht="20.100000000000001" customHeight="1" outlineLevel="4">
      <c r="A13" s="100">
        <v>1001001007</v>
      </c>
      <c r="B13" s="36" t="s">
        <v>459</v>
      </c>
      <c r="C13" s="11">
        <f>VLOOKUP(B13,Comprometido!B:C,2,)</f>
        <v>5000</v>
      </c>
      <c r="D13" s="11" t="e">
        <f>VLOOKUP(B13,Comprometido!B:F,5,FALSE)</f>
        <v>#REF!</v>
      </c>
      <c r="E13" s="11" t="e">
        <f t="shared" si="6"/>
        <v>#REF!</v>
      </c>
      <c r="F13" s="11" t="e">
        <f>SUMIF(#REF!,B13,#REF!)</f>
        <v>#REF!</v>
      </c>
      <c r="G13" s="11" t="e">
        <f>SUMIF(#REF!,B13,#REF!)</f>
        <v>#REF!</v>
      </c>
      <c r="H13" s="11" t="e">
        <f>VLOOKUP(B13,Comprometido!B:H,7,)</f>
        <v>#REF!</v>
      </c>
      <c r="I13" s="11" t="e">
        <f t="shared" si="7"/>
        <v>#REF!</v>
      </c>
      <c r="J13" s="101" t="e">
        <f t="shared" si="8"/>
        <v>#REF!</v>
      </c>
    </row>
    <row r="14" spans="1:12" ht="20.100000000000001" customHeight="1" outlineLevel="4">
      <c r="A14" s="100">
        <v>1001001008</v>
      </c>
      <c r="B14" s="36" t="s">
        <v>460</v>
      </c>
      <c r="C14" s="11">
        <f>VLOOKUP(B14,Comprometido!B:C,2,)</f>
        <v>55648.65</v>
      </c>
      <c r="D14" s="11" t="e">
        <f>VLOOKUP(B14,Comprometido!B:F,5,FALSE)</f>
        <v>#REF!</v>
      </c>
      <c r="E14" s="11" t="e">
        <f t="shared" si="6"/>
        <v>#REF!</v>
      </c>
      <c r="F14" s="11" t="e">
        <f>SUMIF(#REF!,B14,#REF!)</f>
        <v>#REF!</v>
      </c>
      <c r="G14" s="11" t="e">
        <f>SUMIF(#REF!,B14,#REF!)</f>
        <v>#REF!</v>
      </c>
      <c r="H14" s="11" t="e">
        <f>VLOOKUP(B14,Comprometido!B:H,7,)</f>
        <v>#REF!</v>
      </c>
      <c r="I14" s="11" t="e">
        <f t="shared" si="7"/>
        <v>#REF!</v>
      </c>
      <c r="J14" s="101" t="e">
        <f t="shared" si="8"/>
        <v>#REF!</v>
      </c>
    </row>
    <row r="15" spans="1:12" ht="20.100000000000001" customHeight="1" outlineLevel="4">
      <c r="A15" s="100">
        <v>1001001009</v>
      </c>
      <c r="B15" s="21" t="s">
        <v>461</v>
      </c>
      <c r="C15" s="11">
        <f>VLOOKUP(B15,Comprometido!B:C,2,)</f>
        <v>63039.86</v>
      </c>
      <c r="D15" s="11" t="e">
        <f>VLOOKUP(B15,Comprometido!B:F,5,FALSE)</f>
        <v>#REF!</v>
      </c>
      <c r="E15" s="11" t="e">
        <f t="shared" si="4"/>
        <v>#REF!</v>
      </c>
      <c r="F15" s="11" t="e">
        <f>SUMIF(#REF!,B15,#REF!)</f>
        <v>#REF!</v>
      </c>
      <c r="G15" s="11" t="e">
        <f>SUMIF(#REF!,B15,#REF!)</f>
        <v>#REF!</v>
      </c>
      <c r="H15" s="11" t="e">
        <f>VLOOKUP(B15,Comprometido!B:H,7,)</f>
        <v>#REF!</v>
      </c>
      <c r="I15" s="11" t="e">
        <f t="shared" si="5"/>
        <v>#REF!</v>
      </c>
      <c r="J15" s="101" t="e">
        <f>C15-I15</f>
        <v>#REF!</v>
      </c>
    </row>
    <row r="16" spans="1:12" ht="20.100000000000001" customHeight="1" outlineLevel="2">
      <c r="A16" s="96">
        <v>1002</v>
      </c>
      <c r="B16" s="17" t="s">
        <v>462</v>
      </c>
      <c r="C16" s="18">
        <f t="shared" ref="C16:J16" si="9">SUBTOTAL(9,C17:C26)</f>
        <v>1944733.28</v>
      </c>
      <c r="D16" s="18" t="e">
        <f t="shared" si="9"/>
        <v>#REF!</v>
      </c>
      <c r="E16" s="18" t="e">
        <f t="shared" si="9"/>
        <v>#REF!</v>
      </c>
      <c r="F16" s="18" t="e">
        <f t="shared" si="9"/>
        <v>#REF!</v>
      </c>
      <c r="G16" s="18" t="e">
        <f t="shared" si="9"/>
        <v>#REF!</v>
      </c>
      <c r="H16" s="18" t="e">
        <f t="shared" si="9"/>
        <v>#REF!</v>
      </c>
      <c r="I16" s="18" t="e">
        <f t="shared" si="9"/>
        <v>#REF!</v>
      </c>
      <c r="J16" s="97" t="e">
        <f t="shared" si="9"/>
        <v>#REF!</v>
      </c>
    </row>
    <row r="17" spans="1:10" ht="20.100000000000001" customHeight="1" outlineLevel="3">
      <c r="A17" s="98">
        <v>1002001</v>
      </c>
      <c r="B17" s="19" t="s">
        <v>463</v>
      </c>
      <c r="C17" s="20">
        <f>SUBTOTAL(9,C18:C23)</f>
        <v>251440.75</v>
      </c>
      <c r="D17" s="20" t="e">
        <f t="shared" ref="D17:J17" si="10">SUBTOTAL(9,D18:D23)</f>
        <v>#REF!</v>
      </c>
      <c r="E17" s="20" t="e">
        <f t="shared" si="10"/>
        <v>#REF!</v>
      </c>
      <c r="F17" s="20" t="e">
        <f t="shared" si="10"/>
        <v>#REF!</v>
      </c>
      <c r="G17" s="20" t="e">
        <f t="shared" si="10"/>
        <v>#REF!</v>
      </c>
      <c r="H17" s="20" t="e">
        <f t="shared" si="10"/>
        <v>#REF!</v>
      </c>
      <c r="I17" s="20" t="e">
        <f t="shared" si="10"/>
        <v>#REF!</v>
      </c>
      <c r="J17" s="99" t="e">
        <f t="shared" si="10"/>
        <v>#REF!</v>
      </c>
    </row>
    <row r="18" spans="1:10" ht="20.100000000000001" customHeight="1" outlineLevel="4">
      <c r="A18" s="100">
        <v>1002001001</v>
      </c>
      <c r="B18" s="21" t="s">
        <v>229</v>
      </c>
      <c r="C18" s="11">
        <f>VLOOKUP(B18,Comprometido!B:C,2,)</f>
        <v>35957.230000000003</v>
      </c>
      <c r="D18" s="11" t="e">
        <f>VLOOKUP(B18,Comprometido!B:F,5,FALSE)</f>
        <v>#REF!</v>
      </c>
      <c r="E18" s="11" t="e">
        <f>C18-D18</f>
        <v>#REF!</v>
      </c>
      <c r="F18" s="11" t="e">
        <f>SUMIF(#REF!,B18,#REF!)</f>
        <v>#REF!</v>
      </c>
      <c r="G18" s="11" t="e">
        <f>SUMIF(#REF!,B18,#REF!)</f>
        <v>#REF!</v>
      </c>
      <c r="H18" s="11" t="e">
        <f>VLOOKUP(B18,Comprometido!B:H,7,)</f>
        <v>#REF!</v>
      </c>
      <c r="I18" s="11" t="e">
        <f>D18+H18</f>
        <v>#REF!</v>
      </c>
      <c r="J18" s="101" t="e">
        <f>C18-I18</f>
        <v>#REF!</v>
      </c>
    </row>
    <row r="19" spans="1:10" ht="20.100000000000001" customHeight="1" outlineLevel="4">
      <c r="A19" s="100">
        <v>1002001002</v>
      </c>
      <c r="B19" s="21" t="s">
        <v>234</v>
      </c>
      <c r="C19" s="11">
        <f>VLOOKUP(B19,Comprometido!B:C,2,)</f>
        <v>16215.92</v>
      </c>
      <c r="D19" s="11" t="e">
        <f>VLOOKUP(B19,Comprometido!B:F,5,FALSE)</f>
        <v>#REF!</v>
      </c>
      <c r="E19" s="11" t="e">
        <f t="shared" ref="E19:E23" si="11">C19-D19</f>
        <v>#REF!</v>
      </c>
      <c r="F19" s="11" t="e">
        <f>SUMIF(#REF!,B19,#REF!)</f>
        <v>#REF!</v>
      </c>
      <c r="G19" s="11" t="e">
        <f>SUMIF(#REF!,B19,#REF!)</f>
        <v>#REF!</v>
      </c>
      <c r="H19" s="11" t="e">
        <f>VLOOKUP(B19,Comprometido!B:H,7,)</f>
        <v>#REF!</v>
      </c>
      <c r="I19" s="11" t="e">
        <f t="shared" ref="I19:I23" si="12">D19+H19</f>
        <v>#REF!</v>
      </c>
      <c r="J19" s="101" t="e">
        <f t="shared" ref="J19:J23" si="13">C19-I19</f>
        <v>#REF!</v>
      </c>
    </row>
    <row r="20" spans="1:10" ht="20.100000000000001" customHeight="1" outlineLevel="4">
      <c r="A20" s="100">
        <v>1002001003</v>
      </c>
      <c r="B20" s="21" t="s">
        <v>226</v>
      </c>
      <c r="C20" s="11">
        <f>VLOOKUP(B20,Comprometido!B:C,2,)</f>
        <v>113400</v>
      </c>
      <c r="D20" s="11" t="e">
        <f>VLOOKUP(B20,Comprometido!B:F,5,FALSE)</f>
        <v>#REF!</v>
      </c>
      <c r="E20" s="11" t="e">
        <f t="shared" si="11"/>
        <v>#REF!</v>
      </c>
      <c r="F20" s="11" t="e">
        <f>SUMIF(#REF!,B20,#REF!)</f>
        <v>#REF!</v>
      </c>
      <c r="G20" s="11" t="e">
        <f>SUMIF(#REF!,B20,#REF!)</f>
        <v>#REF!</v>
      </c>
      <c r="H20" s="11" t="e">
        <f>VLOOKUP(B20,Comprometido!B:H,7,)</f>
        <v>#REF!</v>
      </c>
      <c r="I20" s="11" t="e">
        <f t="shared" si="12"/>
        <v>#REF!</v>
      </c>
      <c r="J20" s="101" t="e">
        <f t="shared" si="13"/>
        <v>#REF!</v>
      </c>
    </row>
    <row r="21" spans="1:10" ht="20.100000000000001" customHeight="1" outlineLevel="4">
      <c r="A21" s="100">
        <v>1002001004</v>
      </c>
      <c r="B21" s="21" t="s">
        <v>238</v>
      </c>
      <c r="C21" s="11">
        <f>VLOOKUP(B21,Comprometido!B:C,2,)</f>
        <v>1400</v>
      </c>
      <c r="D21" s="11" t="e">
        <f>VLOOKUP(B21,Comprometido!B:F,5,FALSE)</f>
        <v>#REF!</v>
      </c>
      <c r="E21" s="11" t="e">
        <f t="shared" si="11"/>
        <v>#REF!</v>
      </c>
      <c r="F21" s="11" t="e">
        <f>SUMIF(#REF!,B21,#REF!)</f>
        <v>#REF!</v>
      </c>
      <c r="G21" s="11" t="e">
        <f>SUMIF(#REF!,B21,#REF!)</f>
        <v>#REF!</v>
      </c>
      <c r="H21" s="11" t="e">
        <f>VLOOKUP(B21,Comprometido!B:H,7,)</f>
        <v>#REF!</v>
      </c>
      <c r="I21" s="11" t="e">
        <f t="shared" si="12"/>
        <v>#REF!</v>
      </c>
      <c r="J21" s="101" t="e">
        <f t="shared" si="13"/>
        <v>#REF!</v>
      </c>
    </row>
    <row r="22" spans="1:10" ht="20.100000000000001" customHeight="1" outlineLevel="4">
      <c r="A22" s="100">
        <v>1002001005</v>
      </c>
      <c r="B22" s="21" t="s">
        <v>232</v>
      </c>
      <c r="C22" s="11">
        <f>VLOOKUP(B22,Comprometido!B:C,2,)</f>
        <v>40840.800000000003</v>
      </c>
      <c r="D22" s="11" t="e">
        <f>VLOOKUP(B22,Comprometido!B:F,5,FALSE)</f>
        <v>#REF!</v>
      </c>
      <c r="E22" s="11" t="e">
        <f t="shared" si="11"/>
        <v>#REF!</v>
      </c>
      <c r="F22" s="11" t="e">
        <f>SUMIF(#REF!,B22,#REF!)</f>
        <v>#REF!</v>
      </c>
      <c r="G22" s="11" t="e">
        <f>SUMIF(#REF!,B22,#REF!)</f>
        <v>#REF!</v>
      </c>
      <c r="H22" s="11" t="e">
        <f>VLOOKUP(B22,Comprometido!B:H,7,)</f>
        <v>#REF!</v>
      </c>
      <c r="I22" s="11" t="e">
        <f t="shared" si="12"/>
        <v>#REF!</v>
      </c>
      <c r="J22" s="101" t="e">
        <f t="shared" si="13"/>
        <v>#REF!</v>
      </c>
    </row>
    <row r="23" spans="1:10" ht="20.100000000000001" customHeight="1" outlineLevel="4">
      <c r="A23" s="100">
        <v>1002001006</v>
      </c>
      <c r="B23" s="21" t="s">
        <v>231</v>
      </c>
      <c r="C23" s="11">
        <f>VLOOKUP(B23,Comprometido!B:C,2,)</f>
        <v>43626.8</v>
      </c>
      <c r="D23" s="11" t="e">
        <f>VLOOKUP(B23,Comprometido!B:F,5,FALSE)</f>
        <v>#REF!</v>
      </c>
      <c r="E23" s="11" t="e">
        <f t="shared" si="11"/>
        <v>#REF!</v>
      </c>
      <c r="F23" s="11" t="e">
        <f>SUMIF(#REF!,B23,#REF!)</f>
        <v>#REF!</v>
      </c>
      <c r="G23" s="11" t="e">
        <f>SUMIF(#REF!,B23,#REF!)</f>
        <v>#REF!</v>
      </c>
      <c r="H23" s="11" t="e">
        <f>VLOOKUP(B23,Comprometido!B:H,7,)</f>
        <v>#REF!</v>
      </c>
      <c r="I23" s="11" t="e">
        <f t="shared" si="12"/>
        <v>#REF!</v>
      </c>
      <c r="J23" s="101" t="e">
        <f t="shared" si="13"/>
        <v>#REF!</v>
      </c>
    </row>
    <row r="24" spans="1:10" ht="20.100000000000001" customHeight="1" outlineLevel="3">
      <c r="A24" s="98">
        <v>1002002</v>
      </c>
      <c r="B24" s="19" t="s">
        <v>464</v>
      </c>
      <c r="C24" s="20">
        <f>SUBTOTAL(9,C25:C26)</f>
        <v>1693292.53</v>
      </c>
      <c r="D24" s="20" t="e">
        <f t="shared" ref="D24:J24" si="14">SUBTOTAL(9,D25:D26)</f>
        <v>#REF!</v>
      </c>
      <c r="E24" s="20" t="e">
        <f t="shared" si="14"/>
        <v>#REF!</v>
      </c>
      <c r="F24" s="20" t="e">
        <f t="shared" si="14"/>
        <v>#REF!</v>
      </c>
      <c r="G24" s="20" t="e">
        <f t="shared" si="14"/>
        <v>#REF!</v>
      </c>
      <c r="H24" s="20" t="e">
        <f t="shared" si="14"/>
        <v>#REF!</v>
      </c>
      <c r="I24" s="20" t="e">
        <f t="shared" si="14"/>
        <v>#REF!</v>
      </c>
      <c r="J24" s="99" t="e">
        <f t="shared" si="14"/>
        <v>#REF!</v>
      </c>
    </row>
    <row r="25" spans="1:10" ht="20.100000000000001" customHeight="1" outlineLevel="4">
      <c r="A25" s="100">
        <v>1002002001</v>
      </c>
      <c r="B25" s="21" t="s">
        <v>465</v>
      </c>
      <c r="C25" s="11">
        <f>VLOOKUP(B25,Comprometido!B:C,2,)</f>
        <v>705178.05</v>
      </c>
      <c r="D25" s="11" t="e">
        <f>VLOOKUP(B25,Comprometido!B:F,5,FALSE)</f>
        <v>#REF!</v>
      </c>
      <c r="E25" s="11" t="e">
        <f>C25-D25</f>
        <v>#REF!</v>
      </c>
      <c r="F25" s="11" t="e">
        <f>SUMIF(#REF!,B25,#REF!)</f>
        <v>#REF!</v>
      </c>
      <c r="G25" s="11" t="e">
        <f>SUMIF(#REF!,B25,#REF!)</f>
        <v>#REF!</v>
      </c>
      <c r="H25" s="11" t="e">
        <f>VLOOKUP(B25,Comprometido!B:H,7,)</f>
        <v>#REF!</v>
      </c>
      <c r="I25" s="11" t="e">
        <f>D25+H25</f>
        <v>#REF!</v>
      </c>
      <c r="J25" s="101" t="e">
        <f>C25-I25</f>
        <v>#REF!</v>
      </c>
    </row>
    <row r="26" spans="1:10" ht="20.100000000000001" customHeight="1" outlineLevel="4">
      <c r="A26" s="100">
        <v>1002002002</v>
      </c>
      <c r="B26" s="21" t="s">
        <v>466</v>
      </c>
      <c r="C26" s="11">
        <f>VLOOKUP(B26,Comprometido!B:C,2,)</f>
        <v>988114.48</v>
      </c>
      <c r="D26" s="11" t="e">
        <f>VLOOKUP(B26,Comprometido!B:F,5,FALSE)</f>
        <v>#REF!</v>
      </c>
      <c r="E26" s="11" t="e">
        <f>C26-D26</f>
        <v>#REF!</v>
      </c>
      <c r="F26" s="11" t="e">
        <f>SUMIF(#REF!,B26,#REF!)</f>
        <v>#REF!</v>
      </c>
      <c r="G26" s="11" t="e">
        <f>SUMIF(#REF!,B26,#REF!)</f>
        <v>#REF!</v>
      </c>
      <c r="H26" s="11" t="e">
        <f>VLOOKUP(B26,Comprometido!B:H,7,)</f>
        <v>#REF!</v>
      </c>
      <c r="I26" s="11" t="e">
        <f>D26+H26</f>
        <v>#REF!</v>
      </c>
      <c r="J26" s="101" t="e">
        <f>C26-I26</f>
        <v>#REF!</v>
      </c>
    </row>
    <row r="27" spans="1:10" ht="20.100000000000001" customHeight="1" outlineLevel="1">
      <c r="A27" s="94">
        <v>2</v>
      </c>
      <c r="B27" s="9" t="s">
        <v>10</v>
      </c>
      <c r="C27" s="10">
        <f t="shared" ref="C27:J27" si="15">SUBTOTAL(9,C28:C50)</f>
        <v>25135883.949999996</v>
      </c>
      <c r="D27" s="10" t="e">
        <f t="shared" si="15"/>
        <v>#REF!</v>
      </c>
      <c r="E27" s="10" t="e">
        <f t="shared" si="15"/>
        <v>#REF!</v>
      </c>
      <c r="F27" s="10" t="e">
        <f t="shared" si="15"/>
        <v>#REF!</v>
      </c>
      <c r="G27" s="10" t="e">
        <f t="shared" si="15"/>
        <v>#REF!</v>
      </c>
      <c r="H27" s="10" t="e">
        <f t="shared" si="15"/>
        <v>#REF!</v>
      </c>
      <c r="I27" s="10" t="e">
        <f t="shared" si="15"/>
        <v>#REF!</v>
      </c>
      <c r="J27" s="95" t="e">
        <f t="shared" si="15"/>
        <v>#REF!</v>
      </c>
    </row>
    <row r="28" spans="1:10" ht="20.100000000000001" customHeight="1" outlineLevel="2">
      <c r="A28" s="96">
        <v>2001</v>
      </c>
      <c r="B28" s="17" t="s">
        <v>10</v>
      </c>
      <c r="C28" s="18">
        <f>SUBTOTAL(9,C29:C43)</f>
        <v>23918849.309999995</v>
      </c>
      <c r="D28" s="18" t="e">
        <f t="shared" ref="D28:J28" si="16">SUBTOTAL(9,D29:D43)</f>
        <v>#REF!</v>
      </c>
      <c r="E28" s="18" t="e">
        <f t="shared" si="16"/>
        <v>#REF!</v>
      </c>
      <c r="F28" s="18" t="e">
        <f t="shared" si="16"/>
        <v>#REF!</v>
      </c>
      <c r="G28" s="18" t="e">
        <f t="shared" si="16"/>
        <v>#REF!</v>
      </c>
      <c r="H28" s="18" t="e">
        <f t="shared" si="16"/>
        <v>#REF!</v>
      </c>
      <c r="I28" s="18" t="e">
        <f t="shared" si="16"/>
        <v>#REF!</v>
      </c>
      <c r="J28" s="97" t="e">
        <f t="shared" si="16"/>
        <v>#REF!</v>
      </c>
    </row>
    <row r="29" spans="1:10" ht="20.100000000000001" customHeight="1" outlineLevel="3">
      <c r="A29" s="100">
        <v>2001001001</v>
      </c>
      <c r="B29" s="21" t="s">
        <v>61</v>
      </c>
      <c r="C29" s="11">
        <f>VLOOKUP(B29,Comprometido!B:C,2,)</f>
        <v>180000</v>
      </c>
      <c r="D29" s="11" t="e">
        <f>VLOOKUP(B29,Comprometido!B:F,5,FALSE)</f>
        <v>#REF!</v>
      </c>
      <c r="E29" s="11" t="e">
        <f t="shared" ref="E29" si="17">C29-D29</f>
        <v>#REF!</v>
      </c>
      <c r="F29" s="11" t="e">
        <f>SUMIF(#REF!,B29,#REF!)</f>
        <v>#REF!</v>
      </c>
      <c r="G29" s="11" t="e">
        <f>SUMIF(#REF!,B29,#REF!)</f>
        <v>#REF!</v>
      </c>
      <c r="H29" s="11" t="e">
        <f>VLOOKUP(B29,Comprometido!B:H,7,)</f>
        <v>#REF!</v>
      </c>
      <c r="I29" s="11" t="e">
        <f t="shared" ref="I29" si="18">D29+H29</f>
        <v>#REF!</v>
      </c>
      <c r="J29" s="101" t="e">
        <f t="shared" ref="J29" si="19">C29-I29</f>
        <v>#REF!</v>
      </c>
    </row>
    <row r="30" spans="1:10" ht="20.100000000000001" customHeight="1" outlineLevel="3">
      <c r="A30" s="100">
        <v>2001001002</v>
      </c>
      <c r="B30" s="36" t="s">
        <v>357</v>
      </c>
      <c r="C30" s="11">
        <f>VLOOKUP(B30,Comprometido!B:C,2,)</f>
        <v>758086.35</v>
      </c>
      <c r="D30" s="11" t="e">
        <f>VLOOKUP(B30,Comprometido!B:F,5,FALSE)</f>
        <v>#REF!</v>
      </c>
      <c r="E30" s="11" t="e">
        <f t="shared" ref="E30:E38" si="20">C30-D30</f>
        <v>#REF!</v>
      </c>
      <c r="F30" s="11" t="e">
        <f>SUMIF(#REF!,B30,#REF!)</f>
        <v>#REF!</v>
      </c>
      <c r="G30" s="11" t="e">
        <f>SUMIF(#REF!,B30,#REF!)</f>
        <v>#REF!</v>
      </c>
      <c r="H30" s="11" t="e">
        <f>VLOOKUP(B30,Comprometido!B:H,7,)</f>
        <v>#REF!</v>
      </c>
      <c r="I30" s="11" t="e">
        <f t="shared" ref="I30:I38" si="21">D30+H30</f>
        <v>#REF!</v>
      </c>
      <c r="J30" s="101" t="e">
        <f t="shared" ref="J30:J38" si="22">C30-I30</f>
        <v>#REF!</v>
      </c>
    </row>
    <row r="31" spans="1:10" ht="20.100000000000001" customHeight="1" outlineLevel="3">
      <c r="A31" s="100">
        <v>2001001003</v>
      </c>
      <c r="B31" s="36" t="s">
        <v>22</v>
      </c>
      <c r="C31" s="11">
        <f>VLOOKUP(B31,Comprometido!B:C,2,)</f>
        <v>678182.84</v>
      </c>
      <c r="D31" s="11" t="e">
        <f>VLOOKUP(B31,Comprometido!B:F,5,FALSE)</f>
        <v>#REF!</v>
      </c>
      <c r="E31" s="11" t="e">
        <f t="shared" si="20"/>
        <v>#REF!</v>
      </c>
      <c r="F31" s="11" t="e">
        <f>SUMIF(#REF!,B31,#REF!)</f>
        <v>#REF!</v>
      </c>
      <c r="G31" s="11" t="e">
        <f>SUMIF(#REF!,B31,#REF!)</f>
        <v>#REF!</v>
      </c>
      <c r="H31" s="11" t="e">
        <f>VLOOKUP(B31,Comprometido!B:H,7,)</f>
        <v>#REF!</v>
      </c>
      <c r="I31" s="11" t="e">
        <f t="shared" si="21"/>
        <v>#REF!</v>
      </c>
      <c r="J31" s="101" t="e">
        <f t="shared" si="22"/>
        <v>#REF!</v>
      </c>
    </row>
    <row r="32" spans="1:10" ht="20.100000000000001" customHeight="1" outlineLevel="3">
      <c r="A32" s="100">
        <v>2001001004</v>
      </c>
      <c r="B32" s="36" t="s">
        <v>467</v>
      </c>
      <c r="C32" s="11">
        <f>VLOOKUP(B32,Comprometido!B:C,2,)</f>
        <v>13947890.17</v>
      </c>
      <c r="D32" s="11" t="e">
        <f>VLOOKUP(B32,Comprometido!B:F,5,FALSE)</f>
        <v>#REF!</v>
      </c>
      <c r="E32" s="11" t="e">
        <f t="shared" si="20"/>
        <v>#REF!</v>
      </c>
      <c r="F32" s="11" t="e">
        <f>SUMIF(#REF!,B32,#REF!)</f>
        <v>#REF!</v>
      </c>
      <c r="G32" s="11" t="e">
        <f>SUMIF(#REF!,B32,#REF!)</f>
        <v>#REF!</v>
      </c>
      <c r="H32" s="11" t="e">
        <f>VLOOKUP(B32,Comprometido!B:H,7,)</f>
        <v>#REF!</v>
      </c>
      <c r="I32" s="11" t="e">
        <f t="shared" si="21"/>
        <v>#REF!</v>
      </c>
      <c r="J32" s="101" t="e">
        <f t="shared" si="22"/>
        <v>#REF!</v>
      </c>
    </row>
    <row r="33" spans="1:10" ht="20.100000000000001" customHeight="1" outlineLevel="3">
      <c r="A33" s="100">
        <v>2001001005</v>
      </c>
      <c r="B33" s="36" t="s">
        <v>468</v>
      </c>
      <c r="C33" s="11">
        <f>VLOOKUP(B33,Comprometido!B:C,2,)</f>
        <v>112500</v>
      </c>
      <c r="D33" s="11" t="e">
        <f>VLOOKUP(B33,Comprometido!B:F,5,FALSE)</f>
        <v>#REF!</v>
      </c>
      <c r="E33" s="11" t="e">
        <f t="shared" si="20"/>
        <v>#REF!</v>
      </c>
      <c r="F33" s="11" t="e">
        <f>SUMIF(#REF!,B33,#REF!)</f>
        <v>#REF!</v>
      </c>
      <c r="G33" s="11" t="e">
        <f>SUMIF(#REF!,B33,#REF!)</f>
        <v>#REF!</v>
      </c>
      <c r="H33" s="11" t="e">
        <f>VLOOKUP(B33,Comprometido!B:H,7,)</f>
        <v>#REF!</v>
      </c>
      <c r="I33" s="11" t="e">
        <f t="shared" si="21"/>
        <v>#REF!</v>
      </c>
      <c r="J33" s="101" t="e">
        <f t="shared" si="22"/>
        <v>#REF!</v>
      </c>
    </row>
    <row r="34" spans="1:10" ht="20.100000000000001" customHeight="1" outlineLevel="3">
      <c r="A34" s="100">
        <v>2001001006</v>
      </c>
      <c r="B34" s="36" t="s">
        <v>469</v>
      </c>
      <c r="C34" s="11">
        <f>VLOOKUP(B34,Comprometido!B:C,2,)</f>
        <v>1999729.23</v>
      </c>
      <c r="D34" s="11" t="e">
        <f>VLOOKUP(B34,Comprometido!B:F,5,FALSE)</f>
        <v>#REF!</v>
      </c>
      <c r="E34" s="11" t="e">
        <f t="shared" si="20"/>
        <v>#REF!</v>
      </c>
      <c r="F34" s="11" t="e">
        <f>SUMIF(#REF!,B34,#REF!)</f>
        <v>#REF!</v>
      </c>
      <c r="G34" s="11" t="e">
        <f>SUMIF(#REF!,B34,#REF!)</f>
        <v>#REF!</v>
      </c>
      <c r="H34" s="11" t="e">
        <f>VLOOKUP(B34,Comprometido!B:H,7,)</f>
        <v>#REF!</v>
      </c>
      <c r="I34" s="11" t="e">
        <f t="shared" si="21"/>
        <v>#REF!</v>
      </c>
      <c r="J34" s="101" t="e">
        <f t="shared" si="22"/>
        <v>#REF!</v>
      </c>
    </row>
    <row r="35" spans="1:10" ht="20.100000000000001" customHeight="1" outlineLevel="3">
      <c r="A35" s="100">
        <v>2001001007</v>
      </c>
      <c r="B35" s="36" t="s">
        <v>360</v>
      </c>
      <c r="C35" s="11">
        <f>VLOOKUP(B35,Comprometido!B:C,2,)</f>
        <v>163431.9</v>
      </c>
      <c r="D35" s="11" t="e">
        <f>VLOOKUP(B35,Comprometido!B:F,5,FALSE)</f>
        <v>#REF!</v>
      </c>
      <c r="E35" s="11" t="e">
        <f t="shared" si="20"/>
        <v>#REF!</v>
      </c>
      <c r="F35" s="11" t="e">
        <f>SUMIF(#REF!,B35,#REF!)</f>
        <v>#REF!</v>
      </c>
      <c r="G35" s="11" t="e">
        <f>SUMIF(#REF!,B35,#REF!)</f>
        <v>#REF!</v>
      </c>
      <c r="H35" s="11" t="e">
        <f>VLOOKUP(B35,Comprometido!B:H,7,)</f>
        <v>#REF!</v>
      </c>
      <c r="I35" s="11" t="e">
        <f t="shared" si="21"/>
        <v>#REF!</v>
      </c>
      <c r="J35" s="101" t="e">
        <f t="shared" si="22"/>
        <v>#REF!</v>
      </c>
    </row>
    <row r="36" spans="1:10" ht="20.100000000000001" customHeight="1" outlineLevel="3">
      <c r="A36" s="100">
        <v>2001001008</v>
      </c>
      <c r="B36" s="36" t="s">
        <v>470</v>
      </c>
      <c r="C36" s="11">
        <f>VLOOKUP(B36,Comprometido!B:C,2,)</f>
        <v>2433866.06</v>
      </c>
      <c r="D36" s="11" t="e">
        <f>VLOOKUP(B36,Comprometido!B:F,5,FALSE)</f>
        <v>#REF!</v>
      </c>
      <c r="E36" s="11" t="e">
        <f t="shared" si="20"/>
        <v>#REF!</v>
      </c>
      <c r="F36" s="11" t="e">
        <f>SUMIF(#REF!,B36,#REF!)</f>
        <v>#REF!</v>
      </c>
      <c r="G36" s="11" t="e">
        <f>SUMIF(#REF!,B36,#REF!)</f>
        <v>#REF!</v>
      </c>
      <c r="H36" s="11" t="e">
        <f>VLOOKUP(B36,Comprometido!B:H,7,)</f>
        <v>#REF!</v>
      </c>
      <c r="I36" s="11" t="e">
        <f t="shared" si="21"/>
        <v>#REF!</v>
      </c>
      <c r="J36" s="101" t="e">
        <f t="shared" si="22"/>
        <v>#REF!</v>
      </c>
    </row>
    <row r="37" spans="1:10" ht="20.100000000000001" customHeight="1" outlineLevel="3">
      <c r="A37" s="100">
        <v>2001001009</v>
      </c>
      <c r="B37" s="36" t="s">
        <v>471</v>
      </c>
      <c r="C37" s="11">
        <f>VLOOKUP(B37,Comprometido!B:C,2,)</f>
        <v>3091250.93</v>
      </c>
      <c r="D37" s="11" t="e">
        <f>VLOOKUP(B37,Comprometido!B:F,5,FALSE)</f>
        <v>#REF!</v>
      </c>
      <c r="E37" s="11" t="e">
        <f t="shared" si="20"/>
        <v>#REF!</v>
      </c>
      <c r="F37" s="11" t="e">
        <f>SUMIF(#REF!,B37,#REF!)</f>
        <v>#REF!</v>
      </c>
      <c r="G37" s="11" t="e">
        <f>SUMIF(#REF!,B37,#REF!)</f>
        <v>#REF!</v>
      </c>
      <c r="H37" s="11" t="e">
        <f>VLOOKUP(B37,Comprometido!B:H,7,)</f>
        <v>#REF!</v>
      </c>
      <c r="I37" s="11" t="e">
        <f t="shared" si="21"/>
        <v>#REF!</v>
      </c>
      <c r="J37" s="101" t="e">
        <f t="shared" si="22"/>
        <v>#REF!</v>
      </c>
    </row>
    <row r="38" spans="1:10" ht="20.100000000000001" customHeight="1" outlineLevel="3">
      <c r="A38" s="100">
        <v>2001001010</v>
      </c>
      <c r="B38" s="36" t="s">
        <v>472</v>
      </c>
      <c r="C38" s="11">
        <f>VLOOKUP(B38,Comprometido!B:C,2,)</f>
        <v>203574.6</v>
      </c>
      <c r="D38" s="11" t="e">
        <f>VLOOKUP(B38,Comprometido!B:F,5,FALSE)</f>
        <v>#REF!</v>
      </c>
      <c r="E38" s="11" t="e">
        <f t="shared" si="20"/>
        <v>#REF!</v>
      </c>
      <c r="F38" s="11" t="e">
        <f>SUMIF(#REF!,B38,#REF!)</f>
        <v>#REF!</v>
      </c>
      <c r="G38" s="11" t="e">
        <f>SUMIF(#REF!,B38,#REF!)</f>
        <v>#REF!</v>
      </c>
      <c r="H38" s="11" t="e">
        <f>VLOOKUP(B38,Comprometido!B:H,7,)</f>
        <v>#REF!</v>
      </c>
      <c r="I38" s="11" t="e">
        <f t="shared" si="21"/>
        <v>#REF!</v>
      </c>
      <c r="J38" s="101" t="e">
        <f t="shared" si="22"/>
        <v>#REF!</v>
      </c>
    </row>
    <row r="39" spans="1:10" ht="20.100000000000001" customHeight="1" outlineLevel="3">
      <c r="A39" s="100">
        <v>2001001011</v>
      </c>
      <c r="B39" s="36" t="s">
        <v>473</v>
      </c>
      <c r="C39" s="11">
        <f>VLOOKUP(B39,Comprometido!B:C,2,)</f>
        <v>71010.720000000001</v>
      </c>
      <c r="D39" s="11" t="e">
        <f>VLOOKUP(B39,Comprometido!B:F,5,FALSE)</f>
        <v>#REF!</v>
      </c>
      <c r="E39" s="11" t="e">
        <f t="shared" ref="E39:E43" si="23">C39-D39</f>
        <v>#REF!</v>
      </c>
      <c r="F39" s="11" t="e">
        <f>SUMIF(#REF!,B39,#REF!)</f>
        <v>#REF!</v>
      </c>
      <c r="G39" s="11" t="e">
        <f>SUMIF(#REF!,B39,#REF!)</f>
        <v>#REF!</v>
      </c>
      <c r="H39" s="11" t="e">
        <f>VLOOKUP(B39,Comprometido!B:H,7,)</f>
        <v>#REF!</v>
      </c>
      <c r="I39" s="11" t="e">
        <f t="shared" ref="I39:I43" si="24">D39+H39</f>
        <v>#REF!</v>
      </c>
      <c r="J39" s="101" t="e">
        <f t="shared" ref="J39:J43" si="25">C39-I39</f>
        <v>#REF!</v>
      </c>
    </row>
    <row r="40" spans="1:10" ht="20.100000000000001" customHeight="1" outlineLevel="3">
      <c r="A40" s="100">
        <v>2001001012</v>
      </c>
      <c r="B40" s="21" t="s">
        <v>474</v>
      </c>
      <c r="C40" s="11">
        <f>VLOOKUP(B40,Comprometido!B:C,2,)</f>
        <v>207712.5</v>
      </c>
      <c r="D40" s="11" t="e">
        <f>VLOOKUP(B40,Comprometido!B:F,5,FALSE)</f>
        <v>#REF!</v>
      </c>
      <c r="E40" s="11" t="e">
        <f t="shared" si="23"/>
        <v>#REF!</v>
      </c>
      <c r="F40" s="11" t="e">
        <f>SUMIF(#REF!,B40,#REF!)</f>
        <v>#REF!</v>
      </c>
      <c r="G40" s="11" t="e">
        <f>SUMIF(#REF!,B40,#REF!)</f>
        <v>#REF!</v>
      </c>
      <c r="H40" s="11" t="e">
        <f>VLOOKUP(B40,Comprometido!B:H,7,)</f>
        <v>#REF!</v>
      </c>
      <c r="I40" s="11" t="e">
        <f t="shared" si="24"/>
        <v>#REF!</v>
      </c>
      <c r="J40" s="101" t="e">
        <f t="shared" si="25"/>
        <v>#REF!</v>
      </c>
    </row>
    <row r="41" spans="1:10" ht="20.100000000000001" customHeight="1" outlineLevel="3">
      <c r="A41" s="100">
        <v>2001001013</v>
      </c>
      <c r="B41" s="21" t="s">
        <v>475</v>
      </c>
      <c r="C41" s="11">
        <f>VLOOKUP(B41,Comprometido!B:C,2,)</f>
        <v>51659.81</v>
      </c>
      <c r="D41" s="11" t="e">
        <f>VLOOKUP(B41,Comprometido!B:F,5,FALSE)</f>
        <v>#REF!</v>
      </c>
      <c r="E41" s="11" t="e">
        <f t="shared" si="23"/>
        <v>#REF!</v>
      </c>
      <c r="F41" s="11" t="e">
        <f>SUMIF(#REF!,B41,#REF!)</f>
        <v>#REF!</v>
      </c>
      <c r="G41" s="11" t="e">
        <f>SUMIF(#REF!,B41,#REF!)</f>
        <v>#REF!</v>
      </c>
      <c r="H41" s="11" t="e">
        <f>VLOOKUP(B41,Comprometido!B:H,7,)</f>
        <v>#REF!</v>
      </c>
      <c r="I41" s="11" t="e">
        <f t="shared" si="24"/>
        <v>#REF!</v>
      </c>
      <c r="J41" s="101" t="e">
        <f t="shared" si="25"/>
        <v>#REF!</v>
      </c>
    </row>
    <row r="42" spans="1:10" ht="20.100000000000001" customHeight="1" outlineLevel="3">
      <c r="A42" s="100">
        <v>2001001014</v>
      </c>
      <c r="B42" s="21" t="s">
        <v>476</v>
      </c>
      <c r="C42" s="11">
        <f>VLOOKUP(B42,Comprometido!B:C,2,)</f>
        <v>3106.2</v>
      </c>
      <c r="D42" s="11" t="e">
        <f>VLOOKUP(B42,Comprometido!B:F,5,FALSE)</f>
        <v>#REF!</v>
      </c>
      <c r="E42" s="11" t="e">
        <f t="shared" si="23"/>
        <v>#REF!</v>
      </c>
      <c r="F42" s="11" t="e">
        <f>SUMIF(#REF!,B42,#REF!)</f>
        <v>#REF!</v>
      </c>
      <c r="G42" s="11" t="e">
        <f>SUMIF(#REF!,B42,#REF!)</f>
        <v>#REF!</v>
      </c>
      <c r="H42" s="11" t="e">
        <f>VLOOKUP(B42,Comprometido!B:H,7,)</f>
        <v>#REF!</v>
      </c>
      <c r="I42" s="11" t="e">
        <f t="shared" si="24"/>
        <v>#REF!</v>
      </c>
      <c r="J42" s="101" t="e">
        <f t="shared" si="25"/>
        <v>#REF!</v>
      </c>
    </row>
    <row r="43" spans="1:10" ht="20.100000000000001" customHeight="1" outlineLevel="3">
      <c r="A43" s="100">
        <v>2001001015</v>
      </c>
      <c r="B43" s="21" t="s">
        <v>477</v>
      </c>
      <c r="C43" s="11">
        <f>VLOOKUP(B43,Comprometido!B:C,2,)</f>
        <v>16848</v>
      </c>
      <c r="D43" s="11" t="e">
        <f>VLOOKUP(B43,Comprometido!B:F,5,FALSE)</f>
        <v>#REF!</v>
      </c>
      <c r="E43" s="11" t="e">
        <f t="shared" si="23"/>
        <v>#REF!</v>
      </c>
      <c r="F43" s="11" t="e">
        <f>SUMIF(#REF!,B43,#REF!)</f>
        <v>#REF!</v>
      </c>
      <c r="G43" s="11" t="e">
        <f>SUMIF(#REF!,B43,#REF!)</f>
        <v>#REF!</v>
      </c>
      <c r="H43" s="11" t="e">
        <f>VLOOKUP(B43,Comprometido!B:H,7,)</f>
        <v>#REF!</v>
      </c>
      <c r="I43" s="11" t="e">
        <f t="shared" si="24"/>
        <v>#REF!</v>
      </c>
      <c r="J43" s="101" t="e">
        <f t="shared" si="25"/>
        <v>#REF!</v>
      </c>
    </row>
    <row r="44" spans="1:10" ht="20.100000000000001" customHeight="1" outlineLevel="2">
      <c r="A44" s="96">
        <v>2002</v>
      </c>
      <c r="B44" s="17" t="s">
        <v>478</v>
      </c>
      <c r="C44" s="18">
        <f>SUBTOTAL(9,C45:C50)</f>
        <v>1217034.6400000001</v>
      </c>
      <c r="D44" s="18" t="e">
        <f t="shared" ref="D44:J44" si="26">SUBTOTAL(9,D45:D50)</f>
        <v>#REF!</v>
      </c>
      <c r="E44" s="18" t="e">
        <f t="shared" si="26"/>
        <v>#REF!</v>
      </c>
      <c r="F44" s="18" t="e">
        <f t="shared" si="26"/>
        <v>#REF!</v>
      </c>
      <c r="G44" s="18" t="e">
        <f t="shared" si="26"/>
        <v>#REF!</v>
      </c>
      <c r="H44" s="18" t="e">
        <f t="shared" si="26"/>
        <v>#REF!</v>
      </c>
      <c r="I44" s="18" t="e">
        <f t="shared" si="26"/>
        <v>#REF!</v>
      </c>
      <c r="J44" s="97" t="e">
        <f t="shared" si="26"/>
        <v>#REF!</v>
      </c>
    </row>
    <row r="45" spans="1:10" ht="20.100000000000001" customHeight="1" outlineLevel="3">
      <c r="A45" s="100">
        <v>2001002001</v>
      </c>
      <c r="B45" s="21" t="s">
        <v>479</v>
      </c>
      <c r="C45" s="11">
        <f>VLOOKUP(B45,Comprometido!B:C,2,)</f>
        <v>459040</v>
      </c>
      <c r="D45" s="11" t="e">
        <f>VLOOKUP(B45,Comprometido!B:F,5,FALSE)</f>
        <v>#REF!</v>
      </c>
      <c r="E45" s="11" t="e">
        <f t="shared" ref="E45:E50" si="27">C45-D45</f>
        <v>#REF!</v>
      </c>
      <c r="F45" s="11" t="e">
        <f>SUMIF(#REF!,B45,#REF!)</f>
        <v>#REF!</v>
      </c>
      <c r="G45" s="11" t="e">
        <f>SUMIF(#REF!,B45,#REF!)</f>
        <v>#REF!</v>
      </c>
      <c r="H45" s="11" t="e">
        <f>VLOOKUP(B45,Comprometido!B:H,7,)</f>
        <v>#REF!</v>
      </c>
      <c r="I45" s="11" t="e">
        <f t="shared" ref="I45:I50" si="28">D45+H45</f>
        <v>#REF!</v>
      </c>
      <c r="J45" s="101" t="e">
        <f t="shared" ref="J45:J50" si="29">C45-I45</f>
        <v>#REF!</v>
      </c>
    </row>
    <row r="46" spans="1:10" ht="20.100000000000001" customHeight="1" outlineLevel="3">
      <c r="A46" s="100">
        <v>2001002002</v>
      </c>
      <c r="B46" s="36" t="s">
        <v>480</v>
      </c>
      <c r="C46" s="11">
        <f>VLOOKUP(B46,Comprometido!B:C,2,)</f>
        <v>140200</v>
      </c>
      <c r="D46" s="11" t="e">
        <f>VLOOKUP(B46,Comprometido!B:F,5,FALSE)</f>
        <v>#REF!</v>
      </c>
      <c r="E46" s="11" t="e">
        <f t="shared" si="27"/>
        <v>#REF!</v>
      </c>
      <c r="F46" s="11" t="e">
        <f>SUMIF(#REF!,B46,#REF!)</f>
        <v>#REF!</v>
      </c>
      <c r="G46" s="11" t="e">
        <f>SUMIF(#REF!,B46,#REF!)</f>
        <v>#REF!</v>
      </c>
      <c r="H46" s="11" t="e">
        <f>VLOOKUP(B46,Comprometido!B:H,7,)</f>
        <v>#REF!</v>
      </c>
      <c r="I46" s="11" t="e">
        <f t="shared" si="28"/>
        <v>#REF!</v>
      </c>
      <c r="J46" s="101" t="e">
        <f t="shared" si="29"/>
        <v>#REF!</v>
      </c>
    </row>
    <row r="47" spans="1:10" ht="20.100000000000001" customHeight="1" outlineLevel="3">
      <c r="A47" s="100">
        <v>2001002003</v>
      </c>
      <c r="B47" s="32" t="s">
        <v>481</v>
      </c>
      <c r="C47" s="11">
        <f>VLOOKUP(B47,Comprometido!B:C,2,)</f>
        <v>137730</v>
      </c>
      <c r="D47" s="11" t="e">
        <f>VLOOKUP(B47,Comprometido!B:F,5,FALSE)</f>
        <v>#REF!</v>
      </c>
      <c r="E47" s="11" t="e">
        <f>C47-D47</f>
        <v>#REF!</v>
      </c>
      <c r="F47" s="11" t="e">
        <f>SUMIF(#REF!,B47,#REF!)</f>
        <v>#REF!</v>
      </c>
      <c r="G47" s="11" t="e">
        <f>SUMIF(#REF!,B47,#REF!)</f>
        <v>#REF!</v>
      </c>
      <c r="H47" s="11" t="e">
        <f>VLOOKUP(B47,Comprometido!B:H,7,)</f>
        <v>#REF!</v>
      </c>
      <c r="I47" s="11" t="e">
        <f t="shared" si="28"/>
        <v>#REF!</v>
      </c>
      <c r="J47" s="101" t="e">
        <f t="shared" si="29"/>
        <v>#REF!</v>
      </c>
    </row>
    <row r="48" spans="1:10" ht="20.100000000000001" customHeight="1" outlineLevel="3">
      <c r="A48" s="100">
        <v>2001002004</v>
      </c>
      <c r="B48" s="21" t="s">
        <v>482</v>
      </c>
      <c r="C48" s="11">
        <f>VLOOKUP(B48,Comprometido!B:C,2,)</f>
        <v>187600</v>
      </c>
      <c r="D48" s="11" t="e">
        <f>VLOOKUP(B48,Comprometido!B:F,5,FALSE)</f>
        <v>#REF!</v>
      </c>
      <c r="E48" s="11" t="e">
        <f t="shared" si="27"/>
        <v>#REF!</v>
      </c>
      <c r="F48" s="11" t="e">
        <f>SUMIF(#REF!,B48,#REF!)</f>
        <v>#REF!</v>
      </c>
      <c r="G48" s="11" t="e">
        <f>SUMIF(#REF!,B48,#REF!)</f>
        <v>#REF!</v>
      </c>
      <c r="H48" s="11" t="e">
        <f>VLOOKUP(B48,Comprometido!B:H,7,)</f>
        <v>#REF!</v>
      </c>
      <c r="I48" s="11" t="e">
        <f t="shared" si="28"/>
        <v>#REF!</v>
      </c>
      <c r="J48" s="101" t="e">
        <f t="shared" si="29"/>
        <v>#REF!</v>
      </c>
    </row>
    <row r="49" spans="1:10" ht="20.100000000000001" customHeight="1" outlineLevel="3">
      <c r="A49" s="100">
        <v>2001002005</v>
      </c>
      <c r="B49" s="21" t="s">
        <v>483</v>
      </c>
      <c r="C49" s="11">
        <f>VLOOKUP(B49,Comprometido!B:C,2,)</f>
        <v>11200</v>
      </c>
      <c r="D49" s="11" t="e">
        <f>VLOOKUP(B49,Comprometido!B:F,5,FALSE)</f>
        <v>#REF!</v>
      </c>
      <c r="E49" s="11" t="e">
        <f t="shared" ref="E49" si="30">C49-D49</f>
        <v>#REF!</v>
      </c>
      <c r="F49" s="11" t="e">
        <f>SUMIF(#REF!,B49,#REF!)</f>
        <v>#REF!</v>
      </c>
      <c r="G49" s="11" t="e">
        <f>SUMIF(#REF!,B49,#REF!)</f>
        <v>#REF!</v>
      </c>
      <c r="H49" s="11" t="e">
        <f>VLOOKUP(B49,Comprometido!B:H,7,)</f>
        <v>#REF!</v>
      </c>
      <c r="I49" s="11" t="e">
        <f t="shared" ref="I49" si="31">D49+H49</f>
        <v>#REF!</v>
      </c>
      <c r="J49" s="101" t="e">
        <f t="shared" ref="J49" si="32">C49-I49</f>
        <v>#REF!</v>
      </c>
    </row>
    <row r="50" spans="1:10" ht="20.100000000000001" customHeight="1" outlineLevel="3" thickBot="1">
      <c r="A50" s="102">
        <v>2001002006</v>
      </c>
      <c r="B50" s="103" t="s">
        <v>132</v>
      </c>
      <c r="C50" s="104">
        <f>VLOOKUP(B50,Comprometido!B:C,2,)</f>
        <v>281264.64000000001</v>
      </c>
      <c r="D50" s="104" t="e">
        <f>VLOOKUP(B50,Comprometido!B:F,5,FALSE)</f>
        <v>#REF!</v>
      </c>
      <c r="E50" s="104" t="e">
        <f t="shared" si="27"/>
        <v>#REF!</v>
      </c>
      <c r="F50" s="104" t="e">
        <f>SUMIF(#REF!,B50,#REF!)</f>
        <v>#REF!</v>
      </c>
      <c r="G50" s="104" t="e">
        <f>SUMIF(#REF!,B50,#REF!)</f>
        <v>#REF!</v>
      </c>
      <c r="H50" s="104" t="e">
        <f>VLOOKUP(B50,Comprometido!B:H,7,)</f>
        <v>#REF!</v>
      </c>
      <c r="I50" s="104" t="e">
        <f t="shared" si="28"/>
        <v>#REF!</v>
      </c>
      <c r="J50" s="105" t="e">
        <f t="shared" si="29"/>
        <v>#REF!</v>
      </c>
    </row>
    <row r="52" spans="1:10">
      <c r="C52" s="74"/>
      <c r="H52" s="74"/>
    </row>
    <row r="53" spans="1:10">
      <c r="C53" s="74"/>
      <c r="D53" s="76"/>
      <c r="I53" s="74"/>
    </row>
    <row r="55" spans="1:10">
      <c r="G55" s="76"/>
    </row>
  </sheetData>
  <autoFilter ref="A2:K50" xr:uid="{D2724FC5-AA58-470C-BD0A-6CDE8541AF91}"/>
  <mergeCells count="1">
    <mergeCell ref="A1:J1"/>
  </mergeCells>
  <phoneticPr fontId="11" type="noConversion"/>
  <conditionalFormatting sqref="A1:XFD1048576">
    <cfRule type="cellIs" dxfId="110" priority="1" operator="lessThan">
      <formula>0</formula>
    </cfRule>
  </conditionalFormatting>
  <conditionalFormatting sqref="J3:J15 J18:J23 J25:J26 J29:J43 J45:J50">
    <cfRule type="cellIs" dxfId="109" priority="18" operator="lessThan">
      <formula>0</formula>
    </cfRule>
    <cfRule type="cellIs" dxfId="108" priority="19" operator="greaterThan">
      <formula>0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47" firstPageNumber="0" fitToHeight="0" pageOrder="overThenDown" orientation="portrait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74E53-AEF0-410F-8FAF-954069C6BAC9}">
  <sheetPr>
    <tabColor rgb="FF92D050"/>
    <pageSetUpPr fitToPage="1"/>
  </sheetPr>
  <dimension ref="B1:N18"/>
  <sheetViews>
    <sheetView showGridLines="0" view="pageBreakPreview" zoomScale="40" zoomScaleNormal="40" zoomScaleSheetLayoutView="40" workbookViewId="0">
      <selection activeCell="D3" sqref="D3"/>
    </sheetView>
  </sheetViews>
  <sheetFormatPr defaultColWidth="9.140625" defaultRowHeight="15" outlineLevelCol="1"/>
  <cols>
    <col min="1" max="1" width="7.140625" style="5" customWidth="1"/>
    <col min="2" max="2" width="17" style="5" customWidth="1"/>
    <col min="3" max="3" width="72.140625" style="5" customWidth="1"/>
    <col min="4" max="4" width="45.5703125" style="5" bestFit="1" customWidth="1"/>
    <col min="5" max="5" width="44.140625" style="5" bestFit="1" customWidth="1"/>
    <col min="6" max="6" width="42" style="5" bestFit="1" customWidth="1"/>
    <col min="7" max="7" width="41.28515625" style="5" bestFit="1" customWidth="1"/>
    <col min="8" max="8" width="42.7109375" style="5" bestFit="1" customWidth="1"/>
    <col min="9" max="9" width="42" style="5" bestFit="1" customWidth="1"/>
    <col min="10" max="10" width="44.85546875" style="5" bestFit="1" customWidth="1"/>
    <col min="11" max="11" width="37" style="5" customWidth="1"/>
    <col min="12" max="12" width="37" style="23" customWidth="1"/>
    <col min="13" max="13" width="37" style="5" hidden="1" customWidth="1" outlineLevel="1"/>
    <col min="14" max="14" width="7.140625" style="5" customWidth="1" collapsed="1"/>
    <col min="15" max="15" width="13.85546875" style="5" customWidth="1"/>
    <col min="16" max="16384" width="9.140625" style="5"/>
  </cols>
  <sheetData>
    <row r="1" spans="2:13" ht="33" customHeight="1"/>
    <row r="2" spans="2:13" s="22" customFormat="1" ht="92.25" customHeight="1">
      <c r="B2" s="113" t="s">
        <v>484</v>
      </c>
      <c r="C2" s="113" t="s">
        <v>1</v>
      </c>
      <c r="D2" s="113" t="s">
        <v>485</v>
      </c>
      <c r="E2" s="113" t="s">
        <v>257</v>
      </c>
      <c r="F2" s="113" t="s">
        <v>4</v>
      </c>
      <c r="G2" s="113" t="s">
        <v>486</v>
      </c>
      <c r="H2" s="113" t="s">
        <v>487</v>
      </c>
      <c r="I2" s="113" t="s">
        <v>261</v>
      </c>
      <c r="J2" s="113" t="s">
        <v>7</v>
      </c>
      <c r="K2" s="113" t="s">
        <v>8</v>
      </c>
      <c r="L2" s="113" t="s">
        <v>488</v>
      </c>
      <c r="M2" s="82" t="s">
        <v>489</v>
      </c>
    </row>
    <row r="3" spans="2:13" ht="66" customHeight="1">
      <c r="B3" s="24">
        <v>1</v>
      </c>
      <c r="C3" s="24" t="s">
        <v>490</v>
      </c>
      <c r="D3" s="86">
        <f>Detalhamento!C27</f>
        <v>25135883.949999996</v>
      </c>
      <c r="E3" s="86" t="e">
        <f>Detalhamento!D27</f>
        <v>#REF!</v>
      </c>
      <c r="F3" s="86" t="e">
        <f>Detalhamento!E27</f>
        <v>#REF!</v>
      </c>
      <c r="G3" s="86" t="e">
        <f>Detalhamento!F27</f>
        <v>#REF!</v>
      </c>
      <c r="H3" s="86" t="e">
        <f>Detalhamento!G27</f>
        <v>#REF!</v>
      </c>
      <c r="I3" s="86" t="e">
        <f>Detalhamento!H27</f>
        <v>#REF!</v>
      </c>
      <c r="J3" s="86" t="e">
        <f>Detalhamento!I27</f>
        <v>#REF!</v>
      </c>
      <c r="K3" s="86" t="e">
        <f>Detalhamento!J27</f>
        <v>#REF!</v>
      </c>
      <c r="L3" s="85" t="e">
        <f>J3/D3</f>
        <v>#REF!</v>
      </c>
      <c r="M3" s="25" t="e">
        <f>J3/3476.74</f>
        <v>#REF!</v>
      </c>
    </row>
    <row r="4" spans="2:13" ht="66" customHeight="1">
      <c r="B4" s="24">
        <v>2</v>
      </c>
      <c r="C4" s="24" t="s">
        <v>107</v>
      </c>
      <c r="D4" s="86">
        <f>Detalhamento!C17+Detalhamento!C6</f>
        <v>511515.76</v>
      </c>
      <c r="E4" s="86" t="e">
        <f>Detalhamento!D17+Detalhamento!D6</f>
        <v>#REF!</v>
      </c>
      <c r="F4" s="86" t="e">
        <f>Detalhamento!E17+Detalhamento!E6</f>
        <v>#REF!</v>
      </c>
      <c r="G4" s="86" t="e">
        <f>Detalhamento!F17+Detalhamento!F6</f>
        <v>#REF!</v>
      </c>
      <c r="H4" s="86" t="e">
        <f>Detalhamento!G17+Detalhamento!G6</f>
        <v>#REF!</v>
      </c>
      <c r="I4" s="86" t="e">
        <f>Detalhamento!H17+Detalhamento!H6</f>
        <v>#REF!</v>
      </c>
      <c r="J4" s="86" t="e">
        <f>Detalhamento!I17+Detalhamento!I6</f>
        <v>#REF!</v>
      </c>
      <c r="K4" s="86" t="e">
        <f>Detalhamento!J17+Detalhamento!J6</f>
        <v>#REF!</v>
      </c>
      <c r="L4" s="26" t="e">
        <f>J4/D4</f>
        <v>#REF!</v>
      </c>
      <c r="M4" s="25" t="e">
        <f t="shared" ref="M4:M5" si="0">J4/3476.74</f>
        <v>#REF!</v>
      </c>
    </row>
    <row r="5" spans="2:13" ht="66" customHeight="1">
      <c r="B5" s="24">
        <v>3</v>
      </c>
      <c r="C5" s="24" t="s">
        <v>491</v>
      </c>
      <c r="D5" s="86">
        <f>Detalhamento!C26</f>
        <v>988114.48</v>
      </c>
      <c r="E5" s="86" t="e">
        <f>Detalhamento!D26</f>
        <v>#REF!</v>
      </c>
      <c r="F5" s="86" t="e">
        <f>Detalhamento!E26</f>
        <v>#REF!</v>
      </c>
      <c r="G5" s="86" t="e">
        <f>Detalhamento!F26</f>
        <v>#REF!</v>
      </c>
      <c r="H5" s="86" t="e">
        <f>Detalhamento!G26</f>
        <v>#REF!</v>
      </c>
      <c r="I5" s="86" t="e">
        <f>Detalhamento!H26</f>
        <v>#REF!</v>
      </c>
      <c r="J5" s="86" t="e">
        <f>Detalhamento!I26</f>
        <v>#REF!</v>
      </c>
      <c r="K5" s="86" t="e">
        <f>Detalhamento!J26</f>
        <v>#REF!</v>
      </c>
      <c r="L5" s="85" t="e">
        <f>J5/D5</f>
        <v>#REF!</v>
      </c>
      <c r="M5" s="25" t="e">
        <f t="shared" si="0"/>
        <v>#REF!</v>
      </c>
    </row>
    <row r="6" spans="2:13" ht="66" customHeight="1">
      <c r="B6" s="24">
        <v>4</v>
      </c>
      <c r="C6" s="24" t="s">
        <v>492</v>
      </c>
      <c r="D6" s="86">
        <f>Detalhamento!C25</f>
        <v>705178.05</v>
      </c>
      <c r="E6" s="86" t="e">
        <f>Detalhamento!D25</f>
        <v>#REF!</v>
      </c>
      <c r="F6" s="86" t="e">
        <f>Detalhamento!E25</f>
        <v>#REF!</v>
      </c>
      <c r="G6" s="86" t="e">
        <f>Detalhamento!F25</f>
        <v>#REF!</v>
      </c>
      <c r="H6" s="86" t="e">
        <f>Detalhamento!G25</f>
        <v>#REF!</v>
      </c>
      <c r="I6" s="86" t="e">
        <f>Detalhamento!H25</f>
        <v>#REF!</v>
      </c>
      <c r="J6" s="86" t="e">
        <f>Detalhamento!I25</f>
        <v>#REF!</v>
      </c>
      <c r="K6" s="86" t="e">
        <f>Detalhamento!J25</f>
        <v>#REF!</v>
      </c>
      <c r="L6" s="85" t="e">
        <f>J6/D6</f>
        <v>#REF!</v>
      </c>
      <c r="M6" s="25" t="e">
        <f>J6/3476.74</f>
        <v>#REF!</v>
      </c>
    </row>
    <row r="7" spans="2:13" ht="66" customHeight="1">
      <c r="B7" s="271" t="s">
        <v>269</v>
      </c>
      <c r="C7" s="271"/>
      <c r="D7" s="87">
        <f t="shared" ref="D7:M7" si="1">SUM(D3:D6)</f>
        <v>27340692.239999998</v>
      </c>
      <c r="E7" s="87" t="e">
        <f t="shared" si="1"/>
        <v>#REF!</v>
      </c>
      <c r="F7" s="87" t="e">
        <f t="shared" si="1"/>
        <v>#REF!</v>
      </c>
      <c r="G7" s="87" t="e">
        <f t="shared" si="1"/>
        <v>#REF!</v>
      </c>
      <c r="H7" s="87" t="e">
        <f t="shared" si="1"/>
        <v>#REF!</v>
      </c>
      <c r="I7" s="87" t="e">
        <f t="shared" si="1"/>
        <v>#REF!</v>
      </c>
      <c r="J7" s="87" t="e">
        <f t="shared" si="1"/>
        <v>#REF!</v>
      </c>
      <c r="K7" s="87" t="e">
        <f t="shared" si="1"/>
        <v>#REF!</v>
      </c>
      <c r="L7" s="84" t="e">
        <f>J7/D7</f>
        <v>#REF!</v>
      </c>
      <c r="M7" s="27" t="e">
        <f t="shared" si="1"/>
        <v>#REF!</v>
      </c>
    </row>
    <row r="8" spans="2:13" ht="33" customHeight="1"/>
    <row r="10" spans="2:13">
      <c r="J10" s="34"/>
    </row>
    <row r="13" spans="2:13">
      <c r="G13" s="34"/>
      <c r="I13" s="34"/>
      <c r="J13" s="34"/>
    </row>
    <row r="15" spans="2:13">
      <c r="F15" s="75"/>
    </row>
    <row r="16" spans="2:13">
      <c r="F16" s="34"/>
    </row>
    <row r="17" spans="4:6">
      <c r="D17" s="34"/>
    </row>
    <row r="18" spans="4:6">
      <c r="F18" s="35"/>
    </row>
  </sheetData>
  <mergeCells count="1">
    <mergeCell ref="B7:C7"/>
  </mergeCells>
  <conditionalFormatting sqref="D3:K6">
    <cfRule type="cellIs" dxfId="107" priority="2" operator="lessThan">
      <formula>0</formula>
    </cfRule>
  </conditionalFormatting>
  <conditionalFormatting sqref="K1:K2 K8:K1048576">
    <cfRule type="cellIs" dxfId="106" priority="100" operator="lessThan">
      <formula>0</formula>
    </cfRule>
  </conditionalFormatting>
  <conditionalFormatting sqref="K7">
    <cfRule type="cellIs" dxfId="105" priority="1" operator="lessThan">
      <formula>0</formula>
    </cfRule>
  </conditionalFormatting>
  <conditionalFormatting sqref="L1:L7">
    <cfRule type="cellIs" dxfId="104" priority="9" operator="lessThan">
      <formula>1</formula>
    </cfRule>
  </conditionalFormatting>
  <conditionalFormatting sqref="L3:L7">
    <cfRule type="cellIs" dxfId="103" priority="8" operator="greaterThan">
      <formula>1</formula>
    </cfRule>
  </conditionalFormatting>
  <pageMargins left="0.511811024" right="0.511811024" top="0.78740157499999996" bottom="0.78740157499999996" header="0.31496062000000002" footer="0.31496062000000002"/>
  <pageSetup paperSize="9" scale="28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2A6A-17AE-4529-93A8-BDB0B631A9C8}">
  <dimension ref="B2:M48"/>
  <sheetViews>
    <sheetView showGridLines="0" zoomScale="70" zoomScaleNormal="70" workbookViewId="0">
      <pane xSplit="2" ySplit="9" topLeftCell="C10" activePane="bottomRight" state="frozen"/>
      <selection pane="topRight" activeCell="C1" sqref="C1"/>
      <selection pane="bottomLeft" activeCell="A8" sqref="A8"/>
      <selection pane="bottomRight" activeCell="C16" sqref="C16"/>
    </sheetView>
  </sheetViews>
  <sheetFormatPr defaultRowHeight="15" outlineLevelCol="1"/>
  <cols>
    <col min="1" max="1" width="5.7109375" customWidth="1"/>
    <col min="2" max="2" width="62.7109375" style="33" bestFit="1" customWidth="1"/>
    <col min="3" max="3" width="30.140625" style="16" customWidth="1"/>
    <col min="4" max="4" width="21" style="16" customWidth="1"/>
    <col min="5" max="5" width="23.42578125" style="16" customWidth="1"/>
    <col min="6" max="6" width="24.42578125" style="16" customWidth="1"/>
    <col min="7" max="7" width="19.7109375" style="16" customWidth="1"/>
    <col min="8" max="8" width="23.7109375" style="12" customWidth="1"/>
    <col min="9" max="9" width="19.7109375" style="16" customWidth="1"/>
    <col min="10" max="10" width="2.28515625" customWidth="1"/>
    <col min="11" max="11" width="28.7109375" style="16" hidden="1" customWidth="1" outlineLevel="1"/>
    <col min="12" max="12" width="2.140625" customWidth="1" collapsed="1"/>
    <col min="13" max="13" width="28.7109375" style="16" bestFit="1" customWidth="1"/>
    <col min="15" max="15" width="17.5703125" customWidth="1"/>
  </cols>
  <sheetData>
    <row r="2" spans="2:13" ht="18.75">
      <c r="B2" s="110" t="s">
        <v>249</v>
      </c>
      <c r="C2" s="83" t="s">
        <v>493</v>
      </c>
    </row>
    <row r="3" spans="2:13" ht="18.75">
      <c r="B3" s="110" t="s">
        <v>251</v>
      </c>
      <c r="C3" s="109">
        <v>45931</v>
      </c>
      <c r="E3" s="16">
        <f>-50754.38+6718</f>
        <v>-44036.38</v>
      </c>
    </row>
    <row r="4" spans="2:13" ht="18.75">
      <c r="B4" s="110" t="s">
        <v>252</v>
      </c>
      <c r="C4" s="109">
        <v>46112</v>
      </c>
    </row>
    <row r="5" spans="2:13" ht="18.75">
      <c r="B5" s="110" t="s">
        <v>253</v>
      </c>
      <c r="C5" s="83" t="s">
        <v>494</v>
      </c>
    </row>
    <row r="7" spans="2:13">
      <c r="B7" s="88" t="s">
        <v>255</v>
      </c>
      <c r="C7" s="89">
        <f>SUBTOTAL(9,C10:C48)</f>
        <v>27340692.239999995</v>
      </c>
      <c r="D7" s="89" t="e">
        <f t="shared" ref="D7:I7" si="0">SUBTOTAL(9,D10:D48)</f>
        <v>#REF!</v>
      </c>
      <c r="E7" s="89">
        <f t="shared" si="0"/>
        <v>-559606.38</v>
      </c>
      <c r="F7" s="89" t="e">
        <f t="shared" si="0"/>
        <v>#REF!</v>
      </c>
      <c r="G7" s="89" t="e">
        <f t="shared" si="0"/>
        <v>#REF!</v>
      </c>
      <c r="H7" s="89" t="e">
        <f t="shared" si="0"/>
        <v>#REF!</v>
      </c>
      <c r="I7" s="89">
        <f t="shared" si="0"/>
        <v>0</v>
      </c>
    </row>
    <row r="9" spans="2:13" s="1" customFormat="1" ht="30">
      <c r="B9" s="80" t="s">
        <v>256</v>
      </c>
      <c r="C9" s="79" t="s">
        <v>2</v>
      </c>
      <c r="D9" s="81" t="s">
        <v>257</v>
      </c>
      <c r="E9" s="81" t="s">
        <v>258</v>
      </c>
      <c r="F9" s="79" t="s">
        <v>259</v>
      </c>
      <c r="G9" s="79" t="s">
        <v>260</v>
      </c>
      <c r="H9" s="13" t="s">
        <v>261</v>
      </c>
      <c r="I9" s="79" t="s">
        <v>262</v>
      </c>
      <c r="K9" s="79" t="s">
        <v>495</v>
      </c>
      <c r="M9" s="79" t="s">
        <v>496</v>
      </c>
    </row>
    <row r="10" spans="2:13">
      <c r="B10" s="78" t="s">
        <v>454</v>
      </c>
      <c r="C10" s="14">
        <f>M10</f>
        <v>88636.5</v>
      </c>
      <c r="D10" s="14" t="e">
        <f>SUMIF(#REF!,B10,#REF!)</f>
        <v>#REF!</v>
      </c>
      <c r="E10" s="14">
        <v>0</v>
      </c>
      <c r="F10" s="14" t="e">
        <f>D10+E10+I10</f>
        <v>#REF!</v>
      </c>
      <c r="G10" s="14" t="e">
        <f t="shared" ref="G10:G45" si="1">C10-F10</f>
        <v>#REF!</v>
      </c>
      <c r="H10" s="15" t="e">
        <f>IF(G10&gt;0,G10,0)</f>
        <v>#REF!</v>
      </c>
      <c r="I10" s="14"/>
      <c r="K10" s="14">
        <v>86072.93</v>
      </c>
      <c r="M10" s="14">
        <v>88636.5</v>
      </c>
    </row>
    <row r="11" spans="2:13">
      <c r="B11" s="78" t="s">
        <v>455</v>
      </c>
      <c r="C11" s="14">
        <f t="shared" ref="C11:C48" si="2">M11</f>
        <v>12000</v>
      </c>
      <c r="D11" s="14" t="e">
        <f>SUMIF(#REF!,B11,#REF!)</f>
        <v>#REF!</v>
      </c>
      <c r="E11" s="14">
        <v>0</v>
      </c>
      <c r="F11" s="14" t="e">
        <f t="shared" ref="F11:F48" si="3">D11+E11+I11</f>
        <v>#REF!</v>
      </c>
      <c r="G11" s="14" t="e">
        <f t="shared" si="1"/>
        <v>#REF!</v>
      </c>
      <c r="H11" s="15" t="e">
        <f t="shared" ref="H11:H48" si="4">IF(G11&gt;0,G11,0)</f>
        <v>#REF!</v>
      </c>
      <c r="I11" s="14"/>
      <c r="K11" s="14">
        <v>12000</v>
      </c>
      <c r="M11" s="14">
        <v>12000</v>
      </c>
    </row>
    <row r="12" spans="2:13">
      <c r="B12" s="78" t="s">
        <v>116</v>
      </c>
      <c r="C12" s="14">
        <f t="shared" si="2"/>
        <v>5000</v>
      </c>
      <c r="D12" s="14" t="e">
        <f>SUMIF(#REF!,B12,#REF!)</f>
        <v>#REF!</v>
      </c>
      <c r="E12" s="14">
        <v>0</v>
      </c>
      <c r="F12" s="14" t="e">
        <f t="shared" si="3"/>
        <v>#REF!</v>
      </c>
      <c r="G12" s="14" t="e">
        <f t="shared" si="1"/>
        <v>#REF!</v>
      </c>
      <c r="H12" s="15" t="e">
        <f t="shared" si="4"/>
        <v>#REF!</v>
      </c>
      <c r="I12" s="14"/>
      <c r="K12" s="14">
        <v>5000</v>
      </c>
      <c r="M12" s="14">
        <v>5000</v>
      </c>
    </row>
    <row r="13" spans="2:13">
      <c r="B13" s="78" t="s">
        <v>456</v>
      </c>
      <c r="C13" s="14">
        <f t="shared" si="2"/>
        <v>10500</v>
      </c>
      <c r="D13" s="14" t="e">
        <f>SUMIF(#REF!,B13,#REF!)</f>
        <v>#REF!</v>
      </c>
      <c r="E13" s="14">
        <v>0</v>
      </c>
      <c r="F13" s="14" t="e">
        <f t="shared" si="3"/>
        <v>#REF!</v>
      </c>
      <c r="G13" s="14" t="e">
        <f t="shared" si="1"/>
        <v>#REF!</v>
      </c>
      <c r="H13" s="15" t="e">
        <f t="shared" si="4"/>
        <v>#REF!</v>
      </c>
      <c r="I13" s="14"/>
      <c r="K13" s="14">
        <v>10500</v>
      </c>
      <c r="M13" s="14">
        <v>10500</v>
      </c>
    </row>
    <row r="14" spans="2:13">
      <c r="B14" s="78" t="s">
        <v>457</v>
      </c>
      <c r="C14" s="14">
        <f t="shared" si="2"/>
        <v>0</v>
      </c>
      <c r="D14" s="14" t="e">
        <f>SUMIF(#REF!,B14,#REF!)</f>
        <v>#REF!</v>
      </c>
      <c r="E14" s="14">
        <v>0</v>
      </c>
      <c r="F14" s="14" t="e">
        <f t="shared" si="3"/>
        <v>#REF!</v>
      </c>
      <c r="G14" s="14" t="e">
        <f t="shared" si="1"/>
        <v>#REF!</v>
      </c>
      <c r="H14" s="15" t="e">
        <f t="shared" si="4"/>
        <v>#REF!</v>
      </c>
      <c r="I14" s="14"/>
      <c r="K14" s="14">
        <v>0</v>
      </c>
      <c r="M14" s="14">
        <v>0</v>
      </c>
    </row>
    <row r="15" spans="2:13">
      <c r="B15" s="78" t="s">
        <v>458</v>
      </c>
      <c r="C15" s="14">
        <f t="shared" si="2"/>
        <v>20250</v>
      </c>
      <c r="D15" s="14" t="e">
        <f>SUMIF(#REF!,B15,#REF!)</f>
        <v>#REF!</v>
      </c>
      <c r="E15" s="14">
        <v>0</v>
      </c>
      <c r="F15" s="14" t="e">
        <f t="shared" si="3"/>
        <v>#REF!</v>
      </c>
      <c r="G15" s="14" t="e">
        <f t="shared" si="1"/>
        <v>#REF!</v>
      </c>
      <c r="H15" s="15" t="e">
        <f t="shared" si="4"/>
        <v>#REF!</v>
      </c>
      <c r="I15" s="14"/>
      <c r="K15" s="14">
        <v>20250</v>
      </c>
      <c r="M15" s="14">
        <v>20250</v>
      </c>
    </row>
    <row r="16" spans="2:13">
      <c r="B16" s="78" t="s">
        <v>459</v>
      </c>
      <c r="C16" s="14">
        <f t="shared" si="2"/>
        <v>5000</v>
      </c>
      <c r="D16" s="14" t="e">
        <f>SUMIF(#REF!,B16,#REF!)</f>
        <v>#REF!</v>
      </c>
      <c r="E16" s="14">
        <v>0</v>
      </c>
      <c r="F16" s="14" t="e">
        <f t="shared" si="3"/>
        <v>#REF!</v>
      </c>
      <c r="G16" s="14" t="e">
        <f t="shared" si="1"/>
        <v>#REF!</v>
      </c>
      <c r="H16" s="15" t="e">
        <f t="shared" si="4"/>
        <v>#REF!</v>
      </c>
      <c r="I16" s="14"/>
      <c r="K16" s="14">
        <v>5000</v>
      </c>
      <c r="M16" s="14">
        <v>5000</v>
      </c>
    </row>
    <row r="17" spans="2:13">
      <c r="B17" s="78" t="s">
        <v>460</v>
      </c>
      <c r="C17" s="14">
        <f t="shared" si="2"/>
        <v>55648.65</v>
      </c>
      <c r="D17" s="14" t="e">
        <f>SUMIF(#REF!,B17,#REF!)</f>
        <v>#REF!</v>
      </c>
      <c r="E17" s="14">
        <v>0</v>
      </c>
      <c r="F17" s="14" t="e">
        <f t="shared" si="3"/>
        <v>#REF!</v>
      </c>
      <c r="G17" s="14" t="e">
        <f t="shared" si="1"/>
        <v>#REF!</v>
      </c>
      <c r="H17" s="15" t="e">
        <f t="shared" si="4"/>
        <v>#REF!</v>
      </c>
      <c r="I17" s="14"/>
      <c r="K17" s="14">
        <v>0</v>
      </c>
      <c r="M17" s="14">
        <v>55648.65</v>
      </c>
    </row>
    <row r="18" spans="2:13">
      <c r="B18" s="78" t="s">
        <v>461</v>
      </c>
      <c r="C18" s="14">
        <f t="shared" si="2"/>
        <v>63039.86</v>
      </c>
      <c r="D18" s="14" t="e">
        <f>SUMIF(#REF!,B18,#REF!)</f>
        <v>#REF!</v>
      </c>
      <c r="E18" s="14">
        <v>0</v>
      </c>
      <c r="F18" s="14" t="e">
        <f t="shared" ref="F18" si="5">D18+E18+I18</f>
        <v>#REF!</v>
      </c>
      <c r="G18" s="14" t="e">
        <f t="shared" ref="G18" si="6">C18-F18</f>
        <v>#REF!</v>
      </c>
      <c r="H18" s="15" t="e">
        <f t="shared" ref="H18" si="7">IF(G18&gt;0,G18,0)</f>
        <v>#REF!</v>
      </c>
      <c r="I18" s="14"/>
      <c r="K18" s="14"/>
      <c r="M18" s="14">
        <v>63039.86</v>
      </c>
    </row>
    <row r="19" spans="2:13">
      <c r="B19" s="78" t="s">
        <v>229</v>
      </c>
      <c r="C19" s="14">
        <f t="shared" si="2"/>
        <v>35957.230000000003</v>
      </c>
      <c r="D19" s="14" t="e">
        <f>SUMIF(#REF!,B19,#REF!)</f>
        <v>#REF!</v>
      </c>
      <c r="E19" s="14">
        <v>0</v>
      </c>
      <c r="F19" s="14" t="e">
        <f t="shared" si="3"/>
        <v>#REF!</v>
      </c>
      <c r="G19" s="14" t="e">
        <f t="shared" si="1"/>
        <v>#REF!</v>
      </c>
      <c r="H19" s="15" t="e">
        <f t="shared" si="4"/>
        <v>#REF!</v>
      </c>
      <c r="I19" s="14"/>
      <c r="K19" s="14">
        <v>35957.230000000003</v>
      </c>
      <c r="M19" s="14">
        <v>35957.230000000003</v>
      </c>
    </row>
    <row r="20" spans="2:13">
      <c r="B20" s="78" t="s">
        <v>234</v>
      </c>
      <c r="C20" s="14">
        <f t="shared" si="2"/>
        <v>16215.92</v>
      </c>
      <c r="D20" s="14" t="e">
        <f>SUMIF(#REF!,B20,#REF!)</f>
        <v>#REF!</v>
      </c>
      <c r="E20" s="14">
        <v>0</v>
      </c>
      <c r="F20" s="14" t="e">
        <f t="shared" si="3"/>
        <v>#REF!</v>
      </c>
      <c r="G20" s="14" t="e">
        <f t="shared" si="1"/>
        <v>#REF!</v>
      </c>
      <c r="H20" s="15" t="e">
        <f t="shared" si="4"/>
        <v>#REF!</v>
      </c>
      <c r="I20" s="14"/>
      <c r="K20" s="14">
        <v>16215.92</v>
      </c>
      <c r="M20" s="14">
        <v>16215.92</v>
      </c>
    </row>
    <row r="21" spans="2:13">
      <c r="B21" s="78" t="s">
        <v>226</v>
      </c>
      <c r="C21" s="14">
        <f t="shared" si="2"/>
        <v>113400</v>
      </c>
      <c r="D21" s="14" t="e">
        <f>SUMIF(#REF!,B21,#REF!)</f>
        <v>#REF!</v>
      </c>
      <c r="E21" s="14">
        <v>0</v>
      </c>
      <c r="F21" s="14" t="e">
        <f t="shared" si="3"/>
        <v>#REF!</v>
      </c>
      <c r="G21" s="14" t="e">
        <f t="shared" si="1"/>
        <v>#REF!</v>
      </c>
      <c r="H21" s="15" t="e">
        <f t="shared" si="4"/>
        <v>#REF!</v>
      </c>
      <c r="I21" s="14"/>
      <c r="K21" s="14">
        <v>113400</v>
      </c>
      <c r="M21" s="14">
        <v>113400</v>
      </c>
    </row>
    <row r="22" spans="2:13">
      <c r="B22" s="78" t="s">
        <v>238</v>
      </c>
      <c r="C22" s="14">
        <f t="shared" si="2"/>
        <v>1400</v>
      </c>
      <c r="D22" s="14" t="e">
        <f>SUMIF(#REF!,B22,#REF!)</f>
        <v>#REF!</v>
      </c>
      <c r="E22" s="14">
        <v>0</v>
      </c>
      <c r="F22" s="14" t="e">
        <f t="shared" si="3"/>
        <v>#REF!</v>
      </c>
      <c r="G22" s="14" t="e">
        <f t="shared" si="1"/>
        <v>#REF!</v>
      </c>
      <c r="H22" s="15" t="e">
        <f t="shared" si="4"/>
        <v>#REF!</v>
      </c>
      <c r="I22" s="14"/>
      <c r="K22" s="14">
        <v>1400</v>
      </c>
      <c r="M22" s="14">
        <v>1400</v>
      </c>
    </row>
    <row r="23" spans="2:13">
      <c r="B23" s="78" t="s">
        <v>232</v>
      </c>
      <c r="C23" s="14">
        <f t="shared" si="2"/>
        <v>40840.800000000003</v>
      </c>
      <c r="D23" s="14" t="e">
        <f>SUMIF(#REF!,B23,#REF!)</f>
        <v>#REF!</v>
      </c>
      <c r="E23" s="14">
        <v>0</v>
      </c>
      <c r="F23" s="14" t="e">
        <f t="shared" si="3"/>
        <v>#REF!</v>
      </c>
      <c r="G23" s="14" t="e">
        <f t="shared" si="1"/>
        <v>#REF!</v>
      </c>
      <c r="H23" s="15" t="e">
        <f t="shared" si="4"/>
        <v>#REF!</v>
      </c>
      <c r="I23" s="14"/>
      <c r="K23" s="14">
        <v>40840.800000000003</v>
      </c>
      <c r="M23" s="14">
        <v>40840.800000000003</v>
      </c>
    </row>
    <row r="24" spans="2:13">
      <c r="B24" s="78" t="s">
        <v>231</v>
      </c>
      <c r="C24" s="14">
        <f t="shared" si="2"/>
        <v>43626.8</v>
      </c>
      <c r="D24" s="14" t="e">
        <f>SUMIF(#REF!,B24,#REF!)</f>
        <v>#REF!</v>
      </c>
      <c r="E24" s="14">
        <v>0</v>
      </c>
      <c r="F24" s="14" t="e">
        <f t="shared" si="3"/>
        <v>#REF!</v>
      </c>
      <c r="G24" s="14" t="e">
        <f t="shared" si="1"/>
        <v>#REF!</v>
      </c>
      <c r="H24" s="15" t="e">
        <f t="shared" si="4"/>
        <v>#REF!</v>
      </c>
      <c r="I24" s="14"/>
      <c r="K24" s="14">
        <v>43626.8</v>
      </c>
      <c r="M24" s="14">
        <v>43626.8</v>
      </c>
    </row>
    <row r="25" spans="2:13">
      <c r="B25" s="78" t="s">
        <v>465</v>
      </c>
      <c r="C25" s="14">
        <f t="shared" si="2"/>
        <v>705178.05</v>
      </c>
      <c r="D25" s="14" t="e">
        <f>SUMIF(#REF!,B25,#REF!)</f>
        <v>#REF!</v>
      </c>
      <c r="E25" s="14">
        <v>0</v>
      </c>
      <c r="F25" s="14" t="e">
        <f t="shared" si="3"/>
        <v>#REF!</v>
      </c>
      <c r="G25" s="14" t="e">
        <f t="shared" si="1"/>
        <v>#REF!</v>
      </c>
      <c r="H25" s="15" t="e">
        <f t="shared" si="4"/>
        <v>#REF!</v>
      </c>
      <c r="I25" s="14"/>
      <c r="K25" s="14">
        <v>705178.05</v>
      </c>
      <c r="M25" s="14">
        <v>705178.05</v>
      </c>
    </row>
    <row r="26" spans="2:13">
      <c r="B26" s="78" t="s">
        <v>466</v>
      </c>
      <c r="C26" s="14">
        <f t="shared" si="2"/>
        <v>988114.48</v>
      </c>
      <c r="D26" s="14" t="e">
        <f>SUMIF(#REF!,B26,#REF!)</f>
        <v>#REF!</v>
      </c>
      <c r="E26" s="14">
        <v>0</v>
      </c>
      <c r="F26" s="14" t="e">
        <f t="shared" si="3"/>
        <v>#REF!</v>
      </c>
      <c r="G26" s="14" t="e">
        <f t="shared" si="1"/>
        <v>#REF!</v>
      </c>
      <c r="H26" s="15" t="e">
        <f t="shared" si="4"/>
        <v>#REF!</v>
      </c>
      <c r="I26" s="14"/>
      <c r="K26" s="14">
        <v>988114.48</v>
      </c>
      <c r="M26" s="14">
        <v>988114.48</v>
      </c>
    </row>
    <row r="27" spans="2:13">
      <c r="B27" s="78" t="s">
        <v>61</v>
      </c>
      <c r="C27" s="14">
        <f t="shared" si="2"/>
        <v>180000</v>
      </c>
      <c r="D27" s="14" t="e">
        <f>SUMIF(#REF!,B27,#REF!)</f>
        <v>#REF!</v>
      </c>
      <c r="E27" s="14">
        <v>0</v>
      </c>
      <c r="F27" s="14" t="e">
        <f t="shared" si="3"/>
        <v>#REF!</v>
      </c>
      <c r="G27" s="14" t="e">
        <f t="shared" si="1"/>
        <v>#REF!</v>
      </c>
      <c r="H27" s="15" t="e">
        <f t="shared" si="4"/>
        <v>#REF!</v>
      </c>
      <c r="I27" s="14"/>
      <c r="K27" s="14">
        <v>180000</v>
      </c>
      <c r="M27" s="14">
        <v>180000</v>
      </c>
    </row>
    <row r="28" spans="2:13">
      <c r="B28" s="78" t="s">
        <v>357</v>
      </c>
      <c r="C28" s="14">
        <f t="shared" si="2"/>
        <v>758086.35</v>
      </c>
      <c r="D28" s="14" t="e">
        <f>SUMIF(#REF!,B28,#REF!)</f>
        <v>#REF!</v>
      </c>
      <c r="E28" s="14">
        <v>0</v>
      </c>
      <c r="F28" s="14" t="e">
        <f t="shared" si="3"/>
        <v>#REF!</v>
      </c>
      <c r="G28" s="14" t="e">
        <f t="shared" si="1"/>
        <v>#REF!</v>
      </c>
      <c r="H28" s="15" t="e">
        <f t="shared" si="4"/>
        <v>#REF!</v>
      </c>
      <c r="I28" s="14"/>
      <c r="K28" s="14">
        <v>728531.13</v>
      </c>
      <c r="M28" s="14">
        <v>758086.35</v>
      </c>
    </row>
    <row r="29" spans="2:13">
      <c r="B29" s="78" t="s">
        <v>22</v>
      </c>
      <c r="C29" s="14">
        <f t="shared" si="2"/>
        <v>678182.84</v>
      </c>
      <c r="D29" s="14" t="e">
        <f>SUMIF(#REF!,B29,#REF!)</f>
        <v>#REF!</v>
      </c>
      <c r="E29" s="14">
        <v>0</v>
      </c>
      <c r="F29" s="14" t="e">
        <f t="shared" si="3"/>
        <v>#REF!</v>
      </c>
      <c r="G29" s="14" t="e">
        <f t="shared" si="1"/>
        <v>#REF!</v>
      </c>
      <c r="H29" s="15" t="e">
        <f t="shared" si="4"/>
        <v>#REF!</v>
      </c>
      <c r="I29" s="14"/>
      <c r="K29" s="14">
        <v>678182.84</v>
      </c>
      <c r="M29" s="14">
        <v>678182.84</v>
      </c>
    </row>
    <row r="30" spans="2:13">
      <c r="B30" s="78" t="s">
        <v>467</v>
      </c>
      <c r="C30" s="14">
        <f t="shared" si="2"/>
        <v>13947890.17</v>
      </c>
      <c r="D30" s="14" t="e">
        <f>SUMIF(#REF!,B30,#REF!)</f>
        <v>#REF!</v>
      </c>
      <c r="E30" s="14">
        <f>-550868.38-2020</f>
        <v>-552888.38</v>
      </c>
      <c r="F30" s="14" t="e">
        <f t="shared" si="3"/>
        <v>#REF!</v>
      </c>
      <c r="G30" s="14" t="e">
        <f t="shared" si="1"/>
        <v>#REF!</v>
      </c>
      <c r="H30" s="15" t="e">
        <f t="shared" si="4"/>
        <v>#REF!</v>
      </c>
      <c r="I30" s="14"/>
      <c r="K30" s="14">
        <v>12170334.380000001</v>
      </c>
      <c r="M30" s="14">
        <v>13947890.17</v>
      </c>
    </row>
    <row r="31" spans="2:13">
      <c r="B31" s="78" t="s">
        <v>468</v>
      </c>
      <c r="C31" s="14">
        <f t="shared" si="2"/>
        <v>112500</v>
      </c>
      <c r="D31" s="14" t="e">
        <f>SUMIF(#REF!,B31,#REF!)</f>
        <v>#REF!</v>
      </c>
      <c r="E31" s="14">
        <v>0</v>
      </c>
      <c r="F31" s="14" t="e">
        <f t="shared" si="3"/>
        <v>#REF!</v>
      </c>
      <c r="G31" s="14" t="e">
        <f t="shared" si="1"/>
        <v>#REF!</v>
      </c>
      <c r="H31" s="15" t="e">
        <f t="shared" si="4"/>
        <v>#REF!</v>
      </c>
      <c r="I31" s="14"/>
      <c r="K31" s="14">
        <v>112500</v>
      </c>
      <c r="M31" s="14">
        <v>112500</v>
      </c>
    </row>
    <row r="32" spans="2:13">
      <c r="B32" s="78" t="s">
        <v>469</v>
      </c>
      <c r="C32" s="14">
        <f t="shared" si="2"/>
        <v>1999729.23</v>
      </c>
      <c r="D32" s="14" t="e">
        <f>SUMIF(#REF!,B32,#REF!)</f>
        <v>#REF!</v>
      </c>
      <c r="E32" s="14">
        <v>-6718</v>
      </c>
      <c r="F32" s="14" t="e">
        <f t="shared" si="3"/>
        <v>#REF!</v>
      </c>
      <c r="G32" s="14" t="e">
        <f t="shared" si="1"/>
        <v>#REF!</v>
      </c>
      <c r="H32" s="15" t="e">
        <f t="shared" si="4"/>
        <v>#REF!</v>
      </c>
      <c r="I32" s="14"/>
      <c r="K32" s="14">
        <v>1608929.37</v>
      </c>
      <c r="M32" s="14">
        <v>1999729.23</v>
      </c>
    </row>
    <row r="33" spans="2:13">
      <c r="B33" s="78" t="s">
        <v>360</v>
      </c>
      <c r="C33" s="14">
        <f t="shared" si="2"/>
        <v>163431.9</v>
      </c>
      <c r="D33" s="14" t="e">
        <f>SUMIF(#REF!,B33,#REF!)</f>
        <v>#REF!</v>
      </c>
      <c r="E33" s="14">
        <v>0</v>
      </c>
      <c r="F33" s="14" t="e">
        <f t="shared" si="3"/>
        <v>#REF!</v>
      </c>
      <c r="G33" s="14" t="e">
        <f t="shared" si="1"/>
        <v>#REF!</v>
      </c>
      <c r="H33" s="15" t="e">
        <f t="shared" si="4"/>
        <v>#REF!</v>
      </c>
      <c r="I33" s="14"/>
      <c r="K33" s="14">
        <v>163431.9</v>
      </c>
      <c r="M33" s="14">
        <v>163431.9</v>
      </c>
    </row>
    <row r="34" spans="2:13">
      <c r="B34" s="78" t="s">
        <v>470</v>
      </c>
      <c r="C34" s="14">
        <f t="shared" si="2"/>
        <v>2433866.06</v>
      </c>
      <c r="D34" s="14" t="e">
        <f>SUMIF(#REF!,B34,#REF!)</f>
        <v>#REF!</v>
      </c>
      <c r="E34" s="14">
        <v>0</v>
      </c>
      <c r="F34" s="14" t="e">
        <f t="shared" si="3"/>
        <v>#REF!</v>
      </c>
      <c r="G34" s="14" t="e">
        <f t="shared" si="1"/>
        <v>#REF!</v>
      </c>
      <c r="H34" s="15" t="e">
        <f t="shared" si="4"/>
        <v>#REF!</v>
      </c>
      <c r="I34" s="14"/>
      <c r="K34" s="14">
        <v>1985244.64</v>
      </c>
      <c r="M34" s="14">
        <v>2433866.06</v>
      </c>
    </row>
    <row r="35" spans="2:13">
      <c r="B35" s="78" t="s">
        <v>471</v>
      </c>
      <c r="C35" s="14">
        <f t="shared" si="2"/>
        <v>3091250.93</v>
      </c>
      <c r="D35" s="14" t="e">
        <f>SUMIF(#REF!,B35,#REF!)</f>
        <v>#REF!</v>
      </c>
      <c r="E35" s="14">
        <v>0</v>
      </c>
      <c r="F35" s="14" t="e">
        <f t="shared" si="3"/>
        <v>#REF!</v>
      </c>
      <c r="G35" s="14" t="e">
        <f t="shared" si="1"/>
        <v>#REF!</v>
      </c>
      <c r="H35" s="15" t="e">
        <f t="shared" si="4"/>
        <v>#REF!</v>
      </c>
      <c r="I35" s="14"/>
      <c r="K35" s="14">
        <v>2380525.4300000002</v>
      </c>
      <c r="M35" s="14">
        <v>3091250.93</v>
      </c>
    </row>
    <row r="36" spans="2:13">
      <c r="B36" s="78" t="s">
        <v>472</v>
      </c>
      <c r="C36" s="14">
        <f t="shared" si="2"/>
        <v>203574.6</v>
      </c>
      <c r="D36" s="14" t="e">
        <f>SUMIF(#REF!,B36,#REF!)</f>
        <v>#REF!</v>
      </c>
      <c r="E36" s="14">
        <v>0</v>
      </c>
      <c r="F36" s="14" t="e">
        <f t="shared" si="3"/>
        <v>#REF!</v>
      </c>
      <c r="G36" s="14" t="e">
        <f t="shared" si="1"/>
        <v>#REF!</v>
      </c>
      <c r="H36" s="15" t="e">
        <f t="shared" si="4"/>
        <v>#REF!</v>
      </c>
      <c r="I36" s="14"/>
      <c r="K36" s="14">
        <v>126288.06</v>
      </c>
      <c r="M36" s="14">
        <v>203574.6</v>
      </c>
    </row>
    <row r="37" spans="2:13">
      <c r="B37" s="78" t="s">
        <v>497</v>
      </c>
      <c r="C37" s="14">
        <f t="shared" si="2"/>
        <v>0</v>
      </c>
      <c r="D37" s="14" t="e">
        <f>SUMIF(#REF!,B37,#REF!)</f>
        <v>#REF!</v>
      </c>
      <c r="E37" s="14">
        <v>0</v>
      </c>
      <c r="F37" s="14" t="e">
        <f t="shared" si="3"/>
        <v>#REF!</v>
      </c>
      <c r="G37" s="14" t="e">
        <f t="shared" si="1"/>
        <v>#REF!</v>
      </c>
      <c r="H37" s="15" t="e">
        <f t="shared" si="4"/>
        <v>#REF!</v>
      </c>
      <c r="I37" s="14"/>
      <c r="K37" s="14">
        <v>526289.5</v>
      </c>
      <c r="M37" s="14">
        <v>0</v>
      </c>
    </row>
    <row r="38" spans="2:13">
      <c r="B38" s="78" t="s">
        <v>473</v>
      </c>
      <c r="C38" s="14">
        <f t="shared" si="2"/>
        <v>71010.720000000001</v>
      </c>
      <c r="D38" s="14" t="e">
        <f>SUMIF(#REF!,B38,#REF!)</f>
        <v>#REF!</v>
      </c>
      <c r="E38" s="14">
        <v>0</v>
      </c>
      <c r="F38" s="14" t="e">
        <f t="shared" ref="F38" si="8">D38+E38+I38</f>
        <v>#REF!</v>
      </c>
      <c r="G38" s="14" t="e">
        <f t="shared" ref="G38" si="9">C38-F38</f>
        <v>#REF!</v>
      </c>
      <c r="H38" s="15" t="e">
        <f t="shared" ref="H38" si="10">IF(G38&gt;0,G38,0)</f>
        <v>#REF!</v>
      </c>
      <c r="I38" s="14"/>
      <c r="K38" s="14"/>
      <c r="M38" s="14">
        <v>71010.720000000001</v>
      </c>
    </row>
    <row r="39" spans="2:13">
      <c r="B39" s="78" t="s">
        <v>474</v>
      </c>
      <c r="C39" s="14">
        <f t="shared" si="2"/>
        <v>207712.5</v>
      </c>
      <c r="D39" s="14" t="e">
        <f>SUMIF(#REF!,B39,#REF!)</f>
        <v>#REF!</v>
      </c>
      <c r="E39" s="14">
        <v>0</v>
      </c>
      <c r="F39" s="14" t="e">
        <f t="shared" si="3"/>
        <v>#REF!</v>
      </c>
      <c r="G39" s="14" t="e">
        <f t="shared" si="1"/>
        <v>#REF!</v>
      </c>
      <c r="H39" s="15" t="e">
        <f t="shared" si="4"/>
        <v>#REF!</v>
      </c>
      <c r="I39" s="14"/>
      <c r="K39" s="14">
        <v>132269.43</v>
      </c>
      <c r="M39" s="14">
        <v>207712.5</v>
      </c>
    </row>
    <row r="40" spans="2:13">
      <c r="B40" s="78" t="s">
        <v>475</v>
      </c>
      <c r="C40" s="14">
        <f t="shared" si="2"/>
        <v>51659.81</v>
      </c>
      <c r="D40" s="14" t="e">
        <f>SUMIF(#REF!,B40,#REF!)</f>
        <v>#REF!</v>
      </c>
      <c r="E40" s="14">
        <v>0</v>
      </c>
      <c r="F40" s="14" t="e">
        <f t="shared" ref="F40" si="11">D40+E40+I40</f>
        <v>#REF!</v>
      </c>
      <c r="G40" s="14" t="e">
        <f t="shared" ref="G40" si="12">C40-F40</f>
        <v>#REF!</v>
      </c>
      <c r="H40" s="15" t="e">
        <f t="shared" ref="H40" si="13">IF(G40&gt;0,G40,0)</f>
        <v>#REF!</v>
      </c>
      <c r="I40" s="14"/>
      <c r="K40" s="14"/>
      <c r="M40" s="14">
        <v>51659.81</v>
      </c>
    </row>
    <row r="41" spans="2:13">
      <c r="B41" s="78" t="s">
        <v>476</v>
      </c>
      <c r="C41" s="14">
        <f t="shared" si="2"/>
        <v>3106.2</v>
      </c>
      <c r="D41" s="14" t="e">
        <f>SUMIF(#REF!,B41,#REF!)</f>
        <v>#REF!</v>
      </c>
      <c r="E41" s="14">
        <v>0</v>
      </c>
      <c r="F41" s="14" t="e">
        <f t="shared" ref="F41:F42" si="14">D41+E41+I41</f>
        <v>#REF!</v>
      </c>
      <c r="G41" s="14" t="e">
        <f t="shared" ref="G41:G42" si="15">C41-F41</f>
        <v>#REF!</v>
      </c>
      <c r="H41" s="15" t="e">
        <f t="shared" ref="H41:H42" si="16">IF(G41&gt;0,G41,0)</f>
        <v>#REF!</v>
      </c>
      <c r="I41" s="14"/>
      <c r="K41" s="14"/>
      <c r="M41" s="14">
        <v>3106.2</v>
      </c>
    </row>
    <row r="42" spans="2:13">
      <c r="B42" s="78" t="s">
        <v>477</v>
      </c>
      <c r="C42" s="14">
        <f t="shared" si="2"/>
        <v>16848</v>
      </c>
      <c r="D42" s="14" t="e">
        <f>SUMIF(#REF!,B42,#REF!)</f>
        <v>#REF!</v>
      </c>
      <c r="E42" s="14">
        <v>0</v>
      </c>
      <c r="F42" s="14" t="e">
        <f t="shared" si="14"/>
        <v>#REF!</v>
      </c>
      <c r="G42" s="14" t="e">
        <f t="shared" si="15"/>
        <v>#REF!</v>
      </c>
      <c r="H42" s="15" t="e">
        <f t="shared" si="16"/>
        <v>#REF!</v>
      </c>
      <c r="I42" s="14"/>
      <c r="K42" s="14"/>
      <c r="M42" s="14">
        <v>16848</v>
      </c>
    </row>
    <row r="43" spans="2:13">
      <c r="B43" s="78" t="s">
        <v>479</v>
      </c>
      <c r="C43" s="14">
        <f t="shared" si="2"/>
        <v>459040</v>
      </c>
      <c r="D43" s="14" t="e">
        <f>SUMIF(#REF!,B43,#REF!)</f>
        <v>#REF!</v>
      </c>
      <c r="E43" s="14">
        <v>0</v>
      </c>
      <c r="F43" s="14" t="e">
        <f>D43+E43+I43</f>
        <v>#REF!</v>
      </c>
      <c r="G43" s="14" t="e">
        <f>C43-F43</f>
        <v>#REF!</v>
      </c>
      <c r="H43" s="15" t="e">
        <f>IF(G43&gt;0,G43,0)</f>
        <v>#REF!</v>
      </c>
      <c r="I43" s="14"/>
      <c r="K43" s="14">
        <v>430120</v>
      </c>
      <c r="M43" s="14">
        <v>459040</v>
      </c>
    </row>
    <row r="44" spans="2:13">
      <c r="B44" s="78" t="s">
        <v>480</v>
      </c>
      <c r="C44" s="14">
        <f t="shared" si="2"/>
        <v>140200</v>
      </c>
      <c r="D44" s="14" t="e">
        <f>SUMIF(#REF!,B44,#REF!)</f>
        <v>#REF!</v>
      </c>
      <c r="E44" s="14">
        <v>0</v>
      </c>
      <c r="F44" s="14" t="e">
        <f t="shared" si="3"/>
        <v>#REF!</v>
      </c>
      <c r="G44" s="14" t="e">
        <f t="shared" si="1"/>
        <v>#REF!</v>
      </c>
      <c r="H44" s="15" t="e">
        <f t="shared" si="4"/>
        <v>#REF!</v>
      </c>
      <c r="I44" s="14"/>
      <c r="K44" s="14">
        <v>140200</v>
      </c>
      <c r="M44" s="14">
        <v>140200</v>
      </c>
    </row>
    <row r="45" spans="2:13">
      <c r="B45" s="78" t="s">
        <v>481</v>
      </c>
      <c r="C45" s="14">
        <f t="shared" si="2"/>
        <v>137730</v>
      </c>
      <c r="D45" s="14" t="e">
        <f>SUMIF(#REF!,B45,#REF!)</f>
        <v>#REF!</v>
      </c>
      <c r="E45" s="14">
        <v>0</v>
      </c>
      <c r="F45" s="14" t="e">
        <f t="shared" si="3"/>
        <v>#REF!</v>
      </c>
      <c r="G45" s="14" t="e">
        <f t="shared" si="1"/>
        <v>#REF!</v>
      </c>
      <c r="H45" s="15" t="e">
        <f t="shared" si="4"/>
        <v>#REF!</v>
      </c>
      <c r="I45" s="14"/>
      <c r="K45" s="14">
        <v>123000</v>
      </c>
      <c r="M45" s="14">
        <v>137730</v>
      </c>
    </row>
    <row r="46" spans="2:13">
      <c r="B46" s="78" t="s">
        <v>482</v>
      </c>
      <c r="C46" s="14">
        <f t="shared" si="2"/>
        <v>187600</v>
      </c>
      <c r="D46" s="14" t="e">
        <f>SUMIF(#REF!,B46,#REF!)</f>
        <v>#REF!</v>
      </c>
      <c r="E46" s="14">
        <v>0</v>
      </c>
      <c r="F46" s="14" t="e">
        <f t="shared" si="3"/>
        <v>#REF!</v>
      </c>
      <c r="G46" s="14" t="e">
        <f t="shared" ref="G46:G48" si="17">C46-F46</f>
        <v>#REF!</v>
      </c>
      <c r="H46" s="15" t="e">
        <f t="shared" si="4"/>
        <v>#REF!</v>
      </c>
      <c r="I46" s="14"/>
      <c r="K46" s="14">
        <v>187600</v>
      </c>
      <c r="M46" s="14">
        <v>187600</v>
      </c>
    </row>
    <row r="47" spans="2:13">
      <c r="B47" s="78" t="s">
        <v>483</v>
      </c>
      <c r="C47" s="14">
        <f t="shared" si="2"/>
        <v>11200</v>
      </c>
      <c r="D47" s="14" t="e">
        <f>SUMIF(#REF!,B47,#REF!)</f>
        <v>#REF!</v>
      </c>
      <c r="E47" s="14">
        <v>0</v>
      </c>
      <c r="F47" s="14" t="e">
        <f t="shared" ref="F47" si="18">D47+E47+I47</f>
        <v>#REF!</v>
      </c>
      <c r="G47" s="14" t="e">
        <f t="shared" ref="G47" si="19">C47-F47</f>
        <v>#REF!</v>
      </c>
      <c r="H47" s="15" t="e">
        <f t="shared" ref="H47" si="20">IF(G47&gt;0,G47,0)</f>
        <v>#REF!</v>
      </c>
      <c r="I47" s="14"/>
      <c r="K47" s="14"/>
      <c r="M47" s="14">
        <v>11200</v>
      </c>
    </row>
    <row r="48" spans="2:13">
      <c r="B48" s="78" t="s">
        <v>132</v>
      </c>
      <c r="C48" s="14">
        <f t="shared" si="2"/>
        <v>281264.64000000001</v>
      </c>
      <c r="D48" s="14" t="e">
        <f>SUMIF(#REF!,B48,#REF!)</f>
        <v>#REF!</v>
      </c>
      <c r="E48" s="14">
        <v>0</v>
      </c>
      <c r="F48" s="14" t="e">
        <f t="shared" si="3"/>
        <v>#REF!</v>
      </c>
      <c r="G48" s="14" t="e">
        <f t="shared" si="17"/>
        <v>#REF!</v>
      </c>
      <c r="H48" s="15" t="e">
        <f t="shared" si="4"/>
        <v>#REF!</v>
      </c>
      <c r="I48" s="14"/>
      <c r="K48" s="14">
        <v>274446.71999999997</v>
      </c>
      <c r="M48" s="14">
        <v>281264.64000000001</v>
      </c>
    </row>
  </sheetData>
  <autoFilter ref="A9:M48" xr:uid="{D85E2A6A-17AE-4529-93A8-BDB0B631A9C8}"/>
  <conditionalFormatting sqref="A1:XFD1048576">
    <cfRule type="cellIs" dxfId="102" priority="1" operator="lessThan">
      <formula>0</formula>
    </cfRule>
  </conditionalFormatting>
  <conditionalFormatting sqref="B1 B6:B1048576">
    <cfRule type="duplicateValues" dxfId="101" priority="12"/>
    <cfRule type="duplicateValues" dxfId="100" priority="13"/>
    <cfRule type="duplicateValues" dxfId="99" priority="14"/>
    <cfRule type="duplicateValues" dxfId="98" priority="15"/>
  </conditionalFormatting>
  <conditionalFormatting sqref="B2:B5">
    <cfRule type="duplicateValues" dxfId="97" priority="2"/>
    <cfRule type="duplicateValues" dxfId="96" priority="3"/>
    <cfRule type="duplicateValues" dxfId="95" priority="4"/>
    <cfRule type="duplicateValues" dxfId="94" priority="5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9DF90-B048-478B-8EEA-18AA77FBFFA4}">
  <sheetPr>
    <tabColor theme="5" tint="0.79998168889431442"/>
  </sheetPr>
  <dimension ref="A1:D9"/>
  <sheetViews>
    <sheetView workbookViewId="0">
      <selection sqref="A1:B1"/>
    </sheetView>
  </sheetViews>
  <sheetFormatPr defaultRowHeight="13.5"/>
  <cols>
    <col min="1" max="2" width="20.7109375" style="37" customWidth="1"/>
    <col min="3" max="3" width="46.28515625" style="37" customWidth="1"/>
    <col min="4" max="4" width="17.140625" style="37" customWidth="1"/>
  </cols>
  <sheetData>
    <row r="1" spans="1:4">
      <c r="A1" s="272" t="s">
        <v>498</v>
      </c>
      <c r="B1" s="272"/>
      <c r="C1" s="42" t="s">
        <v>499</v>
      </c>
      <c r="D1" s="42" t="s">
        <v>500</v>
      </c>
    </row>
    <row r="2" spans="1:4">
      <c r="A2" s="38">
        <v>22519</v>
      </c>
      <c r="B2" s="39">
        <v>16268.89</v>
      </c>
      <c r="C2" s="38" t="s">
        <v>501</v>
      </c>
      <c r="D2" s="38" t="s">
        <v>502</v>
      </c>
    </row>
    <row r="3" spans="1:4">
      <c r="A3" s="40">
        <v>22539</v>
      </c>
      <c r="B3" s="41">
        <v>20000</v>
      </c>
      <c r="C3" s="38" t="s">
        <v>503</v>
      </c>
      <c r="D3" s="38" t="s">
        <v>504</v>
      </c>
    </row>
    <row r="4" spans="1:4">
      <c r="A4" s="40">
        <v>22541</v>
      </c>
      <c r="B4" s="41">
        <v>11000</v>
      </c>
      <c r="C4" s="38" t="s">
        <v>503</v>
      </c>
      <c r="D4" s="38" t="s">
        <v>504</v>
      </c>
    </row>
    <row r="5" spans="1:4">
      <c r="A5" s="40">
        <v>22542</v>
      </c>
      <c r="B5" s="41">
        <v>30548.95</v>
      </c>
      <c r="C5" s="38" t="s">
        <v>503</v>
      </c>
      <c r="D5" s="38" t="s">
        <v>504</v>
      </c>
    </row>
    <row r="6" spans="1:4">
      <c r="A6" s="40">
        <v>22838</v>
      </c>
      <c r="B6" s="41">
        <v>4695.78</v>
      </c>
      <c r="C6" s="38" t="s">
        <v>503</v>
      </c>
      <c r="D6" s="38" t="s">
        <v>504</v>
      </c>
    </row>
    <row r="7" spans="1:4">
      <c r="A7" s="38">
        <v>22695</v>
      </c>
      <c r="B7" s="39">
        <v>1249.56</v>
      </c>
      <c r="C7" s="38" t="s">
        <v>505</v>
      </c>
      <c r="D7" s="38" t="s">
        <v>506</v>
      </c>
    </row>
    <row r="8" spans="1:4">
      <c r="A8" s="38">
        <v>22623</v>
      </c>
      <c r="B8" s="39">
        <v>17594</v>
      </c>
      <c r="C8" s="38" t="s">
        <v>507</v>
      </c>
      <c r="D8" s="38" t="s">
        <v>502</v>
      </c>
    </row>
    <row r="9" spans="1:4">
      <c r="A9" s="38">
        <v>21896</v>
      </c>
      <c r="B9" s="39">
        <v>8006.43</v>
      </c>
      <c r="C9" s="38" t="s">
        <v>508</v>
      </c>
      <c r="D9" s="38" t="s">
        <v>502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pageSetup paperSize="0" orientation="portrait" horizontalDpi="0" verticalDpi="0" copies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2CB93-3255-4F5C-AD1A-4A43061848C7}">
  <sheetPr>
    <tabColor theme="7" tint="-0.499984740745262"/>
  </sheetPr>
  <dimension ref="A1:I53"/>
  <sheetViews>
    <sheetView workbookViewId="0"/>
  </sheetViews>
  <sheetFormatPr defaultColWidth="8.85546875" defaultRowHeight="14.25" outlineLevelRow="1"/>
  <cols>
    <col min="1" max="1" width="7.85546875" style="43" customWidth="1"/>
    <col min="2" max="2" width="54.28515625" style="43" bestFit="1" customWidth="1"/>
    <col min="3" max="3" width="55.28515625" style="43" customWidth="1"/>
    <col min="4" max="4" width="5.28515625" style="43" bestFit="1" customWidth="1"/>
    <col min="5" max="5" width="4.5703125" style="43" bestFit="1" customWidth="1"/>
    <col min="6" max="6" width="8.85546875" style="43"/>
    <col min="7" max="7" width="12.28515625" style="43" bestFit="1" customWidth="1"/>
    <col min="8" max="8" width="12.5703125" style="43" bestFit="1" customWidth="1"/>
    <col min="9" max="16384" width="8.85546875" style="43"/>
  </cols>
  <sheetData>
    <row r="1" spans="1:9" s="49" customFormat="1">
      <c r="A1" s="44" t="s">
        <v>509</v>
      </c>
      <c r="B1" s="45"/>
      <c r="C1" s="46" t="s">
        <v>510</v>
      </c>
      <c r="D1" s="47"/>
      <c r="E1" s="45"/>
      <c r="F1" s="48"/>
      <c r="G1" s="48"/>
      <c r="H1" s="48">
        <f>SUBTOTAL(9,H2:H31)</f>
        <v>130805.30906916666</v>
      </c>
      <c r="I1" s="46"/>
    </row>
    <row r="2" spans="1:9" s="55" customFormat="1">
      <c r="A2" s="50"/>
      <c r="B2" s="51"/>
      <c r="C2" s="52" t="s">
        <v>511</v>
      </c>
      <c r="D2" s="53"/>
      <c r="E2" s="51"/>
      <c r="F2" s="54"/>
      <c r="G2" s="54"/>
      <c r="H2" s="54">
        <f>SUBTOTAL(9,H3)</f>
        <v>10370</v>
      </c>
      <c r="I2" s="52"/>
    </row>
    <row r="3" spans="1:9" s="55" customFormat="1" ht="25.5">
      <c r="A3" s="56"/>
      <c r="B3" s="57" t="s">
        <v>512</v>
      </c>
      <c r="C3" s="58" t="s">
        <v>513</v>
      </c>
      <c r="D3" s="59">
        <v>12.2</v>
      </c>
      <c r="E3" s="57" t="s">
        <v>514</v>
      </c>
      <c r="F3" s="60"/>
      <c r="G3" s="60">
        <v>850</v>
      </c>
      <c r="H3" s="60">
        <f t="shared" ref="H3" si="0">(F3+G3)*D3</f>
        <v>10370</v>
      </c>
      <c r="I3" s="61"/>
    </row>
    <row r="4" spans="1:9" s="55" customFormat="1">
      <c r="A4" s="50"/>
      <c r="B4" s="51"/>
      <c r="C4" s="52" t="s">
        <v>67</v>
      </c>
      <c r="D4" s="53"/>
      <c r="E4" s="51"/>
      <c r="F4" s="54"/>
      <c r="G4" s="54"/>
      <c r="H4" s="54">
        <f>SUBTOTAL(9,H5)</f>
        <v>5572.94</v>
      </c>
      <c r="I4" s="52"/>
    </row>
    <row r="5" spans="1:9" s="55" customFormat="1" ht="25.5">
      <c r="A5" s="56"/>
      <c r="B5" s="57" t="s">
        <v>512</v>
      </c>
      <c r="C5" s="58" t="s">
        <v>515</v>
      </c>
      <c r="D5" s="59">
        <v>2</v>
      </c>
      <c r="E5" s="57" t="s">
        <v>516</v>
      </c>
      <c r="F5" s="60"/>
      <c r="G5" s="60">
        <v>2786.47</v>
      </c>
      <c r="H5" s="60">
        <f t="shared" ref="H5" si="1">(F5+G5)*D5</f>
        <v>5572.94</v>
      </c>
      <c r="I5" s="61"/>
    </row>
    <row r="6" spans="1:9" s="55" customFormat="1">
      <c r="A6" s="50"/>
      <c r="B6" s="51"/>
      <c r="C6" s="52" t="s">
        <v>31</v>
      </c>
      <c r="D6" s="53"/>
      <c r="E6" s="51"/>
      <c r="F6" s="54"/>
      <c r="G6" s="54"/>
      <c r="H6" s="54">
        <f>SUBTOTAL(9,H7:H18)</f>
        <v>70776.289999999994</v>
      </c>
      <c r="I6" s="52"/>
    </row>
    <row r="7" spans="1:9" s="55" customFormat="1" ht="25.5">
      <c r="A7" s="56"/>
      <c r="B7" s="57" t="s">
        <v>517</v>
      </c>
      <c r="C7" s="58" t="s">
        <v>518</v>
      </c>
      <c r="D7" s="59">
        <v>1</v>
      </c>
      <c r="E7" s="57" t="s">
        <v>519</v>
      </c>
      <c r="F7" s="60"/>
      <c r="G7" s="60">
        <v>15273.5</v>
      </c>
      <c r="H7" s="60">
        <f t="shared" ref="H7:H31" si="2">(F7+G7)*D7</f>
        <v>15273.5</v>
      </c>
      <c r="I7" s="61"/>
    </row>
    <row r="8" spans="1:9" s="55" customFormat="1" ht="25.5">
      <c r="A8" s="56"/>
      <c r="B8" s="57" t="s">
        <v>517</v>
      </c>
      <c r="C8" s="58" t="s">
        <v>520</v>
      </c>
      <c r="D8" s="59">
        <v>1</v>
      </c>
      <c r="E8" s="57" t="s">
        <v>519</v>
      </c>
      <c r="F8" s="60"/>
      <c r="G8" s="60">
        <v>16704.150000000001</v>
      </c>
      <c r="H8" s="60">
        <f t="shared" si="2"/>
        <v>16704.150000000001</v>
      </c>
      <c r="I8" s="61"/>
    </row>
    <row r="9" spans="1:9" s="55" customFormat="1" ht="25.5">
      <c r="A9" s="56"/>
      <c r="B9" s="57" t="s">
        <v>517</v>
      </c>
      <c r="C9" s="58" t="s">
        <v>521</v>
      </c>
      <c r="D9" s="59">
        <v>1</v>
      </c>
      <c r="E9" s="57" t="s">
        <v>519</v>
      </c>
      <c r="F9" s="60"/>
      <c r="G9" s="60">
        <v>5040</v>
      </c>
      <c r="H9" s="60">
        <f t="shared" si="2"/>
        <v>5040</v>
      </c>
      <c r="I9" s="61"/>
    </row>
    <row r="10" spans="1:9" s="55" customFormat="1" ht="25.5">
      <c r="A10" s="56"/>
      <c r="B10" s="57" t="s">
        <v>517</v>
      </c>
      <c r="C10" s="58" t="s">
        <v>522</v>
      </c>
      <c r="D10" s="59">
        <v>1</v>
      </c>
      <c r="E10" s="57" t="s">
        <v>519</v>
      </c>
      <c r="F10" s="60"/>
      <c r="G10" s="60">
        <v>4554.8999999999996</v>
      </c>
      <c r="H10" s="60">
        <f t="shared" si="2"/>
        <v>4554.8999999999996</v>
      </c>
      <c r="I10" s="61"/>
    </row>
    <row r="11" spans="1:9" s="55" customFormat="1" ht="25.5">
      <c r="A11" s="56"/>
      <c r="B11" s="57" t="s">
        <v>517</v>
      </c>
      <c r="C11" s="58" t="s">
        <v>523</v>
      </c>
      <c r="D11" s="59">
        <v>1</v>
      </c>
      <c r="E11" s="57" t="s">
        <v>519</v>
      </c>
      <c r="F11" s="60"/>
      <c r="G11" s="60">
        <v>3205.88</v>
      </c>
      <c r="H11" s="60">
        <f t="shared" si="2"/>
        <v>3205.88</v>
      </c>
      <c r="I11" s="61"/>
    </row>
    <row r="12" spans="1:9" s="55" customFormat="1" ht="25.5">
      <c r="A12" s="56"/>
      <c r="B12" s="57" t="s">
        <v>517</v>
      </c>
      <c r="C12" s="58" t="s">
        <v>524</v>
      </c>
      <c r="D12" s="59">
        <v>1</v>
      </c>
      <c r="E12" s="57" t="s">
        <v>519</v>
      </c>
      <c r="F12" s="60"/>
      <c r="G12" s="60">
        <v>3250</v>
      </c>
      <c r="H12" s="60">
        <f t="shared" si="2"/>
        <v>3250</v>
      </c>
      <c r="I12" s="61"/>
    </row>
    <row r="13" spans="1:9" s="55" customFormat="1" ht="25.5">
      <c r="A13" s="56"/>
      <c r="B13" s="57" t="s">
        <v>517</v>
      </c>
      <c r="C13" s="58" t="s">
        <v>525</v>
      </c>
      <c r="D13" s="59">
        <v>1</v>
      </c>
      <c r="E13" s="57" t="s">
        <v>519</v>
      </c>
      <c r="F13" s="60"/>
      <c r="G13" s="60">
        <v>8500</v>
      </c>
      <c r="H13" s="60">
        <f t="shared" si="2"/>
        <v>8500</v>
      </c>
      <c r="I13" s="61"/>
    </row>
    <row r="14" spans="1:9" s="55" customFormat="1" ht="25.5">
      <c r="A14" s="56"/>
      <c r="B14" s="57" t="s">
        <v>517</v>
      </c>
      <c r="C14" s="58" t="s">
        <v>526</v>
      </c>
      <c r="D14" s="59">
        <v>1</v>
      </c>
      <c r="E14" s="57" t="s">
        <v>519</v>
      </c>
      <c r="F14" s="60"/>
      <c r="G14" s="60">
        <v>960</v>
      </c>
      <c r="H14" s="60">
        <f t="shared" si="2"/>
        <v>960</v>
      </c>
      <c r="I14" s="61"/>
    </row>
    <row r="15" spans="1:9" s="55" customFormat="1" ht="25.5">
      <c r="A15" s="56"/>
      <c r="B15" s="57" t="s">
        <v>517</v>
      </c>
      <c r="C15" s="58" t="s">
        <v>527</v>
      </c>
      <c r="D15" s="59">
        <v>1</v>
      </c>
      <c r="E15" s="57" t="s">
        <v>519</v>
      </c>
      <c r="F15" s="60"/>
      <c r="G15" s="60">
        <v>1200</v>
      </c>
      <c r="H15" s="60">
        <f t="shared" si="2"/>
        <v>1200</v>
      </c>
      <c r="I15" s="61"/>
    </row>
    <row r="16" spans="1:9" s="55" customFormat="1" ht="25.5">
      <c r="A16" s="56"/>
      <c r="B16" s="57" t="s">
        <v>517</v>
      </c>
      <c r="C16" s="58" t="s">
        <v>528</v>
      </c>
      <c r="D16" s="59">
        <v>1</v>
      </c>
      <c r="E16" s="57" t="s">
        <v>519</v>
      </c>
      <c r="F16" s="60"/>
      <c r="G16" s="60">
        <v>8000</v>
      </c>
      <c r="H16" s="60">
        <f t="shared" si="2"/>
        <v>8000</v>
      </c>
      <c r="I16" s="61"/>
    </row>
    <row r="17" spans="1:9" s="55" customFormat="1" ht="25.5">
      <c r="A17" s="56"/>
      <c r="B17" s="57" t="s">
        <v>517</v>
      </c>
      <c r="C17" s="58" t="s">
        <v>529</v>
      </c>
      <c r="D17" s="59">
        <v>1</v>
      </c>
      <c r="E17" s="57" t="s">
        <v>519</v>
      </c>
      <c r="F17" s="60"/>
      <c r="G17" s="60">
        <v>3347.6</v>
      </c>
      <c r="H17" s="60">
        <f t="shared" si="2"/>
        <v>3347.6</v>
      </c>
      <c r="I17" s="61"/>
    </row>
    <row r="18" spans="1:9" s="55" customFormat="1" ht="25.5">
      <c r="A18" s="56"/>
      <c r="B18" s="57" t="s">
        <v>517</v>
      </c>
      <c r="C18" s="58" t="s">
        <v>530</v>
      </c>
      <c r="D18" s="59">
        <v>1</v>
      </c>
      <c r="E18" s="57" t="s">
        <v>519</v>
      </c>
      <c r="F18" s="60"/>
      <c r="G18" s="60">
        <v>740.26</v>
      </c>
      <c r="H18" s="60">
        <f t="shared" si="2"/>
        <v>740.26</v>
      </c>
      <c r="I18" s="61"/>
    </row>
    <row r="19" spans="1:9" s="55" customFormat="1">
      <c r="A19" s="50"/>
      <c r="B19" s="51"/>
      <c r="C19" s="52" t="s">
        <v>531</v>
      </c>
      <c r="D19" s="53"/>
      <c r="E19" s="51"/>
      <c r="F19" s="54"/>
      <c r="G19" s="54"/>
      <c r="H19" s="54">
        <f>SUBTOTAL(9,H20:H21)</f>
        <v>42906.096465833325</v>
      </c>
      <c r="I19" s="52"/>
    </row>
    <row r="20" spans="1:9" s="55" customFormat="1" ht="25.5">
      <c r="A20" s="56"/>
      <c r="B20" s="57" t="s">
        <v>532</v>
      </c>
      <c r="C20" s="58" t="s">
        <v>533</v>
      </c>
      <c r="D20" s="59">
        <v>1</v>
      </c>
      <c r="E20" s="57" t="s">
        <v>516</v>
      </c>
      <c r="F20" s="60"/>
      <c r="G20" s="60">
        <f>42759.03-14089.69</f>
        <v>28669.339999999997</v>
      </c>
      <c r="H20" s="60">
        <f t="shared" si="2"/>
        <v>28669.339999999997</v>
      </c>
      <c r="I20" s="61"/>
    </row>
    <row r="21" spans="1:9" s="55" customFormat="1" ht="25.5">
      <c r="A21" s="56"/>
      <c r="B21" s="57" t="s">
        <v>532</v>
      </c>
      <c r="C21" s="58" t="s">
        <v>534</v>
      </c>
      <c r="D21" s="59">
        <v>1</v>
      </c>
      <c r="E21" s="57" t="s">
        <v>516</v>
      </c>
      <c r="F21" s="60"/>
      <c r="G21" s="60">
        <v>14236.756465833329</v>
      </c>
      <c r="H21" s="60">
        <f t="shared" si="2"/>
        <v>14236.756465833329</v>
      </c>
      <c r="I21" s="61"/>
    </row>
    <row r="22" spans="1:9" s="55" customFormat="1">
      <c r="A22" s="50"/>
      <c r="B22" s="51"/>
      <c r="C22" s="52" t="s">
        <v>535</v>
      </c>
      <c r="D22" s="53"/>
      <c r="E22" s="51"/>
      <c r="F22" s="54"/>
      <c r="G22" s="54"/>
      <c r="H22" s="54">
        <f>SUBTOTAL(9,H23:H26)</f>
        <v>11956.920103333345</v>
      </c>
      <c r="I22" s="52"/>
    </row>
    <row r="23" spans="1:9" s="55" customFormat="1">
      <c r="A23" s="56"/>
      <c r="B23" s="57" t="s">
        <v>536</v>
      </c>
      <c r="C23" s="58" t="s">
        <v>537</v>
      </c>
      <c r="D23" s="59">
        <v>84</v>
      </c>
      <c r="E23" s="57" t="s">
        <v>514</v>
      </c>
      <c r="F23" s="60"/>
      <c r="G23" s="60">
        <v>90</v>
      </c>
      <c r="H23" s="60">
        <f t="shared" si="2"/>
        <v>7560</v>
      </c>
      <c r="I23" s="61"/>
    </row>
    <row r="24" spans="1:9" s="55" customFormat="1">
      <c r="A24" s="56"/>
      <c r="B24" s="57" t="s">
        <v>536</v>
      </c>
      <c r="C24" s="58" t="s">
        <v>538</v>
      </c>
      <c r="D24" s="59">
        <v>84</v>
      </c>
      <c r="E24" s="57" t="s">
        <v>514</v>
      </c>
      <c r="F24" s="60"/>
      <c r="G24" s="60">
        <v>8</v>
      </c>
      <c r="H24" s="60">
        <f t="shared" si="2"/>
        <v>672</v>
      </c>
      <c r="I24" s="61"/>
    </row>
    <row r="25" spans="1:9" s="55" customFormat="1">
      <c r="A25" s="56"/>
      <c r="B25" s="57" t="s">
        <v>536</v>
      </c>
      <c r="C25" s="58" t="s">
        <v>539</v>
      </c>
      <c r="D25" s="59">
        <v>84</v>
      </c>
      <c r="E25" s="57" t="s">
        <v>514</v>
      </c>
      <c r="F25" s="60"/>
      <c r="G25" s="60">
        <f>20.02+8.58</f>
        <v>28.6</v>
      </c>
      <c r="H25" s="60">
        <f t="shared" si="2"/>
        <v>2402.4</v>
      </c>
      <c r="I25" s="61"/>
    </row>
    <row r="26" spans="1:9" s="55" customFormat="1">
      <c r="A26" s="56"/>
      <c r="B26" s="57" t="s">
        <v>536</v>
      </c>
      <c r="C26" s="58" t="s">
        <v>540</v>
      </c>
      <c r="D26" s="59">
        <v>1</v>
      </c>
      <c r="E26" s="57" t="s">
        <v>519</v>
      </c>
      <c r="F26" s="60"/>
      <c r="G26" s="60">
        <v>1322.5201033333451</v>
      </c>
      <c r="H26" s="60">
        <f t="shared" si="2"/>
        <v>1322.5201033333451</v>
      </c>
      <c r="I26" s="61"/>
    </row>
    <row r="27" spans="1:9" s="55" customFormat="1">
      <c r="A27" s="50"/>
      <c r="B27" s="51"/>
      <c r="C27" s="52" t="s">
        <v>541</v>
      </c>
      <c r="D27" s="53"/>
      <c r="E27" s="51"/>
      <c r="F27" s="54"/>
      <c r="G27" s="54"/>
      <c r="H27" s="54">
        <f>SUBTOTAL(9,H28:H29)</f>
        <v>-28532.4375</v>
      </c>
      <c r="I27" s="52"/>
    </row>
    <row r="28" spans="1:9" s="68" customFormat="1" ht="12.75" outlineLevel="1">
      <c r="A28" s="62"/>
      <c r="B28" s="62" t="s">
        <v>517</v>
      </c>
      <c r="C28" s="63" t="s">
        <v>542</v>
      </c>
      <c r="D28" s="64">
        <v>1</v>
      </c>
      <c r="E28" s="65" t="s">
        <v>519</v>
      </c>
      <c r="F28" s="65"/>
      <c r="G28" s="66">
        <v>-26472</v>
      </c>
      <c r="H28" s="60">
        <f t="shared" si="2"/>
        <v>-26472</v>
      </c>
      <c r="I28" s="67"/>
    </row>
    <row r="29" spans="1:9" s="68" customFormat="1" ht="12.75" outlineLevel="1">
      <c r="A29" s="62"/>
      <c r="B29" s="62" t="s">
        <v>543</v>
      </c>
      <c r="C29" s="63" t="s">
        <v>544</v>
      </c>
      <c r="D29" s="64">
        <v>1</v>
      </c>
      <c r="E29" s="65" t="s">
        <v>519</v>
      </c>
      <c r="F29" s="65"/>
      <c r="G29" s="66">
        <v>-2060.4375</v>
      </c>
      <c r="H29" s="60">
        <f t="shared" si="2"/>
        <v>-2060.4375</v>
      </c>
      <c r="I29" s="67"/>
    </row>
    <row r="30" spans="1:9" s="55" customFormat="1">
      <c r="A30" s="50"/>
      <c r="B30" s="51"/>
      <c r="C30" s="52" t="s">
        <v>545</v>
      </c>
      <c r="D30" s="53"/>
      <c r="E30" s="51"/>
      <c r="F30" s="54"/>
      <c r="G30" s="54"/>
      <c r="H30" s="54">
        <f>SUBTOTAL(9,H31)</f>
        <v>17755.5</v>
      </c>
      <c r="I30" s="52"/>
    </row>
    <row r="31" spans="1:9" s="68" customFormat="1" ht="12.75" outlineLevel="1">
      <c r="A31" s="62"/>
      <c r="B31" s="62" t="s">
        <v>517</v>
      </c>
      <c r="C31" s="63" t="s">
        <v>546</v>
      </c>
      <c r="D31" s="64">
        <v>35</v>
      </c>
      <c r="E31" s="65" t="s">
        <v>547</v>
      </c>
      <c r="F31" s="65"/>
      <c r="G31" s="66">
        <f>385+122.3</f>
        <v>507.3</v>
      </c>
      <c r="H31" s="60">
        <f t="shared" si="2"/>
        <v>17755.5</v>
      </c>
      <c r="I31" s="67"/>
    </row>
    <row r="32" spans="1:9" s="49" customFormat="1">
      <c r="A32" s="44"/>
      <c r="B32" s="45"/>
      <c r="C32" s="46" t="s">
        <v>548</v>
      </c>
      <c r="D32" s="47"/>
      <c r="E32" s="45"/>
      <c r="F32" s="48"/>
      <c r="G32" s="48"/>
      <c r="H32" s="48">
        <f>SUBTOTAL(9,H33:H36)</f>
        <v>97874.276196666688</v>
      </c>
      <c r="I32" s="46"/>
    </row>
    <row r="33" spans="1:9" s="55" customFormat="1">
      <c r="A33" s="50"/>
      <c r="B33" s="51"/>
      <c r="C33" s="52" t="s">
        <v>549</v>
      </c>
      <c r="D33" s="53"/>
      <c r="E33" s="51"/>
      <c r="F33" s="54"/>
      <c r="G33" s="54"/>
      <c r="H33" s="54">
        <f>SUBTOTAL(9,H34:H36)</f>
        <v>97874.276196666688</v>
      </c>
      <c r="I33" s="54"/>
    </row>
    <row r="34" spans="1:9" s="68" customFormat="1" ht="12.75" outlineLevel="1">
      <c r="A34" s="62"/>
      <c r="B34" s="69" t="s">
        <v>550</v>
      </c>
      <c r="C34" s="70" t="s">
        <v>551</v>
      </c>
      <c r="D34" s="64">
        <v>1</v>
      </c>
      <c r="E34" s="65" t="s">
        <v>519</v>
      </c>
      <c r="F34" s="65"/>
      <c r="G34" s="66">
        <v>75874.276196666688</v>
      </c>
      <c r="H34" s="60">
        <f t="shared" ref="H34:H36" si="3">(F34+G34)*D34</f>
        <v>75874.276196666688</v>
      </c>
      <c r="I34" s="67"/>
    </row>
    <row r="35" spans="1:9" s="68" customFormat="1" ht="12.75" outlineLevel="1">
      <c r="A35" s="62"/>
      <c r="B35" s="69" t="s">
        <v>550</v>
      </c>
      <c r="C35" s="63" t="s">
        <v>552</v>
      </c>
      <c r="D35" s="64">
        <v>1</v>
      </c>
      <c r="E35" s="65" t="s">
        <v>519</v>
      </c>
      <c r="F35" s="65"/>
      <c r="G35" s="66">
        <v>20000</v>
      </c>
      <c r="H35" s="60">
        <f t="shared" si="3"/>
        <v>20000</v>
      </c>
      <c r="I35" s="67"/>
    </row>
    <row r="36" spans="1:9" s="68" customFormat="1" ht="12.75" outlineLevel="1">
      <c r="A36" s="62"/>
      <c r="B36" s="69" t="s">
        <v>553</v>
      </c>
      <c r="C36" s="71" t="s">
        <v>554</v>
      </c>
      <c r="D36" s="64">
        <v>1</v>
      </c>
      <c r="E36" s="65" t="s">
        <v>519</v>
      </c>
      <c r="F36" s="65"/>
      <c r="G36" s="66">
        <v>2000</v>
      </c>
      <c r="H36" s="60">
        <f t="shared" si="3"/>
        <v>2000</v>
      </c>
      <c r="I36" s="67"/>
    </row>
    <row r="37" spans="1:9" s="49" customFormat="1">
      <c r="A37" s="44"/>
      <c r="B37" s="45"/>
      <c r="C37" s="46" t="s">
        <v>555</v>
      </c>
      <c r="D37" s="47"/>
      <c r="E37" s="45"/>
      <c r="F37" s="48"/>
      <c r="G37" s="48"/>
      <c r="H37" s="48">
        <f>SUBTOTAL(9,H38:H41)</f>
        <v>101299.21</v>
      </c>
      <c r="I37" s="46"/>
    </row>
    <row r="38" spans="1:9" s="55" customFormat="1">
      <c r="A38" s="50"/>
      <c r="B38" s="51"/>
      <c r="C38" s="52" t="s">
        <v>556</v>
      </c>
      <c r="D38" s="53"/>
      <c r="E38" s="51"/>
      <c r="F38" s="54"/>
      <c r="G38" s="54"/>
      <c r="H38" s="72" t="s">
        <v>557</v>
      </c>
      <c r="I38" s="54"/>
    </row>
    <row r="39" spans="1:9" s="68" customFormat="1" ht="12.75" outlineLevel="1">
      <c r="A39" s="62"/>
      <c r="B39" s="69" t="s">
        <v>558</v>
      </c>
      <c r="C39" s="73" t="s">
        <v>559</v>
      </c>
      <c r="D39" s="64">
        <v>1</v>
      </c>
      <c r="E39" s="65" t="s">
        <v>519</v>
      </c>
      <c r="F39" s="65"/>
      <c r="G39" s="66">
        <v>49299.210000000006</v>
      </c>
      <c r="H39" s="60">
        <f t="shared" ref="H39:H41" si="4">(F39+G39)*D39</f>
        <v>49299.210000000006</v>
      </c>
      <c r="I39" s="67"/>
    </row>
    <row r="40" spans="1:9" s="68" customFormat="1" ht="12.75" outlineLevel="1">
      <c r="A40" s="62"/>
      <c r="B40" s="69" t="s">
        <v>558</v>
      </c>
      <c r="C40" s="73" t="s">
        <v>560</v>
      </c>
      <c r="D40" s="64">
        <v>1</v>
      </c>
      <c r="E40" s="65" t="s">
        <v>519</v>
      </c>
      <c r="F40" s="65"/>
      <c r="G40" s="66">
        <v>50000</v>
      </c>
      <c r="H40" s="60">
        <f t="shared" si="4"/>
        <v>50000</v>
      </c>
      <c r="I40" s="67"/>
    </row>
    <row r="41" spans="1:9" s="68" customFormat="1" ht="12.75" outlineLevel="1">
      <c r="A41" s="62"/>
      <c r="B41" s="69" t="s">
        <v>553</v>
      </c>
      <c r="C41" s="73" t="s">
        <v>561</v>
      </c>
      <c r="D41" s="64">
        <v>1</v>
      </c>
      <c r="E41" s="65" t="s">
        <v>519</v>
      </c>
      <c r="F41" s="65"/>
      <c r="G41" s="66">
        <v>2000</v>
      </c>
      <c r="H41" s="60">
        <f t="shared" si="4"/>
        <v>2000</v>
      </c>
      <c r="I41" s="67"/>
    </row>
    <row r="42" spans="1:9" s="49" customFormat="1">
      <c r="A42" s="44"/>
      <c r="B42" s="45"/>
      <c r="C42" s="46" t="s">
        <v>562</v>
      </c>
      <c r="D42" s="47"/>
      <c r="E42" s="45"/>
      <c r="F42" s="48"/>
      <c r="G42" s="48"/>
      <c r="H42" s="48">
        <f>SUBTOTAL(9,H43:H137)</f>
        <v>878757.67</v>
      </c>
      <c r="I42" s="46"/>
    </row>
    <row r="43" spans="1:9" s="55" customFormat="1">
      <c r="A43" s="50"/>
      <c r="B43" s="51"/>
      <c r="C43" s="52" t="s">
        <v>531</v>
      </c>
      <c r="D43" s="53"/>
      <c r="E43" s="51"/>
      <c r="F43" s="54"/>
      <c r="G43" s="54"/>
      <c r="H43" s="54">
        <f>SUBTOTAL(9,H44)</f>
        <v>791577.67</v>
      </c>
      <c r="I43" s="54"/>
    </row>
    <row r="44" spans="1:9" s="68" customFormat="1" ht="12.75" outlineLevel="1">
      <c r="A44" s="62"/>
      <c r="B44" s="69" t="s">
        <v>563</v>
      </c>
      <c r="C44" s="73" t="s">
        <v>531</v>
      </c>
      <c r="D44" s="64">
        <v>1</v>
      </c>
      <c r="E44" s="65" t="s">
        <v>519</v>
      </c>
      <c r="F44" s="65"/>
      <c r="G44" s="66">
        <v>791577.67</v>
      </c>
      <c r="H44" s="60">
        <f t="shared" ref="H44" si="5">(F44+G44)*D44</f>
        <v>791577.67</v>
      </c>
      <c r="I44" s="67"/>
    </row>
    <row r="45" spans="1:9" s="55" customFormat="1">
      <c r="A45" s="50"/>
      <c r="B45" s="51"/>
      <c r="C45" s="52" t="s">
        <v>564</v>
      </c>
      <c r="D45" s="53"/>
      <c r="E45" s="51"/>
      <c r="F45" s="54"/>
      <c r="G45" s="54"/>
      <c r="H45" s="54">
        <f>SUBTOTAL(9,H46)</f>
        <v>7500</v>
      </c>
      <c r="I45" s="54"/>
    </row>
    <row r="46" spans="1:9" s="68" customFormat="1" ht="22.5" outlineLevel="1">
      <c r="A46" s="62"/>
      <c r="B46" s="69" t="s">
        <v>553</v>
      </c>
      <c r="C46" s="73" t="s">
        <v>565</v>
      </c>
      <c r="D46" s="64">
        <v>1</v>
      </c>
      <c r="E46" s="65" t="s">
        <v>519</v>
      </c>
      <c r="F46" s="65"/>
      <c r="G46" s="66">
        <v>7500</v>
      </c>
      <c r="H46" s="60">
        <f t="shared" ref="H46" si="6">(F46+G46)*D46</f>
        <v>7500</v>
      </c>
      <c r="I46" s="67"/>
    </row>
    <row r="47" spans="1:9" s="55" customFormat="1">
      <c r="A47" s="50"/>
      <c r="B47" s="51"/>
      <c r="C47" s="52" t="s">
        <v>566</v>
      </c>
      <c r="D47" s="53"/>
      <c r="E47" s="51"/>
      <c r="F47" s="54"/>
      <c r="G47" s="54"/>
      <c r="H47" s="54">
        <f>SUBTOTAL(9,H48:H49)</f>
        <v>13680</v>
      </c>
      <c r="I47" s="54"/>
    </row>
    <row r="48" spans="1:9" s="68" customFormat="1" ht="12.75" outlineLevel="1">
      <c r="A48" s="62"/>
      <c r="B48" s="69" t="s">
        <v>567</v>
      </c>
      <c r="C48" s="73" t="s">
        <v>568</v>
      </c>
      <c r="D48" s="64">
        <v>104</v>
      </c>
      <c r="E48" s="65" t="s">
        <v>519</v>
      </c>
      <c r="F48" s="65"/>
      <c r="G48" s="66">
        <v>90</v>
      </c>
      <c r="H48" s="60">
        <f t="shared" ref="H48:H49" si="7">(F48+G48)*D48</f>
        <v>9360</v>
      </c>
      <c r="I48" s="67"/>
    </row>
    <row r="49" spans="1:9" s="68" customFormat="1" ht="12.75" outlineLevel="1">
      <c r="A49" s="62"/>
      <c r="B49" s="69" t="s">
        <v>567</v>
      </c>
      <c r="C49" s="73" t="s">
        <v>569</v>
      </c>
      <c r="D49" s="64">
        <v>48</v>
      </c>
      <c r="E49" s="65" t="s">
        <v>519</v>
      </c>
      <c r="F49" s="65"/>
      <c r="G49" s="66">
        <v>90</v>
      </c>
      <c r="H49" s="60">
        <f t="shared" si="7"/>
        <v>4320</v>
      </c>
      <c r="I49" s="67"/>
    </row>
    <row r="50" spans="1:9" s="55" customFormat="1">
      <c r="A50" s="50"/>
      <c r="B50" s="51"/>
      <c r="C50" s="52" t="s">
        <v>566</v>
      </c>
      <c r="D50" s="53"/>
      <c r="E50" s="51"/>
      <c r="F50" s="54"/>
      <c r="G50" s="54"/>
      <c r="H50" s="54">
        <f>SUBTOTAL(9,H51)</f>
        <v>36000</v>
      </c>
      <c r="I50" s="54"/>
    </row>
    <row r="51" spans="1:9" s="68" customFormat="1" ht="12.75" outlineLevel="1">
      <c r="A51" s="62"/>
      <c r="B51" s="69" t="s">
        <v>567</v>
      </c>
      <c r="C51" s="73" t="s">
        <v>570</v>
      </c>
      <c r="D51" s="64">
        <v>8</v>
      </c>
      <c r="E51" s="65" t="s">
        <v>519</v>
      </c>
      <c r="F51" s="65"/>
      <c r="G51" s="66">
        <v>4500</v>
      </c>
      <c r="H51" s="60">
        <f t="shared" ref="H51" si="8">(F51+G51)*D51</f>
        <v>36000</v>
      </c>
      <c r="I51" s="67"/>
    </row>
    <row r="52" spans="1:9" s="55" customFormat="1">
      <c r="A52" s="50"/>
      <c r="B52" s="51"/>
      <c r="C52" s="52" t="s">
        <v>571</v>
      </c>
      <c r="D52" s="53"/>
      <c r="E52" s="51"/>
      <c r="F52" s="54"/>
      <c r="G52" s="54"/>
      <c r="H52" s="54">
        <f>SUBTOTAL(9,H53)</f>
        <v>30000</v>
      </c>
      <c r="I52" s="54"/>
    </row>
    <row r="53" spans="1:9" s="68" customFormat="1" ht="12.75" outlineLevel="1">
      <c r="A53" s="62"/>
      <c r="B53" s="69" t="s">
        <v>572</v>
      </c>
      <c r="C53" s="73" t="s">
        <v>573</v>
      </c>
      <c r="D53" s="64">
        <v>1</v>
      </c>
      <c r="E53" s="65" t="s">
        <v>519</v>
      </c>
      <c r="F53" s="65"/>
      <c r="G53" s="66">
        <v>30000</v>
      </c>
      <c r="H53" s="60">
        <f t="shared" ref="H53" si="9">(F53+G53)*D53</f>
        <v>30000</v>
      </c>
      <c r="I53" s="67"/>
    </row>
  </sheetData>
  <conditionalFormatting sqref="A1:I1">
    <cfRule type="expression" dxfId="93" priority="90">
      <formula>#REF!="TOTAL"</formula>
    </cfRule>
    <cfRule type="expression" dxfId="92" priority="91" stopIfTrue="1">
      <formula>#REF!="TO"</formula>
    </cfRule>
    <cfRule type="expression" dxfId="91" priority="92">
      <formula>LEN(#REF!)=2</formula>
    </cfRule>
    <cfRule type="expression" dxfId="90" priority="93">
      <formula>LEN(#REF!)=5</formula>
    </cfRule>
  </conditionalFormatting>
  <conditionalFormatting sqref="A32:I32">
    <cfRule type="expression" dxfId="89" priority="86">
      <formula>#REF!="TOTAL"</formula>
    </cfRule>
    <cfRule type="expression" dxfId="88" priority="87" stopIfTrue="1">
      <formula>#REF!="TO"</formula>
    </cfRule>
    <cfRule type="expression" dxfId="87" priority="88">
      <formula>LEN(#REF!)=2</formula>
    </cfRule>
    <cfRule type="expression" dxfId="86" priority="89">
      <formula>LEN(#REF!)=5</formula>
    </cfRule>
  </conditionalFormatting>
  <conditionalFormatting sqref="A37:I37">
    <cfRule type="expression" dxfId="85" priority="81">
      <formula>#REF!="TOTAL"</formula>
    </cfRule>
    <cfRule type="expression" dxfId="84" priority="82" stopIfTrue="1">
      <formula>#REF!="TO"</formula>
    </cfRule>
    <cfRule type="expression" dxfId="83" priority="83">
      <formula>LEN(#REF!)=2</formula>
    </cfRule>
    <cfRule type="expression" dxfId="82" priority="84">
      <formula>LEN(#REF!)=5</formula>
    </cfRule>
  </conditionalFormatting>
  <conditionalFormatting sqref="A42:I42">
    <cfRule type="expression" dxfId="81" priority="64">
      <formula>#REF!="TOTAL"</formula>
    </cfRule>
    <cfRule type="expression" dxfId="80" priority="65" stopIfTrue="1">
      <formula>#REF!="TO"</formula>
    </cfRule>
    <cfRule type="expression" dxfId="79" priority="66">
      <formula>LEN(#REF!)=2</formula>
    </cfRule>
    <cfRule type="expression" dxfId="78" priority="67">
      <formula>LEN(#REF!)=5</formula>
    </cfRule>
  </conditionalFormatting>
  <conditionalFormatting sqref="B34:B35">
    <cfRule type="duplicateValues" dxfId="77" priority="85"/>
  </conditionalFormatting>
  <conditionalFormatting sqref="B39:B40">
    <cfRule type="duplicateValues" dxfId="76" priority="80"/>
  </conditionalFormatting>
  <conditionalFormatting sqref="B44">
    <cfRule type="duplicateValues" dxfId="75" priority="94"/>
  </conditionalFormatting>
  <conditionalFormatting sqref="B48:B49">
    <cfRule type="duplicateValues" dxfId="74" priority="39"/>
  </conditionalFormatting>
  <conditionalFormatting sqref="B51">
    <cfRule type="duplicateValues" dxfId="73" priority="1"/>
  </conditionalFormatting>
  <conditionalFormatting sqref="B53">
    <cfRule type="duplicateValues" dxfId="72" priority="14"/>
  </conditionalFormatting>
  <conditionalFormatting sqref="C39:C41">
    <cfRule type="expression" dxfId="71" priority="68">
      <formula>#REF!="TOTAL"</formula>
    </cfRule>
    <cfRule type="expression" dxfId="70" priority="69">
      <formula>LEN(#REF!)=2</formula>
    </cfRule>
    <cfRule type="expression" dxfId="69" priority="70">
      <formula>LEN(#REF!)=5</formula>
    </cfRule>
    <cfRule type="expression" dxfId="68" priority="71" stopIfTrue="1">
      <formula>#REF!="TO"</formula>
    </cfRule>
    <cfRule type="expression" dxfId="67" priority="72">
      <formula>#REF!="TOTAL"</formula>
    </cfRule>
    <cfRule type="expression" dxfId="66" priority="73">
      <formula>LEN(#REF!)=2</formula>
    </cfRule>
    <cfRule type="expression" dxfId="65" priority="74">
      <formula>LEN(#REF!)=5</formula>
    </cfRule>
    <cfRule type="expression" dxfId="64" priority="75" stopIfTrue="1">
      <formula>#REF!="TO"</formula>
    </cfRule>
    <cfRule type="expression" dxfId="63" priority="76">
      <formula>LEN(#REF!)=5</formula>
    </cfRule>
    <cfRule type="expression" dxfId="62" priority="77" stopIfTrue="1">
      <formula>#REF!="TO"</formula>
    </cfRule>
    <cfRule type="expression" dxfId="61" priority="78">
      <formula>LEN(#REF!)=2</formula>
    </cfRule>
    <cfRule type="expression" dxfId="60" priority="79">
      <formula>#REF!="TOTAL"</formula>
    </cfRule>
  </conditionalFormatting>
  <conditionalFormatting sqref="C44">
    <cfRule type="expression" dxfId="59" priority="52">
      <formula>#REF!="TOTAL"</formula>
    </cfRule>
    <cfRule type="expression" dxfId="58" priority="53">
      <formula>LEN(#REF!)=2</formula>
    </cfRule>
    <cfRule type="expression" dxfId="57" priority="54">
      <formula>LEN(#REF!)=5</formula>
    </cfRule>
    <cfRule type="expression" dxfId="56" priority="55" stopIfTrue="1">
      <formula>#REF!="TO"</formula>
    </cfRule>
    <cfRule type="expression" dxfId="55" priority="56">
      <formula>#REF!="TOTAL"</formula>
    </cfRule>
    <cfRule type="expression" dxfId="54" priority="57">
      <formula>LEN(#REF!)=2</formula>
    </cfRule>
    <cfRule type="expression" dxfId="53" priority="58">
      <formula>LEN(#REF!)=5</formula>
    </cfRule>
    <cfRule type="expression" dxfId="52" priority="59" stopIfTrue="1">
      <formula>#REF!="TO"</formula>
    </cfRule>
    <cfRule type="expression" dxfId="51" priority="60">
      <formula>LEN(#REF!)=5</formula>
    </cfRule>
    <cfRule type="expression" dxfId="50" priority="61" stopIfTrue="1">
      <formula>#REF!="TO"</formula>
    </cfRule>
    <cfRule type="expression" dxfId="49" priority="62">
      <formula>LEN(#REF!)=2</formula>
    </cfRule>
    <cfRule type="expression" dxfId="48" priority="63">
      <formula>#REF!="TOTAL"</formula>
    </cfRule>
  </conditionalFormatting>
  <conditionalFormatting sqref="C46">
    <cfRule type="expression" dxfId="47" priority="40">
      <formula>#REF!="TOTAL"</formula>
    </cfRule>
    <cfRule type="expression" dxfId="46" priority="41">
      <formula>LEN(#REF!)=2</formula>
    </cfRule>
    <cfRule type="expression" dxfId="45" priority="42">
      <formula>LEN(#REF!)=5</formula>
    </cfRule>
    <cfRule type="expression" dxfId="44" priority="43" stopIfTrue="1">
      <formula>#REF!="TO"</formula>
    </cfRule>
    <cfRule type="expression" dxfId="43" priority="44">
      <formula>#REF!="TOTAL"</formula>
    </cfRule>
    <cfRule type="expression" dxfId="42" priority="45">
      <formula>LEN(#REF!)=2</formula>
    </cfRule>
    <cfRule type="expression" dxfId="41" priority="46">
      <formula>LEN(#REF!)=5</formula>
    </cfRule>
    <cfRule type="expression" dxfId="40" priority="47" stopIfTrue="1">
      <formula>#REF!="TO"</formula>
    </cfRule>
    <cfRule type="expression" dxfId="39" priority="48">
      <formula>LEN(#REF!)=5</formula>
    </cfRule>
    <cfRule type="expression" dxfId="38" priority="49" stopIfTrue="1">
      <formula>#REF!="TO"</formula>
    </cfRule>
    <cfRule type="expression" dxfId="37" priority="50">
      <formula>LEN(#REF!)=2</formula>
    </cfRule>
    <cfRule type="expression" dxfId="36" priority="51">
      <formula>#REF!="TOTAL"</formula>
    </cfRule>
  </conditionalFormatting>
  <conditionalFormatting sqref="C48:C49">
    <cfRule type="expression" dxfId="35" priority="27">
      <formula>#REF!="TOTAL"</formula>
    </cfRule>
    <cfRule type="expression" dxfId="34" priority="28">
      <formula>LEN(#REF!)=2</formula>
    </cfRule>
    <cfRule type="expression" dxfId="33" priority="29">
      <formula>LEN(#REF!)=5</formula>
    </cfRule>
    <cfRule type="expression" dxfId="32" priority="30" stopIfTrue="1">
      <formula>#REF!="TO"</formula>
    </cfRule>
    <cfRule type="expression" dxfId="31" priority="31">
      <formula>#REF!="TOTAL"</formula>
    </cfRule>
    <cfRule type="expression" dxfId="30" priority="32">
      <formula>LEN(#REF!)=2</formula>
    </cfRule>
    <cfRule type="expression" dxfId="29" priority="33">
      <formula>LEN(#REF!)=5</formula>
    </cfRule>
    <cfRule type="expression" dxfId="28" priority="34" stopIfTrue="1">
      <formula>#REF!="TO"</formula>
    </cfRule>
    <cfRule type="expression" dxfId="27" priority="35">
      <formula>LEN(#REF!)=5</formula>
    </cfRule>
    <cfRule type="expression" dxfId="26" priority="36" stopIfTrue="1">
      <formula>#REF!="TO"</formula>
    </cfRule>
    <cfRule type="expression" dxfId="25" priority="37">
      <formula>LEN(#REF!)=2</formula>
    </cfRule>
    <cfRule type="expression" dxfId="24" priority="38">
      <formula>#REF!="TOTAL"</formula>
    </cfRule>
  </conditionalFormatting>
  <conditionalFormatting sqref="C51">
    <cfRule type="expression" dxfId="23" priority="15">
      <formula>#REF!="TOTAL"</formula>
    </cfRule>
    <cfRule type="expression" dxfId="22" priority="16">
      <formula>LEN(#REF!)=2</formula>
    </cfRule>
    <cfRule type="expression" dxfId="21" priority="17">
      <formula>LEN(#REF!)=5</formula>
    </cfRule>
    <cfRule type="expression" dxfId="20" priority="18" stopIfTrue="1">
      <formula>#REF!="TO"</formula>
    </cfRule>
    <cfRule type="expression" dxfId="19" priority="19">
      <formula>#REF!="TOTAL"</formula>
    </cfRule>
    <cfRule type="expression" dxfId="18" priority="20">
      <formula>LEN(#REF!)=2</formula>
    </cfRule>
    <cfRule type="expression" dxfId="17" priority="21">
      <formula>LEN(#REF!)=5</formula>
    </cfRule>
    <cfRule type="expression" dxfId="16" priority="22" stopIfTrue="1">
      <formula>#REF!="TO"</formula>
    </cfRule>
    <cfRule type="expression" dxfId="15" priority="23">
      <formula>LEN(#REF!)=5</formula>
    </cfRule>
    <cfRule type="expression" dxfId="14" priority="24" stopIfTrue="1">
      <formula>#REF!="TO"</formula>
    </cfRule>
    <cfRule type="expression" dxfId="13" priority="25">
      <formula>LEN(#REF!)=2</formula>
    </cfRule>
    <cfRule type="expression" dxfId="12" priority="26">
      <formula>#REF!="TOTAL"</formula>
    </cfRule>
  </conditionalFormatting>
  <conditionalFormatting sqref="C53">
    <cfRule type="expression" dxfId="11" priority="2">
      <formula>#REF!="TOTAL"</formula>
    </cfRule>
    <cfRule type="expression" dxfId="10" priority="3">
      <formula>LEN(#REF!)=2</formula>
    </cfRule>
    <cfRule type="expression" dxfId="9" priority="4">
      <formula>LEN(#REF!)=5</formula>
    </cfRule>
    <cfRule type="expression" dxfId="8" priority="5" stopIfTrue="1">
      <formula>#REF!="TO"</formula>
    </cfRule>
    <cfRule type="expression" dxfId="7" priority="6">
      <formula>#REF!="TOTAL"</formula>
    </cfRule>
    <cfRule type="expression" dxfId="6" priority="7">
      <formula>LEN(#REF!)=2</formula>
    </cfRule>
    <cfRule type="expression" dxfId="5" priority="8">
      <formula>LEN(#REF!)=5</formula>
    </cfRule>
    <cfRule type="expression" dxfId="4" priority="9" stopIfTrue="1">
      <formula>#REF!="TO"</formula>
    </cfRule>
    <cfRule type="expression" dxfId="3" priority="10">
      <formula>LEN(#REF!)=5</formula>
    </cfRule>
    <cfRule type="expression" dxfId="2" priority="11" stopIfTrue="1">
      <formula>#REF!="TO"</formula>
    </cfRule>
    <cfRule type="expression" dxfId="1" priority="12">
      <formula>LEN(#REF!)=2</formula>
    </cfRule>
    <cfRule type="expression" dxfId="0" priority="13">
      <formula>#REF!="TOTAL"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FCDDD-8B3C-47F8-845D-BB080F58F0D9}">
  <dimension ref="A1:G16"/>
  <sheetViews>
    <sheetView workbookViewId="0"/>
  </sheetViews>
  <sheetFormatPr defaultRowHeight="12.75"/>
  <cols>
    <col min="1" max="1" width="19" customWidth="1"/>
    <col min="2" max="2" width="16" style="28" customWidth="1"/>
    <col min="3" max="4" width="14.5703125" style="28" bestFit="1" customWidth="1"/>
    <col min="5" max="5" width="10" customWidth="1"/>
    <col min="6" max="6" width="62.28515625" customWidth="1"/>
  </cols>
  <sheetData>
    <row r="1" spans="1:7">
      <c r="A1" t="s">
        <v>574</v>
      </c>
      <c r="B1" s="28">
        <v>6600787.2000000002</v>
      </c>
      <c r="C1" s="28">
        <v>6406978.3200000003</v>
      </c>
      <c r="D1" s="28">
        <f>B1-C1</f>
        <v>193808.87999999989</v>
      </c>
      <c r="F1" t="s">
        <v>575</v>
      </c>
    </row>
    <row r="2" spans="1:7">
      <c r="A2" s="30" t="s">
        <v>576</v>
      </c>
      <c r="B2" s="28">
        <v>639358.87</v>
      </c>
      <c r="C2" s="28">
        <v>550000</v>
      </c>
      <c r="D2" s="28">
        <f>B2-C2-(50000)</f>
        <v>39358.869999999995</v>
      </c>
      <c r="F2" t="s">
        <v>575</v>
      </c>
    </row>
    <row r="3" spans="1:7">
      <c r="A3" t="s">
        <v>577</v>
      </c>
      <c r="B3" s="28">
        <v>284766.76</v>
      </c>
      <c r="C3" s="28">
        <v>231051.59</v>
      </c>
      <c r="D3" s="28">
        <f>B3-C3-(20000)</f>
        <v>33715.170000000013</v>
      </c>
      <c r="F3" t="s">
        <v>575</v>
      </c>
    </row>
    <row r="4" spans="1:7">
      <c r="A4" t="s">
        <v>578</v>
      </c>
      <c r="B4" s="28">
        <v>115115</v>
      </c>
      <c r="C4" s="28">
        <v>106000</v>
      </c>
      <c r="D4" s="28">
        <f t="shared" ref="D4:D10" si="0">B4-C4</f>
        <v>9115</v>
      </c>
      <c r="F4" t="s">
        <v>575</v>
      </c>
    </row>
    <row r="5" spans="1:7">
      <c r="A5" t="s">
        <v>579</v>
      </c>
      <c r="B5" s="28">
        <v>70761.600000000006</v>
      </c>
      <c r="C5" s="28">
        <v>65000</v>
      </c>
      <c r="D5" s="28">
        <f t="shared" si="0"/>
        <v>5761.6000000000058</v>
      </c>
      <c r="F5" t="s">
        <v>580</v>
      </c>
    </row>
    <row r="6" spans="1:7">
      <c r="A6" t="s">
        <v>581</v>
      </c>
      <c r="B6" s="28">
        <v>25043.34</v>
      </c>
      <c r="C6" s="28">
        <v>32000</v>
      </c>
      <c r="D6" s="28">
        <f t="shared" si="0"/>
        <v>-6956.66</v>
      </c>
    </row>
    <row r="7" spans="1:7">
      <c r="A7" t="s">
        <v>582</v>
      </c>
      <c r="B7" s="28">
        <v>1814843.02</v>
      </c>
      <c r="C7" s="28">
        <v>1900000</v>
      </c>
      <c r="D7" s="28">
        <f t="shared" si="0"/>
        <v>-85156.979999999981</v>
      </c>
    </row>
    <row r="8" spans="1:7">
      <c r="A8" t="s">
        <v>583</v>
      </c>
      <c r="B8" s="28">
        <v>154243.5</v>
      </c>
      <c r="C8" s="28">
        <v>70415.649999999994</v>
      </c>
      <c r="D8" s="28">
        <f t="shared" si="0"/>
        <v>83827.850000000006</v>
      </c>
    </row>
    <row r="9" spans="1:7">
      <c r="A9" t="s">
        <v>584</v>
      </c>
      <c r="B9" s="28">
        <v>50203.63</v>
      </c>
      <c r="C9" s="28">
        <v>59491.519999999997</v>
      </c>
      <c r="D9" s="28">
        <f t="shared" si="0"/>
        <v>-9287.89</v>
      </c>
    </row>
    <row r="10" spans="1:7">
      <c r="A10" t="s">
        <v>585</v>
      </c>
      <c r="B10" s="31">
        <v>185661.87</v>
      </c>
      <c r="C10" s="28">
        <v>184147.52</v>
      </c>
      <c r="D10" s="28">
        <f t="shared" si="0"/>
        <v>1514.3500000000058</v>
      </c>
    </row>
    <row r="11" spans="1:7">
      <c r="A11" t="s">
        <v>586</v>
      </c>
      <c r="B11" s="28">
        <v>166886.07</v>
      </c>
      <c r="C11" s="28">
        <v>189000</v>
      </c>
      <c r="D11" s="28">
        <f>B11-C11</f>
        <v>-22113.929999999993</v>
      </c>
      <c r="F11" t="s">
        <v>587</v>
      </c>
    </row>
    <row r="15" spans="1:7">
      <c r="G15" s="29" t="s">
        <v>585</v>
      </c>
    </row>
    <row r="16" spans="1:7">
      <c r="G16" t="s">
        <v>583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8A5523E6-D50F-451B-B4BF-51FFB9742D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2E50CA-3DC7-4B8F-AC44-AFA91535EC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7c5de3-9a7e-4746-8864-4639822a3b04"/>
    <ds:schemaRef ds:uri="fa6617d2-e089-4eba-9d23-c7e770ea42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B3A2768-E707-4843-BC1E-99C1FB1BFF6A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33c6088f-4d87-48d9-b3ed-55fb2e450309"/>
    <ds:schemaRef ds:uri="dafd0987-cabc-4225-a8c0-f5bc4ebc4d67"/>
    <ds:schemaRef ds:uri="f07c5de3-9a7e-4746-8864-4639822a3b04"/>
    <ds:schemaRef ds:uri="fa6617d2-e089-4eba-9d23-c7e770ea425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17</vt:i4>
      </vt:variant>
      <vt:variant>
        <vt:lpstr>Intervalos Nomeados</vt:lpstr>
      </vt:variant>
      <vt:variant>
        <vt:i4>7</vt:i4>
      </vt:variant>
    </vt:vector>
  </HeadingPairs>
  <TitlesOfParts>
    <vt:vector size="24" baseType="lpstr">
      <vt:lpstr>Detalhamento - G200</vt:lpstr>
      <vt:lpstr>Pedidos - G200</vt:lpstr>
      <vt:lpstr>Gestão de Contratos</vt:lpstr>
      <vt:lpstr>Contratos - G200</vt:lpstr>
      <vt:lpstr>Projeções - G200</vt:lpstr>
      <vt:lpstr>Notas fiscais - G200</vt:lpstr>
      <vt:lpstr>Detalhamento - Sub69</vt:lpstr>
      <vt:lpstr>Pedidos - Sub69</vt:lpstr>
      <vt:lpstr>Contratos - Sub69</vt:lpstr>
      <vt:lpstr>Projeções - Sub69</vt:lpstr>
      <vt:lpstr>Notas fiscais - Sub69</vt:lpstr>
      <vt:lpstr>Detalhamento</vt:lpstr>
      <vt:lpstr>Base Slide</vt:lpstr>
      <vt:lpstr>Comprometido</vt:lpstr>
      <vt:lpstr>PEDIDOS DE ESCOPOS A SEREM INCO</vt:lpstr>
      <vt:lpstr>ESCOPOS NOVOS</vt:lpstr>
      <vt:lpstr>Planilha1</vt:lpstr>
      <vt:lpstr>'Base Slide'!Area_de_impressao</vt:lpstr>
      <vt:lpstr>Detalhamento!Area_de_impressao</vt:lpstr>
      <vt:lpstr>'Detalhamento - G200'!Area_de_impressao</vt:lpstr>
      <vt:lpstr>'Detalhamento - Sub69'!Area_de_impressao</vt:lpstr>
      <vt:lpstr>Detalhamento!Titulos_de_impressao</vt:lpstr>
      <vt:lpstr>'Detalhamento - G200'!Titulos_de_impressao</vt:lpstr>
      <vt:lpstr>'Detalhamento - Sub69'!Titulos_de_impressao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Juna Farias</dc:creator>
  <cp:keywords/>
  <dc:description/>
  <cp:lastModifiedBy>Alexsandro Morais</cp:lastModifiedBy>
  <cp:revision/>
  <dcterms:created xsi:type="dcterms:W3CDTF">2024-06-04T17:34:02Z</dcterms:created>
  <dcterms:modified xsi:type="dcterms:W3CDTF">2026-05-25T14:26:49Z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  <property fmtid="{D5CDD505-2E9C-101B-9397-08002B2CF9AE}" pid="3" name="MediaServiceImageTags">
    <vt:lpwstr/>
  </property>
</Properties>
</file>