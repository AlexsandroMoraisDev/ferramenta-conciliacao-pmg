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149" documentId="11_73FA5E8FBA88BB88A229CC2CC0F298A26C4857A4" xr6:coauthVersionLast="47" xr6:coauthVersionMax="47" xr10:uidLastSave="{96F9A065-8DD5-434A-83C0-2BFEBD4849AA}"/>
  <bookViews>
    <workbookView xWindow="-21720" yWindow="1020" windowWidth="21840" windowHeight="13020" xr2:uid="{00000000-000D-0000-FFFF-FFFF00000000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Data!$A$1:$L$209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14" i="1"/>
  <c r="B36" i="1"/>
  <c r="B38" i="1"/>
  <c r="B40" i="1"/>
  <c r="B55" i="1"/>
  <c r="B45" i="1"/>
  <c r="B46" i="1"/>
  <c r="B25" i="1"/>
  <c r="B26" i="1"/>
  <c r="B21" i="1"/>
  <c r="B35" i="1"/>
  <c r="B27" i="1"/>
  <c r="B29" i="1"/>
  <c r="B66" i="1"/>
  <c r="B57" i="1"/>
  <c r="B68" i="1"/>
  <c r="B69" i="1"/>
  <c r="B44" i="1"/>
  <c r="B71" i="1"/>
  <c r="B72" i="1"/>
  <c r="B73" i="1"/>
  <c r="B75" i="1"/>
  <c r="B78" i="1"/>
  <c r="B80" i="1"/>
  <c r="B81" i="1"/>
  <c r="B82" i="1"/>
  <c r="B83" i="1"/>
  <c r="B84" i="1"/>
  <c r="B85" i="1"/>
  <c r="B86" i="1"/>
  <c r="B87" i="1"/>
  <c r="B89" i="1"/>
  <c r="B91" i="1"/>
  <c r="B92" i="1"/>
  <c r="B94" i="1"/>
  <c r="B95" i="1"/>
  <c r="B96" i="1"/>
  <c r="B97" i="1"/>
  <c r="B98" i="1"/>
  <c r="B99" i="1"/>
  <c r="B100" i="1"/>
  <c r="B101" i="1"/>
  <c r="B102" i="1"/>
  <c r="B103" i="1"/>
  <c r="B105" i="1"/>
  <c r="B107" i="1"/>
  <c r="B30" i="1"/>
  <c r="B109" i="1"/>
  <c r="B111" i="1"/>
  <c r="B112" i="1"/>
  <c r="B113" i="1"/>
  <c r="B114" i="1"/>
  <c r="B116" i="1"/>
  <c r="B118" i="1"/>
  <c r="B119" i="1"/>
  <c r="B121" i="1"/>
  <c r="B122" i="1"/>
  <c r="B123" i="1"/>
  <c r="B124" i="1"/>
  <c r="B125" i="1"/>
  <c r="B126" i="1"/>
  <c r="B127" i="1"/>
  <c r="B128" i="1"/>
  <c r="B129" i="1"/>
  <c r="B130" i="1"/>
  <c r="B131" i="1"/>
  <c r="B133" i="1"/>
  <c r="B134" i="1"/>
  <c r="B135" i="1"/>
  <c r="B136" i="1"/>
  <c r="B138" i="1"/>
  <c r="B140" i="1"/>
  <c r="B141" i="1"/>
  <c r="B142" i="1"/>
  <c r="B143" i="1"/>
  <c r="B144" i="1"/>
  <c r="B145" i="1"/>
  <c r="B147" i="1"/>
  <c r="B148" i="1"/>
  <c r="B149" i="1"/>
  <c r="B150" i="1"/>
  <c r="B152" i="1"/>
  <c r="B153" i="1"/>
  <c r="B154" i="1"/>
  <c r="B158" i="1"/>
  <c r="B160" i="1"/>
  <c r="B161" i="1"/>
  <c r="B162" i="1"/>
  <c r="B163" i="1"/>
  <c r="B164" i="1"/>
  <c r="B165" i="1"/>
  <c r="B166" i="1"/>
  <c r="B167" i="1"/>
  <c r="B168" i="1"/>
  <c r="B169" i="1"/>
  <c r="B170" i="1"/>
  <c r="B31" i="1"/>
  <c r="B178" i="1"/>
  <c r="B179" i="1"/>
  <c r="B180" i="1"/>
  <c r="B181" i="1"/>
  <c r="B182" i="1"/>
  <c r="B184" i="1"/>
  <c r="B185" i="1"/>
  <c r="B187" i="1"/>
  <c r="B189" i="1"/>
  <c r="B190" i="1"/>
  <c r="B192" i="1"/>
  <c r="B195" i="1"/>
  <c r="B196" i="1"/>
  <c r="B197" i="1"/>
  <c r="B198" i="1"/>
  <c r="B199" i="1"/>
  <c r="B200" i="1"/>
  <c r="B201" i="1"/>
  <c r="B202" i="1"/>
  <c r="B203" i="1"/>
  <c r="B204" i="1"/>
  <c r="B205" i="1"/>
  <c r="B146" i="1" l="1"/>
  <c r="B18" i="1"/>
  <c r="B177" i="1"/>
  <c r="B23" i="1"/>
  <c r="B65" i="1"/>
  <c r="B37" i="1"/>
  <c r="B17" i="1"/>
  <c r="B9" i="1"/>
  <c r="B208" i="1"/>
  <c r="B120" i="1"/>
  <c r="B104" i="1"/>
  <c r="B88" i="1"/>
  <c r="B48" i="1"/>
  <c r="B32" i="1"/>
  <c r="B108" i="1"/>
  <c r="B63" i="1"/>
  <c r="B8" i="1"/>
  <c r="B194" i="1"/>
  <c r="B90" i="1"/>
  <c r="B34" i="1"/>
  <c r="B209" i="1"/>
  <c r="B207" i="1"/>
  <c r="B183" i="1"/>
  <c r="B151" i="1"/>
  <c r="B79" i="1"/>
  <c r="B47" i="1"/>
  <c r="B64" i="1"/>
  <c r="B56" i="1"/>
  <c r="B70" i="1"/>
  <c r="B15" i="1"/>
  <c r="B7" i="1"/>
  <c r="B186" i="1"/>
  <c r="B39" i="1"/>
  <c r="B193" i="1"/>
  <c r="B33" i="1"/>
  <c r="B191" i="1"/>
  <c r="B159" i="1"/>
  <c r="B174" i="1"/>
  <c r="B110" i="1"/>
  <c r="B54" i="1"/>
  <c r="B62" i="1"/>
  <c r="B43" i="1"/>
  <c r="B67" i="1"/>
  <c r="B6" i="1"/>
  <c r="B59" i="1"/>
  <c r="B10" i="1"/>
  <c r="B137" i="1"/>
  <c r="B49" i="1"/>
  <c r="B175" i="1"/>
  <c r="B206" i="1"/>
  <c r="B173" i="1"/>
  <c r="B157" i="1"/>
  <c r="B117" i="1"/>
  <c r="B93" i="1"/>
  <c r="B53" i="1"/>
  <c r="B22" i="1"/>
  <c r="B176" i="1"/>
  <c r="B42" i="1"/>
  <c r="B24" i="1"/>
  <c r="B13" i="1"/>
  <c r="B5" i="1"/>
  <c r="B106" i="1"/>
  <c r="B50" i="1"/>
  <c r="B172" i="1"/>
  <c r="B156" i="1"/>
  <c r="B132" i="1"/>
  <c r="B76" i="1"/>
  <c r="B60" i="1"/>
  <c r="B52" i="1"/>
  <c r="B16" i="1"/>
  <c r="B28" i="1"/>
  <c r="B20" i="1"/>
  <c r="B12" i="1"/>
  <c r="B4" i="1"/>
  <c r="B2" i="1"/>
  <c r="B188" i="1"/>
  <c r="B171" i="1"/>
  <c r="B155" i="1"/>
  <c r="B139" i="1"/>
  <c r="B115" i="1"/>
  <c r="B51" i="1"/>
  <c r="B61" i="1"/>
  <c r="B58" i="1"/>
  <c r="B41" i="1"/>
  <c r="B19" i="1"/>
  <c r="B11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63" i="1"/>
  <c r="A17" i="1"/>
  <c r="A18" i="1"/>
  <c r="A19" i="1"/>
  <c r="A20" i="1"/>
  <c r="A24" i="1"/>
  <c r="A67" i="1"/>
  <c r="A70" i="1"/>
  <c r="A108" i="1"/>
  <c r="A37" i="1"/>
  <c r="A39" i="1"/>
  <c r="A41" i="1"/>
  <c r="A28" i="1"/>
  <c r="A42" i="1"/>
  <c r="A43" i="1"/>
  <c r="A56" i="1"/>
  <c r="A32" i="1"/>
  <c r="A33" i="1"/>
  <c r="A34" i="1"/>
  <c r="A58" i="1"/>
  <c r="A36" i="1"/>
  <c r="A176" i="1"/>
  <c r="A38" i="1"/>
  <c r="A64" i="1"/>
  <c r="A40" i="1"/>
  <c r="A65" i="1"/>
  <c r="A59" i="1"/>
  <c r="A61" i="1"/>
  <c r="A16" i="1"/>
  <c r="A22" i="1"/>
  <c r="A62" i="1"/>
  <c r="A47" i="1"/>
  <c r="A48" i="1"/>
  <c r="A49" i="1"/>
  <c r="A50" i="1"/>
  <c r="A51" i="1"/>
  <c r="A52" i="1"/>
  <c r="A53" i="1"/>
  <c r="A54" i="1"/>
  <c r="A55" i="1"/>
  <c r="A45" i="1"/>
  <c r="A46" i="1"/>
  <c r="A25" i="1"/>
  <c r="A26" i="1"/>
  <c r="A60" i="1"/>
  <c r="A21" i="1"/>
  <c r="A35" i="1"/>
  <c r="A27" i="1"/>
  <c r="A29" i="1"/>
  <c r="A23" i="1"/>
  <c r="A66" i="1"/>
  <c r="A57" i="1"/>
  <c r="A68" i="1"/>
  <c r="A69" i="1"/>
  <c r="A44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30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31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" i="1"/>
</calcChain>
</file>

<file path=xl/sharedStrings.xml><?xml version="1.0" encoding="utf-8"?>
<sst xmlns="http://schemas.openxmlformats.org/spreadsheetml/2006/main" count="1280" uniqueCount="321">
  <si>
    <t>Status</t>
  </si>
  <si>
    <t>Dt. Início</t>
  </si>
  <si>
    <t>Código Origem</t>
  </si>
  <si>
    <t>Nome Nível</t>
  </si>
  <si>
    <t>C. Custos Origem</t>
  </si>
  <si>
    <t>Observação</t>
  </si>
  <si>
    <t>Detalhe Origem</t>
  </si>
  <si>
    <t>Valor Origem</t>
  </si>
  <si>
    <t>Dt. Vencto</t>
  </si>
  <si>
    <t>Credor</t>
  </si>
  <si>
    <t>Em Aprovação</t>
  </si>
  <si>
    <t>19/05/2026 14:05</t>
  </si>
  <si>
    <t>1ª Alçada - CP</t>
  </si>
  <si>
    <t>181 - [CONTRATANTE] Subestação 69KV</t>
  </si>
  <si>
    <t>QPC ENGENHARIA LTDA</t>
  </si>
  <si>
    <t>19/05/2026 13:57</t>
  </si>
  <si>
    <t>165 - [CONTRATANTE] LSF - G200</t>
  </si>
  <si>
    <t>LCL GEOTECNIA E SONDAGEM LTDA</t>
  </si>
  <si>
    <t>19/05/2026 13:55</t>
  </si>
  <si>
    <t>19/05/2026 13:48</t>
  </si>
  <si>
    <t>FF INFRA E ENGENHARIA LTDA</t>
  </si>
  <si>
    <t>MACCAFERRI DO BRASIL LTDA</t>
  </si>
  <si>
    <t>19/05/2026 11:26</t>
  </si>
  <si>
    <t>AMARAL GERENCIAMENTO DE RESIDUOS LTDA.</t>
  </si>
  <si>
    <t>GEOTECHNIQUE CONSULTORIA E ENGENHARIA LTDA</t>
  </si>
  <si>
    <t>M ANDRADE MAQUINAS E EQUIPAMENTOS EIRELI</t>
  </si>
  <si>
    <t>19/05/2026 11:08</t>
  </si>
  <si>
    <t>LC ADIA - LOCACAO DE VEICULOS LTDA</t>
  </si>
  <si>
    <t>DO VAL ENGENHARIA CONSULTIVA SOCIEDADE SIMPLES</t>
  </si>
  <si>
    <t>19/05/2026 10:50</t>
  </si>
  <si>
    <t>QUALYSAN LOCACAO DE BENS MOVEIS EIRELI</t>
  </si>
  <si>
    <t>A J S SOUZA SERVICOS GRAFICOS</t>
  </si>
  <si>
    <t>Aprovado</t>
  </si>
  <si>
    <t>18/05/2026 16:40</t>
  </si>
  <si>
    <t>3ª Alçada - CP</t>
  </si>
  <si>
    <t>CABOS E LAMPADAS COMERCIO DE MATERIAS ELETRICOS DE ALTA E BAIXA TENSAO EIRELI</t>
  </si>
  <si>
    <t>TRAPICHE MINERACAO LTDA</t>
  </si>
  <si>
    <t>18/05/2026 15:47</t>
  </si>
  <si>
    <t>MACCAFERRI SKAPS INDUSTRIA E COMERCIO DE ARTEFATOS PLASTICOS LTDA</t>
  </si>
  <si>
    <t>MARTINS E SILVA COMERCIO DE MERCADORIAS LTDA</t>
  </si>
  <si>
    <t>18/05/2026 15:33</t>
  </si>
  <si>
    <t>BEM TE VI COMERCIO DE MADEIRA LTDA</t>
  </si>
  <si>
    <t>18/05/2026 15:23</t>
  </si>
  <si>
    <t>ANKARI COMERCIAL DE TINTAS LTDA</t>
  </si>
  <si>
    <t>ELETRICA NOVA BAHIA COMERCIO DE MATERIAIS ELETRICOS LTDA</t>
  </si>
  <si>
    <t>18/05/2026 14:45</t>
  </si>
  <si>
    <t>PEDREIRAS CARANGI LTDA</t>
  </si>
  <si>
    <t>TRANSPORTADORA DE DIESEL CAVALO MARINHO LTDA</t>
  </si>
  <si>
    <t>18/05/2026 10:37</t>
  </si>
  <si>
    <t>PARATEC - PARA RAIOS E ACESSORIOS LTDA</t>
  </si>
  <si>
    <t>OMEGA FERRAMENTAS E MAQUINAS LTDA</t>
  </si>
  <si>
    <t>16/05/2026 17:48</t>
  </si>
  <si>
    <t>ENTEL COMERCIO E SERVICOS LTDA</t>
  </si>
  <si>
    <t>15/05/2026 13:23</t>
  </si>
  <si>
    <t>TRANSPECO TRANSPORTES LTDA</t>
  </si>
  <si>
    <t>VEDAMAX INDUSTRIA LTDA</t>
  </si>
  <si>
    <t>15/05/2026 8:30</t>
  </si>
  <si>
    <t>BEDATEC COMERCIO E LOCACOES DE CONTAINNERS EIRELI</t>
  </si>
  <si>
    <t>15/05/2026 8:13</t>
  </si>
  <si>
    <t>SECUR-COMERCIAL IMPORTADORA E EXPORTADORA LTDA</t>
  </si>
  <si>
    <t>15/05/2026 7:37</t>
  </si>
  <si>
    <t>WEG EQUIPAMENTOS ELETRICOS S/A</t>
  </si>
  <si>
    <t>14/05/2026 15:59</t>
  </si>
  <si>
    <t>LITORAL TINTAS COMERCIO MATERIAIS DE CONSTRUCAO EIRELI</t>
  </si>
  <si>
    <t>14/05/2026 11:03</t>
  </si>
  <si>
    <t>BRASIL METAL INDUSTRIA METALICA LTDA</t>
  </si>
  <si>
    <t>14/05/2026 9:35</t>
  </si>
  <si>
    <t>MAQFILTROS SOLUCOES EM AGUA LTDA</t>
  </si>
  <si>
    <t>14/05/2026 9:28</t>
  </si>
  <si>
    <t>14/05/2026 9:23</t>
  </si>
  <si>
    <t>14/05/2026 9:14</t>
  </si>
  <si>
    <t>BAHIATECH MATERIAIS ELETRICOS LTDA</t>
  </si>
  <si>
    <t>ADUANA COMERCIO DE GEOSSINTETICOS LTDA</t>
  </si>
  <si>
    <t>14/05/2026 8:05</t>
  </si>
  <si>
    <t>CL COMERCIO E SERVICOS DE EQUIPAMENTOS ELETRICOS LTDA</t>
  </si>
  <si>
    <t>14/05/2026 7:46</t>
  </si>
  <si>
    <t>MT COMERCIAL ELETRICA LTDA</t>
  </si>
  <si>
    <t>13/05/2026 16:08</t>
  </si>
  <si>
    <t>PWS BRASIL COMERCIAL EIRELI</t>
  </si>
  <si>
    <t>13/05/2026 15:25</t>
  </si>
  <si>
    <t>TUPER S/A</t>
  </si>
  <si>
    <t>13/05/2026 15:12</t>
  </si>
  <si>
    <t>13/05/2026 14:38</t>
  </si>
  <si>
    <t>DIPAWA NORDESTE INDÚSTRIA COMÉRCIO E CONSTRUTORA LTDA</t>
  </si>
  <si>
    <t>13/05/2026 14:29</t>
  </si>
  <si>
    <t>INTERNATIONAL INDUSTRIA AUTOMOTIVA DA AMERICA DO SUL LTDA.</t>
  </si>
  <si>
    <t>13/05/2026 13:54</t>
  </si>
  <si>
    <t>INDUSTRIA DE TRANSFORMADORES ITAIPU LTDA</t>
  </si>
  <si>
    <t>13/05/2026 8:58</t>
  </si>
  <si>
    <t>13/05/2026 8:49</t>
  </si>
  <si>
    <t>TW MANUTENÇÃO E AUTOMAÇÃO INDUSTRIAL LTDA.</t>
  </si>
  <si>
    <t>SAARA LOCACAO DE TENDAS EIRELI</t>
  </si>
  <si>
    <t>SOLUCAO TOLDOS EIRELI</t>
  </si>
  <si>
    <t>12/05/2026 11:16</t>
  </si>
  <si>
    <t>12/05/2026 11:15</t>
  </si>
  <si>
    <t>12/05/2026 11:07</t>
  </si>
  <si>
    <t>ELIZABETH CIMENTOS S/A</t>
  </si>
  <si>
    <t>12/05/2026 10:54</t>
  </si>
  <si>
    <t>12/05/2026 10:50</t>
  </si>
  <si>
    <t>12/05/2026 10:37</t>
  </si>
  <si>
    <t>12/05/2026 9:17</t>
  </si>
  <si>
    <t>DOCOL METAIS SANITARIOS LTDA</t>
  </si>
  <si>
    <t>12/05/2026 8:47</t>
  </si>
  <si>
    <t>TERWAL MAQUINAS LTDA</t>
  </si>
  <si>
    <t>12/05/2026 8:25</t>
  </si>
  <si>
    <t>COBREMACK INDUSTRIA DE CONDUTORES ELETRICOS EIRELI</t>
  </si>
  <si>
    <t>12/05/2026 8:21</t>
  </si>
  <si>
    <t>12/05/2026 8:13</t>
  </si>
  <si>
    <t>ELETROPOLL ELETRODUTOS METALICOS LTDA</t>
  </si>
  <si>
    <t>11/05/2026 14:56</t>
  </si>
  <si>
    <t>11/05/2026 14:17</t>
  </si>
  <si>
    <t>11/05/2026 14:10</t>
  </si>
  <si>
    <t>11/05/2026 14:02</t>
  </si>
  <si>
    <t>11/05/2026 13:51</t>
  </si>
  <si>
    <t>ALBERTO JOSE DOS SANTOS</t>
  </si>
  <si>
    <t>LESSA EVENTOS LTDA</t>
  </si>
  <si>
    <t>08/05/2026 15:13</t>
  </si>
  <si>
    <t>THYSSENKRUPP ELEVADORES SA</t>
  </si>
  <si>
    <t>FABRICK - FABRICACAO DE PRE MOLDADOS S.A.</t>
  </si>
  <si>
    <t>GEO2 ENGENHARIA LTDA</t>
  </si>
  <si>
    <t>06/05/2026 16:27</t>
  </si>
  <si>
    <t>06/05/2026 10:34</t>
  </si>
  <si>
    <t>GERACAO E ENERGIA SERVICOS E COMERCIO LTDA</t>
  </si>
  <si>
    <t>06/05/2026 8:00</t>
  </si>
  <si>
    <t>FORTPEL COMERCIO DE DESCARTAVEIS LTDA</t>
  </si>
  <si>
    <t>05/05/2026 8:41</t>
  </si>
  <si>
    <t>04/05/2026 14:34</t>
  </si>
  <si>
    <t>04/05/2026 14:18</t>
  </si>
  <si>
    <t>04/05/2026 14:02</t>
  </si>
  <si>
    <t>AQUAGEO PROJETOS E PERFURACOES LTDA</t>
  </si>
  <si>
    <t>ANTONIO CARDOSO MARTINS</t>
  </si>
  <si>
    <t>30/04/2026 8:49</t>
  </si>
  <si>
    <t>BMD TEXTEIS LTDA</t>
  </si>
  <si>
    <t>30/04/2026 8:45</t>
  </si>
  <si>
    <t>30/04/2026 8:38</t>
  </si>
  <si>
    <t>29/04/2026 16:22</t>
  </si>
  <si>
    <t>REV1 PROJETOS INTEGRADOS LTDA</t>
  </si>
  <si>
    <t>29/04/2026 10:27</t>
  </si>
  <si>
    <t>29/04/2026 8:03</t>
  </si>
  <si>
    <t>28/04/2026 8:16</t>
  </si>
  <si>
    <t>ATACADAO DO PAPEL LTDA</t>
  </si>
  <si>
    <t>27/04/2026 15:05</t>
  </si>
  <si>
    <t>27/04/2026 15:01</t>
  </si>
  <si>
    <t>27/04/2026 14:59</t>
  </si>
  <si>
    <t>27/04/2026 14:56</t>
  </si>
  <si>
    <t>27/04/2026 14:50</t>
  </si>
  <si>
    <t>27/04/2026 14:28</t>
  </si>
  <si>
    <t>ARTEMP ENGENHARIA TERMICA LTDA</t>
  </si>
  <si>
    <t>27/04/2026 13:08</t>
  </si>
  <si>
    <t>27/04/2026 10:21</t>
  </si>
  <si>
    <t>24/04/2026 14:49</t>
  </si>
  <si>
    <t>24/04/2026 14:28</t>
  </si>
  <si>
    <t>SOFTCOMP COMERCIO SERVICOS TELECOMUNICACOES E INFORMATICA EIRELI</t>
  </si>
  <si>
    <t>24/04/2026 10:20</t>
  </si>
  <si>
    <t>BOME EMPREENDIMENTOS E SERVICOS LTDA</t>
  </si>
  <si>
    <t>LEONARDO SANTOS GONCALVES PRODUCAO E SOLUCOES EM VIDEOS</t>
  </si>
  <si>
    <t>24/04/2026 8:23</t>
  </si>
  <si>
    <t>T &amp; A CONSTRUCAO PRE-FABRICADA S/A</t>
  </si>
  <si>
    <t>23/04/2026 16:19</t>
  </si>
  <si>
    <t>23/04/2026 15:59</t>
  </si>
  <si>
    <t>LAEROMEC - SOLUCOES EM ENGENHARIA LTDA</t>
  </si>
  <si>
    <t>23/04/2026 15:49</t>
  </si>
  <si>
    <t>23/04/2026 15:39</t>
  </si>
  <si>
    <t>23/04/2026 10:55</t>
  </si>
  <si>
    <t>23/04/2026 10:49</t>
  </si>
  <si>
    <t>23/04/2026 10:44</t>
  </si>
  <si>
    <t>23/04/2026 10:39</t>
  </si>
  <si>
    <t>4ª Alçada - TI</t>
  </si>
  <si>
    <t>23/04/2026 10:33</t>
  </si>
  <si>
    <t>23/04/2026 10:14</t>
  </si>
  <si>
    <t>23/04/2026 9:27</t>
  </si>
  <si>
    <t>23/04/2026 9:24</t>
  </si>
  <si>
    <t>23/04/2026 9:14</t>
  </si>
  <si>
    <t>23/04/2026 9:09</t>
  </si>
  <si>
    <t>23/04/2026 9:05</t>
  </si>
  <si>
    <t>23/04/2026 9:01</t>
  </si>
  <si>
    <t>23/04/2026 8:55</t>
  </si>
  <si>
    <t>23/04/2026 8:48</t>
  </si>
  <si>
    <t>22/04/2026 14:28</t>
  </si>
  <si>
    <t>VENDRAMINI ENGENHARIA LTDA</t>
  </si>
  <si>
    <t>22/04/2026 14:21</t>
  </si>
  <si>
    <t>22/04/2026 13:34</t>
  </si>
  <si>
    <t>MAGALHAES JUNIOR LOCACAO E SERVICOS LTDA</t>
  </si>
  <si>
    <t>22/04/2026 13:29</t>
  </si>
  <si>
    <t>22/04/2026 11:34</t>
  </si>
  <si>
    <t>22/04/2026 11:11</t>
  </si>
  <si>
    <t>DPE ARQUITETURA E ENGENHARIA S/S</t>
  </si>
  <si>
    <t>22/04/2026 11:03</t>
  </si>
  <si>
    <t>22/04/2026 10:41</t>
  </si>
  <si>
    <t>22/04/2026 10:39</t>
  </si>
  <si>
    <t>22/04/2026 8:38</t>
  </si>
  <si>
    <t>20/04/2026 17:50</t>
  </si>
  <si>
    <t>20/04/2026 15:16</t>
  </si>
  <si>
    <t>20/04/2026 13:09</t>
  </si>
  <si>
    <t>20/04/2026 10:30</t>
  </si>
  <si>
    <t>18/04/2026 9:58</t>
  </si>
  <si>
    <t>SOLOBAHIA ENGENHARIA E TECNOLOGIA LTDA</t>
  </si>
  <si>
    <t>17/04/2026 15:17</t>
  </si>
  <si>
    <t>17/04/2026 15:12</t>
  </si>
  <si>
    <t>17/04/2026 14:17</t>
  </si>
  <si>
    <t>17/04/2026 13:49</t>
  </si>
  <si>
    <t>KOPRON DO BRASIL COMERCIO E INDUSTRIA DE EQUIPAMENTOS DE LOGISTICA LTDA.</t>
  </si>
  <si>
    <t>17/04/2026 11:08</t>
  </si>
  <si>
    <t>SOTEC FABRICACAO DE ESTRUTURAS METALICAS E SERVICOS LTDA</t>
  </si>
  <si>
    <t>17/04/2026 8:06</t>
  </si>
  <si>
    <t>17/04/2026 7:59</t>
  </si>
  <si>
    <t>16/04/2026 16:30</t>
  </si>
  <si>
    <t>16/04/2026 16:26</t>
  </si>
  <si>
    <t>16/04/2026 16:12</t>
  </si>
  <si>
    <t>16/04/2026 15:16</t>
  </si>
  <si>
    <t>FERROPRONTO LTDA</t>
  </si>
  <si>
    <t>16/04/2026 13:59</t>
  </si>
  <si>
    <t>KAIZ ENGENHARIA LTDA</t>
  </si>
  <si>
    <t>16/04/2026 13:41</t>
  </si>
  <si>
    <t>NUCLEORA PLANEJAMENTO, ASSESSORIA E DESENVOLVIMENTO COMERCIAL LTDA</t>
  </si>
  <si>
    <t>16/04/2026 13:18</t>
  </si>
  <si>
    <t>LPE ENGENHARIA E CONSULTORIA LTDA</t>
  </si>
  <si>
    <t>16/04/2026 13:11</t>
  </si>
  <si>
    <t>ARQUITETURA JAPI PROJETOS E CONSULTORIA EIRELI</t>
  </si>
  <si>
    <t>16/04/2026 10:51</t>
  </si>
  <si>
    <t>16/04/2026 9:31</t>
  </si>
  <si>
    <t>15/04/2026 15:05</t>
  </si>
  <si>
    <t>15/04/2026 14:54</t>
  </si>
  <si>
    <t>15/04/2026 14:49</t>
  </si>
  <si>
    <t>15/04/2026 14:26</t>
  </si>
  <si>
    <t>SPM ENGENHARIA SOCIEDADE SIMPLES LTDA.</t>
  </si>
  <si>
    <t>15/04/2026 10:12</t>
  </si>
  <si>
    <t>BIOFUTURO ENGENHARIA E SOLUCOES AMBIENTAIS EIRELI</t>
  </si>
  <si>
    <t>14/04/2026 15:13</t>
  </si>
  <si>
    <t>VOC ENGENHARIA E CONSTRUCAO LTDA</t>
  </si>
  <si>
    <t>14/04/2026 14:14</t>
  </si>
  <si>
    <t>14/04/2026 14:11</t>
  </si>
  <si>
    <t>14/04/2026 14:08</t>
  </si>
  <si>
    <t>14/04/2026 10:42</t>
  </si>
  <si>
    <t>14/04/2026 10:12</t>
  </si>
  <si>
    <t>14/04/2026 9:48</t>
  </si>
  <si>
    <t>TERRAM ENGENHARIA DE INFRAESTRUTURA LTDA</t>
  </si>
  <si>
    <t>14/04/2026 9:46</t>
  </si>
  <si>
    <t>MIX MADEIREIRA LTDA</t>
  </si>
  <si>
    <t>14/04/2026 8:04</t>
  </si>
  <si>
    <t>13/04/2026 17:33</t>
  </si>
  <si>
    <t>13/04/2026 16:33</t>
  </si>
  <si>
    <t>ARCELORMITTAL BRASIL S.A.</t>
  </si>
  <si>
    <t>13/04/2026 16:21</t>
  </si>
  <si>
    <t>ARTEMP ENGENHARIA DE INSTALAÇÕES LTDA</t>
  </si>
  <si>
    <t>13/04/2026 16:10</t>
  </si>
  <si>
    <t>ROTULA METALURGICA LTDA</t>
  </si>
  <si>
    <t>13/04/2026 16:07</t>
  </si>
  <si>
    <t>13/04/2026 10:09</t>
  </si>
  <si>
    <t>10/04/2026 9:47</t>
  </si>
  <si>
    <t>09/04/2026 14:25</t>
  </si>
  <si>
    <t>FORTLEV INDUSTRIA E COMERCIO DE PLASTICOS LTDA</t>
  </si>
  <si>
    <t>09/04/2026 14:18</t>
  </si>
  <si>
    <t>09/04/2026 14:00</t>
  </si>
  <si>
    <t>09/04/2026 13:53</t>
  </si>
  <si>
    <t>LIGUE COMERCIO DE GEOSSINTETICOS LTDA</t>
  </si>
  <si>
    <t>07/04/2026 8:53</t>
  </si>
  <si>
    <t>06/04/2026 15:20</t>
  </si>
  <si>
    <t>06/04/2026 14:41</t>
  </si>
  <si>
    <t>06/04/2026 14:15</t>
  </si>
  <si>
    <t>06/04/2026 14:02</t>
  </si>
  <si>
    <t>06/04/2026 8:44</t>
  </si>
  <si>
    <t>06/04/2026 8:43</t>
  </si>
  <si>
    <t>06/04/2026 8:41</t>
  </si>
  <si>
    <t>06/04/2026 8:40</t>
  </si>
  <si>
    <t>06/04/2026 8:38</t>
  </si>
  <si>
    <t>06/04/2026 8:36</t>
  </si>
  <si>
    <t>06/04/2026 8:32</t>
  </si>
  <si>
    <t>06/04/2026 8:17</t>
  </si>
  <si>
    <t>02/04/2026 16:57</t>
  </si>
  <si>
    <t>02/04/2026 16:54</t>
  </si>
  <si>
    <t>02/04/2026 16:50</t>
  </si>
  <si>
    <t>27/03/2026 20:05</t>
  </si>
  <si>
    <t>26/03/2026 10:22</t>
  </si>
  <si>
    <t>26/03/2026 7:28</t>
  </si>
  <si>
    <t>25/03/2026 17:22</t>
  </si>
  <si>
    <t>25/03/2026 16:30</t>
  </si>
  <si>
    <t>25/03/2026 16:28</t>
  </si>
  <si>
    <t>25/03/2026 16:21</t>
  </si>
  <si>
    <t>25/03/2026 16:17</t>
  </si>
  <si>
    <t>25/03/2026 16:16</t>
  </si>
  <si>
    <t>25/03/2026 16:08</t>
  </si>
  <si>
    <t>25/03/2026 15:59</t>
  </si>
  <si>
    <t>25/03/2026 15:20</t>
  </si>
  <si>
    <t>25/03/2026 7:49</t>
  </si>
  <si>
    <t>5ª Alçada - TI</t>
  </si>
  <si>
    <t>HIDRO LOGICA CONSULTORIA E TREINAMENTO LTDA</t>
  </si>
  <si>
    <t>24/03/2026 10:50</t>
  </si>
  <si>
    <t>13/03/2026 14:05</t>
  </si>
  <si>
    <t>13/03/2026 9:49</t>
  </si>
  <si>
    <t>13/03/2026 9:24</t>
  </si>
  <si>
    <t>13/03/2026 9:07</t>
  </si>
  <si>
    <t>13/03/2026 8:54</t>
  </si>
  <si>
    <t>13/03/2026 8:45</t>
  </si>
  <si>
    <t>13/03/2026 8:39</t>
  </si>
  <si>
    <t>13/03/2026 8:30</t>
  </si>
  <si>
    <t>13/03/2026 8:18</t>
  </si>
  <si>
    <t>13/03/2026 8:08</t>
  </si>
  <si>
    <t>11/03/2026 13:53</t>
  </si>
  <si>
    <t>02/03/2026 11:52</t>
  </si>
  <si>
    <t>NFSC</t>
  </si>
  <si>
    <t>CAU</t>
  </si>
  <si>
    <t xml:space="preserve">200-3-014 </t>
  </si>
  <si>
    <t>ADVC</t>
  </si>
  <si>
    <t>CFC</t>
  </si>
  <si>
    <t>NFC</t>
  </si>
  <si>
    <t>FATC</t>
  </si>
  <si>
    <t>NEFC</t>
  </si>
  <si>
    <t xml:space="preserve">200-3-019 </t>
  </si>
  <si>
    <t xml:space="preserve">200-3-024 </t>
  </si>
  <si>
    <t xml:space="preserve">200-3-000 </t>
  </si>
  <si>
    <t xml:space="preserve">200-3-100 </t>
  </si>
  <si>
    <t xml:space="preserve">200-3-018 </t>
  </si>
  <si>
    <t xml:space="preserve">200-3-015 </t>
  </si>
  <si>
    <t xml:space="preserve">200-3-016 </t>
  </si>
  <si>
    <t xml:space="preserve">200-3-022 </t>
  </si>
  <si>
    <t>NCT</t>
  </si>
  <si>
    <t>ADV</t>
  </si>
  <si>
    <t xml:space="preserve">2026.01 </t>
  </si>
  <si>
    <t>ENVIADO 
PARA PAGAMENTO</t>
  </si>
  <si>
    <t>TÍTULO 
SIENGE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</si>
</sst>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2"/>
      <name val="Calibri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8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8" fontId="0" fillId="3" borderId="0" xfId="0" applyNumberForma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IENGE/T&#205;TULOS%20SIENGE%20-%2019-05.xlsx" TargetMode="External"/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0.APROVADOS%20NO%20ZEPP/SIENGE/T&#205;TULOS%20SIENGE%20-%2019-05.xlsx" TargetMode="External"/><Relationship Id="rId1" Type="http://schemas.openxmlformats.org/officeDocument/2006/relationships/externalLinkPath" Target="/sites/LYO004SIMOESFILHOG200/Documentos%20Compartilhados/03.%20CUSTOS/3.0%20MEDI&#199;&#213;ES%20APROVADAS%20E%20NF'S/1.%20ROMANEIOS/0.APROVADOS%20NO%20ZEPP/SIENGE/T&#205;TULOS%20SIENGE%20-%2019-0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.%20MAIO/LYO004-SF-Romaneio%200022.xlsm" TargetMode="External"/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5.%20MAIO/LYO004-SF-Romaneio%200022.xlsm" TargetMode="External"/><Relationship Id="rId1" Type="http://schemas.openxmlformats.org/officeDocument/2006/relationships/externalLinkPath" Target="/sites/LYO004SIMOESFILHOG200/Documentos%20Compartilhados/03.%20CUSTOS/3.0%20MEDI&#199;&#213;ES%20APROVADAS%20E%20NF'S/1.%20ROMANEIOS/5.%20MAIO/LYO004-SF-Romaneio%200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>Título</v>
          </cell>
        </row>
        <row r="2">
          <cell r="B2">
            <v>95213</v>
          </cell>
        </row>
        <row r="3">
          <cell r="B3">
            <v>95212</v>
          </cell>
        </row>
        <row r="4">
          <cell r="B4">
            <v>95210</v>
          </cell>
        </row>
        <row r="5">
          <cell r="B5">
            <v>95204</v>
          </cell>
        </row>
        <row r="6">
          <cell r="B6">
            <v>95203</v>
          </cell>
        </row>
        <row r="7">
          <cell r="B7">
            <v>95197</v>
          </cell>
        </row>
        <row r="8">
          <cell r="B8">
            <v>95173</v>
          </cell>
        </row>
        <row r="9">
          <cell r="B9">
            <v>95162</v>
          </cell>
        </row>
        <row r="10">
          <cell r="B10">
            <v>95150</v>
          </cell>
        </row>
        <row r="11">
          <cell r="B11">
            <v>95103</v>
          </cell>
        </row>
        <row r="12">
          <cell r="B12">
            <v>95092</v>
          </cell>
        </row>
        <row r="13">
          <cell r="B13">
            <v>95088</v>
          </cell>
        </row>
        <row r="14">
          <cell r="B14">
            <v>95084</v>
          </cell>
        </row>
        <row r="15">
          <cell r="B15">
            <v>95075</v>
          </cell>
        </row>
        <row r="16">
          <cell r="B16">
            <v>95043</v>
          </cell>
        </row>
        <row r="17">
          <cell r="B17">
            <v>94977</v>
          </cell>
        </row>
        <row r="18">
          <cell r="B18">
            <v>94935</v>
          </cell>
        </row>
        <row r="19">
          <cell r="B19">
            <v>94929</v>
          </cell>
        </row>
        <row r="20">
          <cell r="B20">
            <v>94925</v>
          </cell>
        </row>
        <row r="21">
          <cell r="B21">
            <v>94901</v>
          </cell>
        </row>
        <row r="22">
          <cell r="B22">
            <v>94874</v>
          </cell>
        </row>
        <row r="23">
          <cell r="B23">
            <v>94854</v>
          </cell>
        </row>
        <row r="24">
          <cell r="B24">
            <v>94853</v>
          </cell>
        </row>
        <row r="25">
          <cell r="B25">
            <v>94852</v>
          </cell>
        </row>
        <row r="26">
          <cell r="B26">
            <v>94847</v>
          </cell>
        </row>
        <row r="27">
          <cell r="B27">
            <v>94839</v>
          </cell>
        </row>
        <row r="28">
          <cell r="B28">
            <v>94835</v>
          </cell>
        </row>
        <row r="29">
          <cell r="B29">
            <v>94818</v>
          </cell>
        </row>
        <row r="30">
          <cell r="B30">
            <v>94808</v>
          </cell>
        </row>
        <row r="31">
          <cell r="B31">
            <v>94805</v>
          </cell>
        </row>
        <row r="32">
          <cell r="B32">
            <v>94796</v>
          </cell>
        </row>
        <row r="33">
          <cell r="B33">
            <v>94789</v>
          </cell>
        </row>
        <row r="34">
          <cell r="B34">
            <v>94771</v>
          </cell>
        </row>
        <row r="35">
          <cell r="B35">
            <v>94770</v>
          </cell>
        </row>
        <row r="36">
          <cell r="B36">
            <v>94760</v>
          </cell>
        </row>
        <row r="37">
          <cell r="B37">
            <v>94759</v>
          </cell>
        </row>
        <row r="38">
          <cell r="B38">
            <v>94662</v>
          </cell>
        </row>
        <row r="39">
          <cell r="B39">
            <v>94661</v>
          </cell>
        </row>
        <row r="40">
          <cell r="B40">
            <v>94660</v>
          </cell>
        </row>
        <row r="41">
          <cell r="B41">
            <v>94659</v>
          </cell>
        </row>
        <row r="42">
          <cell r="B42">
            <v>94658</v>
          </cell>
        </row>
        <row r="43">
          <cell r="B43">
            <v>94656</v>
          </cell>
        </row>
        <row r="44">
          <cell r="B44">
            <v>94644</v>
          </cell>
        </row>
        <row r="45">
          <cell r="B45">
            <v>94640</v>
          </cell>
        </row>
        <row r="46">
          <cell r="B46">
            <v>94639</v>
          </cell>
        </row>
        <row r="47">
          <cell r="B47">
            <v>94638</v>
          </cell>
        </row>
        <row r="48">
          <cell r="B48">
            <v>94637</v>
          </cell>
        </row>
        <row r="49">
          <cell r="B49">
            <v>94633</v>
          </cell>
        </row>
        <row r="50">
          <cell r="B50">
            <v>94609</v>
          </cell>
        </row>
        <row r="51">
          <cell r="B51">
            <v>94602</v>
          </cell>
        </row>
        <row r="52">
          <cell r="B52">
            <v>94600</v>
          </cell>
        </row>
        <row r="53">
          <cell r="B53">
            <v>94598</v>
          </cell>
        </row>
        <row r="54">
          <cell r="B54">
            <v>94597</v>
          </cell>
        </row>
        <row r="55">
          <cell r="B55">
            <v>94596</v>
          </cell>
        </row>
        <row r="56">
          <cell r="B56">
            <v>94576</v>
          </cell>
        </row>
        <row r="57">
          <cell r="B57">
            <v>94569</v>
          </cell>
        </row>
        <row r="58">
          <cell r="B58">
            <v>94514</v>
          </cell>
        </row>
        <row r="59">
          <cell r="B59">
            <v>94404</v>
          </cell>
        </row>
        <row r="60">
          <cell r="B60">
            <v>94335</v>
          </cell>
        </row>
        <row r="61">
          <cell r="B61">
            <v>94242</v>
          </cell>
        </row>
        <row r="62">
          <cell r="B62">
            <v>94218</v>
          </cell>
        </row>
        <row r="63">
          <cell r="B63">
            <v>94120</v>
          </cell>
        </row>
        <row r="64">
          <cell r="B64">
            <v>94058</v>
          </cell>
        </row>
        <row r="65">
          <cell r="B65">
            <v>94054</v>
          </cell>
        </row>
        <row r="66">
          <cell r="B66">
            <v>94051</v>
          </cell>
        </row>
        <row r="67">
          <cell r="B67">
            <v>94050</v>
          </cell>
        </row>
        <row r="68">
          <cell r="B68">
            <v>93834</v>
          </cell>
        </row>
        <row r="69">
          <cell r="B69">
            <v>93832</v>
          </cell>
        </row>
        <row r="70">
          <cell r="B70">
            <v>93830</v>
          </cell>
        </row>
        <row r="71">
          <cell r="B71">
            <v>93818</v>
          </cell>
        </row>
        <row r="72">
          <cell r="B72">
            <v>93776</v>
          </cell>
        </row>
        <row r="73">
          <cell r="B73">
            <v>93764</v>
          </cell>
        </row>
        <row r="74">
          <cell r="B74">
            <v>93675</v>
          </cell>
        </row>
        <row r="75">
          <cell r="B75">
            <v>93654</v>
          </cell>
        </row>
        <row r="76">
          <cell r="B76">
            <v>93650</v>
          </cell>
        </row>
        <row r="77">
          <cell r="B77">
            <v>93649</v>
          </cell>
        </row>
        <row r="78">
          <cell r="B78">
            <v>93647</v>
          </cell>
        </row>
        <row r="79">
          <cell r="B79">
            <v>93646</v>
          </cell>
        </row>
        <row r="80">
          <cell r="B80">
            <v>93642</v>
          </cell>
        </row>
        <row r="81">
          <cell r="B81">
            <v>93637</v>
          </cell>
        </row>
        <row r="82">
          <cell r="B82">
            <v>93631</v>
          </cell>
        </row>
        <row r="83">
          <cell r="B83">
            <v>93557</v>
          </cell>
        </row>
        <row r="84">
          <cell r="B84">
            <v>93550</v>
          </cell>
        </row>
        <row r="85">
          <cell r="B85">
            <v>93505</v>
          </cell>
        </row>
        <row r="86">
          <cell r="B86">
            <v>93504</v>
          </cell>
        </row>
        <row r="87">
          <cell r="B87">
            <v>93475</v>
          </cell>
        </row>
        <row r="88">
          <cell r="B88">
            <v>93451</v>
          </cell>
        </row>
        <row r="89">
          <cell r="B89">
            <v>93443</v>
          </cell>
        </row>
        <row r="90">
          <cell r="B90">
            <v>93433</v>
          </cell>
        </row>
        <row r="91">
          <cell r="B91">
            <v>93431</v>
          </cell>
        </row>
        <row r="92">
          <cell r="B92">
            <v>93402</v>
          </cell>
        </row>
        <row r="93">
          <cell r="B93">
            <v>93400</v>
          </cell>
        </row>
        <row r="94">
          <cell r="B94">
            <v>93397</v>
          </cell>
        </row>
        <row r="95">
          <cell r="B95">
            <v>93396</v>
          </cell>
        </row>
        <row r="96">
          <cell r="B96">
            <v>93394</v>
          </cell>
        </row>
        <row r="97">
          <cell r="B97">
            <v>93393</v>
          </cell>
        </row>
        <row r="98">
          <cell r="B98">
            <v>93392</v>
          </cell>
        </row>
        <row r="99">
          <cell r="B99">
            <v>93384</v>
          </cell>
        </row>
        <row r="100">
          <cell r="B100">
            <v>93383</v>
          </cell>
        </row>
        <row r="101">
          <cell r="B101">
            <v>93379</v>
          </cell>
        </row>
        <row r="102">
          <cell r="B102">
            <v>93378</v>
          </cell>
        </row>
        <row r="103">
          <cell r="B103">
            <v>93372</v>
          </cell>
        </row>
        <row r="104">
          <cell r="B104">
            <v>93371</v>
          </cell>
        </row>
        <row r="105">
          <cell r="B105">
            <v>93370</v>
          </cell>
        </row>
        <row r="106">
          <cell r="B106">
            <v>93369</v>
          </cell>
        </row>
        <row r="107">
          <cell r="B107">
            <v>93368</v>
          </cell>
        </row>
        <row r="108">
          <cell r="B108">
            <v>93367</v>
          </cell>
        </row>
        <row r="109">
          <cell r="B109">
            <v>93330</v>
          </cell>
        </row>
        <row r="110">
          <cell r="B110">
            <v>93328</v>
          </cell>
        </row>
        <row r="111">
          <cell r="B111">
            <v>93327</v>
          </cell>
        </row>
        <row r="112">
          <cell r="B112">
            <v>93321</v>
          </cell>
        </row>
        <row r="113">
          <cell r="B113">
            <v>93320</v>
          </cell>
        </row>
        <row r="114">
          <cell r="B114">
            <v>93311</v>
          </cell>
        </row>
        <row r="115">
          <cell r="B115">
            <v>93300</v>
          </cell>
        </row>
        <row r="116">
          <cell r="B116">
            <v>93299</v>
          </cell>
        </row>
        <row r="117">
          <cell r="B117">
            <v>93298</v>
          </cell>
        </row>
        <row r="118">
          <cell r="B118">
            <v>93295</v>
          </cell>
        </row>
        <row r="119">
          <cell r="B119">
            <v>93294</v>
          </cell>
        </row>
        <row r="120">
          <cell r="B120">
            <v>93248</v>
          </cell>
        </row>
        <row r="121">
          <cell r="B121">
            <v>93240</v>
          </cell>
        </row>
        <row r="122">
          <cell r="B122">
            <v>93225</v>
          </cell>
        </row>
        <row r="123">
          <cell r="B123">
            <v>93205</v>
          </cell>
        </row>
        <row r="124">
          <cell r="B124">
            <v>93204</v>
          </cell>
        </row>
        <row r="125">
          <cell r="B125">
            <v>93188</v>
          </cell>
        </row>
        <row r="126">
          <cell r="B126">
            <v>93160</v>
          </cell>
        </row>
        <row r="127">
          <cell r="B127">
            <v>93159</v>
          </cell>
        </row>
        <row r="128">
          <cell r="B128">
            <v>93130</v>
          </cell>
        </row>
        <row r="129">
          <cell r="B129">
            <v>93126</v>
          </cell>
        </row>
        <row r="130">
          <cell r="B130">
            <v>93116</v>
          </cell>
        </row>
        <row r="131">
          <cell r="B131">
            <v>93106</v>
          </cell>
        </row>
        <row r="132">
          <cell r="B132">
            <v>93091</v>
          </cell>
        </row>
        <row r="133">
          <cell r="B133">
            <v>93058</v>
          </cell>
        </row>
        <row r="134">
          <cell r="B134">
            <v>93057</v>
          </cell>
        </row>
        <row r="135">
          <cell r="B135">
            <v>93048</v>
          </cell>
        </row>
        <row r="136">
          <cell r="B136">
            <v>93045</v>
          </cell>
        </row>
        <row r="137">
          <cell r="B137">
            <v>93039</v>
          </cell>
        </row>
        <row r="138">
          <cell r="B138">
            <v>93025</v>
          </cell>
        </row>
        <row r="139">
          <cell r="B139">
            <v>93004</v>
          </cell>
        </row>
        <row r="140">
          <cell r="B140">
            <v>93001</v>
          </cell>
        </row>
        <row r="141">
          <cell r="B141">
            <v>92997</v>
          </cell>
        </row>
        <row r="142">
          <cell r="B142">
            <v>92996</v>
          </cell>
        </row>
        <row r="143">
          <cell r="B143">
            <v>92978</v>
          </cell>
        </row>
        <row r="144">
          <cell r="B144">
            <v>92977</v>
          </cell>
        </row>
        <row r="145">
          <cell r="B145">
            <v>92960</v>
          </cell>
        </row>
        <row r="146">
          <cell r="B146">
            <v>92959</v>
          </cell>
        </row>
        <row r="147">
          <cell r="B147">
            <v>92905</v>
          </cell>
        </row>
        <row r="148">
          <cell r="B148">
            <v>92903</v>
          </cell>
        </row>
        <row r="149">
          <cell r="B149">
            <v>92902</v>
          </cell>
        </row>
        <row r="150">
          <cell r="B150">
            <v>92895</v>
          </cell>
        </row>
        <row r="151">
          <cell r="B151">
            <v>92869</v>
          </cell>
        </row>
        <row r="152">
          <cell r="B152">
            <v>92798</v>
          </cell>
        </row>
        <row r="153">
          <cell r="B153">
            <v>92791</v>
          </cell>
        </row>
        <row r="154">
          <cell r="B154">
            <v>92789</v>
          </cell>
        </row>
        <row r="155">
          <cell r="B155">
            <v>92787</v>
          </cell>
        </row>
        <row r="156">
          <cell r="B156">
            <v>92721</v>
          </cell>
        </row>
        <row r="157">
          <cell r="B157">
            <v>92717</v>
          </cell>
        </row>
        <row r="158">
          <cell r="B158">
            <v>92708</v>
          </cell>
        </row>
        <row r="159">
          <cell r="B159">
            <v>92707</v>
          </cell>
        </row>
        <row r="160">
          <cell r="B160">
            <v>92706</v>
          </cell>
        </row>
        <row r="161">
          <cell r="B161">
            <v>92655</v>
          </cell>
        </row>
        <row r="162">
          <cell r="B162">
            <v>92646</v>
          </cell>
        </row>
        <row r="163">
          <cell r="B163">
            <v>92627</v>
          </cell>
        </row>
        <row r="164">
          <cell r="B164">
            <v>92620</v>
          </cell>
        </row>
        <row r="165">
          <cell r="B165">
            <v>92618</v>
          </cell>
        </row>
        <row r="166">
          <cell r="B166">
            <v>92616</v>
          </cell>
        </row>
        <row r="167">
          <cell r="B167">
            <v>92563</v>
          </cell>
        </row>
        <row r="168">
          <cell r="B168">
            <v>92477</v>
          </cell>
        </row>
        <row r="169">
          <cell r="B169">
            <v>92409</v>
          </cell>
        </row>
        <row r="170">
          <cell r="B170">
            <v>92407</v>
          </cell>
        </row>
        <row r="171">
          <cell r="B171">
            <v>92402</v>
          </cell>
        </row>
        <row r="172">
          <cell r="B172">
            <v>92400</v>
          </cell>
        </row>
        <row r="173">
          <cell r="B173">
            <v>92059</v>
          </cell>
        </row>
        <row r="174">
          <cell r="B174">
            <v>92031</v>
          </cell>
        </row>
        <row r="175">
          <cell r="B175">
            <v>92019</v>
          </cell>
        </row>
        <row r="176">
          <cell r="B176">
            <v>92011</v>
          </cell>
        </row>
        <row r="177">
          <cell r="B177">
            <v>92009</v>
          </cell>
        </row>
        <row r="178">
          <cell r="B178">
            <v>91945</v>
          </cell>
        </row>
        <row r="179">
          <cell r="B179">
            <v>91944</v>
          </cell>
        </row>
        <row r="180">
          <cell r="B180">
            <v>91943</v>
          </cell>
        </row>
        <row r="181">
          <cell r="B181">
            <v>91942</v>
          </cell>
        </row>
        <row r="182">
          <cell r="B182">
            <v>91941</v>
          </cell>
        </row>
        <row r="183">
          <cell r="B183">
            <v>91939</v>
          </cell>
        </row>
        <row r="184">
          <cell r="B184">
            <v>91938</v>
          </cell>
        </row>
        <row r="185">
          <cell r="B185">
            <v>91931</v>
          </cell>
        </row>
        <row r="186">
          <cell r="B186">
            <v>91908</v>
          </cell>
        </row>
        <row r="187">
          <cell r="B187">
            <v>91905</v>
          </cell>
        </row>
        <row r="188">
          <cell r="B188">
            <v>91903</v>
          </cell>
        </row>
        <row r="189">
          <cell r="B189">
            <v>91535</v>
          </cell>
        </row>
        <row r="190">
          <cell r="B190">
            <v>91400</v>
          </cell>
        </row>
        <row r="191">
          <cell r="B191">
            <v>91399</v>
          </cell>
        </row>
        <row r="192">
          <cell r="B192">
            <v>91371</v>
          </cell>
        </row>
        <row r="193">
          <cell r="B193">
            <v>91370</v>
          </cell>
        </row>
        <row r="194">
          <cell r="B194">
            <v>91327</v>
          </cell>
        </row>
        <row r="195">
          <cell r="B195">
            <v>91326</v>
          </cell>
        </row>
        <row r="196">
          <cell r="B196">
            <v>91298</v>
          </cell>
        </row>
        <row r="197">
          <cell r="B197">
            <v>91297</v>
          </cell>
        </row>
        <row r="198">
          <cell r="B198">
            <v>91289</v>
          </cell>
        </row>
        <row r="199">
          <cell r="B199">
            <v>91287</v>
          </cell>
        </row>
        <row r="200">
          <cell r="B200">
            <v>91286</v>
          </cell>
        </row>
        <row r="201">
          <cell r="B201">
            <v>91285</v>
          </cell>
        </row>
        <row r="202">
          <cell r="B202">
            <v>91283</v>
          </cell>
        </row>
        <row r="203">
          <cell r="B203">
            <v>91282</v>
          </cell>
        </row>
        <row r="204">
          <cell r="B204">
            <v>91281</v>
          </cell>
        </row>
        <row r="205">
          <cell r="B205">
            <v>91280</v>
          </cell>
        </row>
        <row r="206">
          <cell r="B206">
            <v>91279</v>
          </cell>
        </row>
        <row r="207">
          <cell r="B207">
            <v>91268</v>
          </cell>
        </row>
        <row r="208">
          <cell r="B208">
            <v>91165</v>
          </cell>
        </row>
        <row r="209">
          <cell r="B209">
            <v>91079</v>
          </cell>
        </row>
        <row r="210">
          <cell r="B210">
            <v>90381</v>
          </cell>
        </row>
        <row r="211">
          <cell r="B211">
            <v>90348</v>
          </cell>
        </row>
        <row r="212">
          <cell r="B212">
            <v>90338</v>
          </cell>
        </row>
        <row r="213">
          <cell r="B213">
            <v>90337</v>
          </cell>
        </row>
        <row r="214">
          <cell r="B214">
            <v>90335</v>
          </cell>
        </row>
        <row r="215">
          <cell r="B215">
            <v>90333</v>
          </cell>
        </row>
        <row r="216">
          <cell r="B216">
            <v>90332</v>
          </cell>
        </row>
        <row r="217">
          <cell r="B217">
            <v>90331</v>
          </cell>
        </row>
        <row r="218">
          <cell r="B218">
            <v>90328</v>
          </cell>
        </row>
        <row r="219">
          <cell r="B219">
            <v>90326</v>
          </cell>
        </row>
        <row r="220">
          <cell r="B220">
            <v>90185</v>
          </cell>
        </row>
        <row r="221">
          <cell r="B221">
            <v>89426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T´s"/>
      <sheetName val="OMs APROVADAS"/>
      <sheetName val="GRAFICO PMG"/>
      <sheetName val="CENTRO DE CUSTO-SUBESTAÇÃO"/>
      <sheetName val="CADASTRO CENTRO DE CUSTO-ALOCAÇ"/>
      <sheetName val="RESUMO CONTRATOS"/>
      <sheetName val="DINAMICA CONTRATOS"/>
      <sheetName val="PEDIDOS"/>
      <sheetName val="CONTRATOS EAP"/>
      <sheetName val="CONTRATOS"/>
      <sheetName val="sem arquivos pdf"/>
      <sheetName val="SUB CONTRATADOS"/>
      <sheetName val="Planilha1"/>
      <sheetName val="BOLETIM DE MEDIÇÃO"/>
      <sheetName val="NOTAS FISCAIS"/>
      <sheetName val="APOIO"/>
      <sheetName val="Planilha3"/>
      <sheetName val="Planilha2"/>
      <sheetName val="CADASTRO DE FORNECEDORES"/>
      <sheetName val="RESUMO DE ROMANEIOS"/>
      <sheetName val="RESUMO CONTRATO+ADIANTAMENTO"/>
      <sheetName val="RESUMO DE ADIANTAMENTOS"/>
      <sheetName val="%"/>
      <sheetName val="CC"/>
      <sheetName val="NOTAS PG SEGURO"/>
      <sheetName val="DINAMICA"/>
      <sheetName val="RELATORIO MENSAL"/>
      <sheetName val="Controle Liberação de Retenções"/>
      <sheetName val="Controle ADITIVOS"/>
      <sheetName val="AD TERRAM"/>
      <sheetName val="RELATÓRIO FINANCEIRO 02"/>
      <sheetName val="Planilha5"/>
      <sheetName val="UNIFI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E11" t="str">
            <v>TÍTULOS SIENGE</v>
          </cell>
        </row>
        <row r="12">
          <cell r="E12" t="e">
            <v>#N/A</v>
          </cell>
        </row>
        <row r="13">
          <cell r="E13">
            <v>92707</v>
          </cell>
        </row>
        <row r="14">
          <cell r="E14">
            <v>92707</v>
          </cell>
        </row>
        <row r="15">
          <cell r="E15" t="e">
            <v>#N/A</v>
          </cell>
        </row>
        <row r="16">
          <cell r="E16" t="e">
            <v>#N/A</v>
          </cell>
        </row>
        <row r="17">
          <cell r="E17" t="e">
            <v>#N/A</v>
          </cell>
        </row>
        <row r="18">
          <cell r="E18" t="e">
            <v>#N/A</v>
          </cell>
        </row>
        <row r="19">
          <cell r="E19" t="e">
            <v>#N/A</v>
          </cell>
        </row>
        <row r="20">
          <cell r="E20">
            <v>91939</v>
          </cell>
        </row>
        <row r="21">
          <cell r="E21">
            <v>91939</v>
          </cell>
        </row>
        <row r="22">
          <cell r="E22">
            <v>93106</v>
          </cell>
        </row>
        <row r="23">
          <cell r="E23">
            <v>93106</v>
          </cell>
        </row>
        <row r="24">
          <cell r="E24">
            <v>90331</v>
          </cell>
        </row>
        <row r="25">
          <cell r="E25">
            <v>90332</v>
          </cell>
        </row>
        <row r="26">
          <cell r="E26">
            <v>90333</v>
          </cell>
        </row>
        <row r="27">
          <cell r="E27">
            <v>90335</v>
          </cell>
        </row>
        <row r="28">
          <cell r="E28">
            <v>90337</v>
          </cell>
        </row>
        <row r="29">
          <cell r="E29">
            <v>90338</v>
          </cell>
        </row>
        <row r="30">
          <cell r="E30">
            <v>90348</v>
          </cell>
        </row>
        <row r="31">
          <cell r="E31">
            <v>90381</v>
          </cell>
        </row>
        <row r="32">
          <cell r="E32">
            <v>93106</v>
          </cell>
        </row>
        <row r="33">
          <cell r="E33">
            <v>93106</v>
          </cell>
        </row>
        <row r="34">
          <cell r="E34" t="e">
            <v>#N/A</v>
          </cell>
        </row>
        <row r="35">
          <cell r="E35" t="e">
            <v>#N/A</v>
          </cell>
        </row>
        <row r="36">
          <cell r="E36" t="e">
            <v>#N/A</v>
          </cell>
        </row>
        <row r="37">
          <cell r="E37" t="e">
            <v>#N/A</v>
          </cell>
        </row>
        <row r="38">
          <cell r="E38">
            <v>91165</v>
          </cell>
        </row>
        <row r="39">
          <cell r="E39">
            <v>91079</v>
          </cell>
        </row>
        <row r="40">
          <cell r="E40">
            <v>91268</v>
          </cell>
        </row>
        <row r="41">
          <cell r="E41">
            <v>91371</v>
          </cell>
        </row>
        <row r="42">
          <cell r="E42">
            <v>91371</v>
          </cell>
        </row>
        <row r="43">
          <cell r="E43">
            <v>91371</v>
          </cell>
        </row>
        <row r="44">
          <cell r="E44">
            <v>91371</v>
          </cell>
        </row>
        <row r="45">
          <cell r="E45" t="e">
            <v>#N/A</v>
          </cell>
        </row>
        <row r="46">
          <cell r="E46" t="e">
            <v>#N/A</v>
          </cell>
        </row>
        <row r="47">
          <cell r="E47" t="e">
            <v>#N/A</v>
          </cell>
        </row>
        <row r="48">
          <cell r="E48" t="e">
            <v>#N/A</v>
          </cell>
        </row>
        <row r="49">
          <cell r="E49" t="e">
            <v>#N/A</v>
          </cell>
        </row>
        <row r="50">
          <cell r="E50" t="e">
            <v>#N/A</v>
          </cell>
        </row>
        <row r="51">
          <cell r="E51">
            <v>91286</v>
          </cell>
        </row>
        <row r="52">
          <cell r="E52">
            <v>91289</v>
          </cell>
        </row>
        <row r="53">
          <cell r="E53">
            <v>91289</v>
          </cell>
        </row>
        <row r="54">
          <cell r="E54">
            <v>91297</v>
          </cell>
        </row>
        <row r="55">
          <cell r="E55">
            <v>91370</v>
          </cell>
        </row>
        <row r="56">
          <cell r="E56">
            <v>91370</v>
          </cell>
        </row>
        <row r="57">
          <cell r="E57">
            <v>91370</v>
          </cell>
        </row>
        <row r="58">
          <cell r="E58">
            <v>91370</v>
          </cell>
        </row>
        <row r="59">
          <cell r="E59">
            <v>91326</v>
          </cell>
        </row>
        <row r="60">
          <cell r="E60">
            <v>91535</v>
          </cell>
        </row>
        <row r="61">
          <cell r="E61">
            <v>91399</v>
          </cell>
        </row>
        <row r="62">
          <cell r="E62" t="e">
            <v>#N/A</v>
          </cell>
        </row>
        <row r="63">
          <cell r="E63">
            <v>92708</v>
          </cell>
        </row>
        <row r="64">
          <cell r="E64">
            <v>91903</v>
          </cell>
        </row>
        <row r="65">
          <cell r="E65">
            <v>91905</v>
          </cell>
        </row>
        <row r="66">
          <cell r="E66">
            <v>91908</v>
          </cell>
        </row>
        <row r="67">
          <cell r="E67">
            <v>91949</v>
          </cell>
        </row>
        <row r="68">
          <cell r="E68">
            <v>91949</v>
          </cell>
        </row>
        <row r="69">
          <cell r="E69">
            <v>91949</v>
          </cell>
        </row>
        <row r="70">
          <cell r="E70">
            <v>92009</v>
          </cell>
        </row>
        <row r="71">
          <cell r="E71">
            <v>92011</v>
          </cell>
        </row>
        <row r="72">
          <cell r="E72">
            <v>92019</v>
          </cell>
        </row>
        <row r="73">
          <cell r="E73">
            <v>92031</v>
          </cell>
        </row>
        <row r="74">
          <cell r="E74">
            <v>91931</v>
          </cell>
        </row>
        <row r="75">
          <cell r="E75">
            <v>92059</v>
          </cell>
        </row>
        <row r="76">
          <cell r="E76">
            <v>92400</v>
          </cell>
        </row>
        <row r="77">
          <cell r="E77">
            <v>92400</v>
          </cell>
        </row>
        <row r="78">
          <cell r="E78">
            <v>92402</v>
          </cell>
        </row>
        <row r="79">
          <cell r="E79">
            <v>92407</v>
          </cell>
        </row>
        <row r="80">
          <cell r="E80">
            <v>92409</v>
          </cell>
        </row>
        <row r="81">
          <cell r="E81">
            <v>92477</v>
          </cell>
        </row>
        <row r="82">
          <cell r="E82">
            <v>93106</v>
          </cell>
        </row>
        <row r="83">
          <cell r="E83">
            <v>93106</v>
          </cell>
        </row>
        <row r="84">
          <cell r="E84">
            <v>93106</v>
          </cell>
        </row>
        <row r="85">
          <cell r="E85">
            <v>93106</v>
          </cell>
        </row>
        <row r="86">
          <cell r="E86">
            <v>93637</v>
          </cell>
        </row>
        <row r="87">
          <cell r="E87">
            <v>93402</v>
          </cell>
        </row>
        <row r="88">
          <cell r="E88">
            <v>93402</v>
          </cell>
        </row>
        <row r="89">
          <cell r="E89">
            <v>93400</v>
          </cell>
        </row>
        <row r="90">
          <cell r="E90">
            <v>93400</v>
          </cell>
        </row>
        <row r="91">
          <cell r="E91">
            <v>93396</v>
          </cell>
        </row>
        <row r="92">
          <cell r="E92">
            <v>93383</v>
          </cell>
        </row>
        <row r="93">
          <cell r="E93">
            <v>93379</v>
          </cell>
        </row>
        <row r="94">
          <cell r="E94">
            <v>93378</v>
          </cell>
        </row>
        <row r="95">
          <cell r="E95">
            <v>93372</v>
          </cell>
        </row>
        <row r="96">
          <cell r="E96">
            <v>93371</v>
          </cell>
        </row>
        <row r="97">
          <cell r="E97">
            <v>93370</v>
          </cell>
        </row>
        <row r="98">
          <cell r="E98">
            <v>93330</v>
          </cell>
        </row>
        <row r="99">
          <cell r="E99">
            <v>93327</v>
          </cell>
        </row>
        <row r="100">
          <cell r="E100">
            <v>93320</v>
          </cell>
        </row>
        <row r="101">
          <cell r="E101">
            <v>93311</v>
          </cell>
        </row>
        <row r="102">
          <cell r="E102">
            <v>93300</v>
          </cell>
        </row>
        <row r="103">
          <cell r="E103">
            <v>93298</v>
          </cell>
        </row>
        <row r="104">
          <cell r="E104">
            <v>93294</v>
          </cell>
        </row>
        <row r="105">
          <cell r="E105">
            <v>93248</v>
          </cell>
        </row>
        <row r="106">
          <cell r="E106">
            <v>92476</v>
          </cell>
        </row>
        <row r="107">
          <cell r="E107">
            <v>93204</v>
          </cell>
        </row>
        <row r="108">
          <cell r="E108">
            <v>93776</v>
          </cell>
        </row>
        <row r="109">
          <cell r="E109">
            <v>93188</v>
          </cell>
        </row>
        <row r="110">
          <cell r="E110">
            <v>93188</v>
          </cell>
        </row>
        <row r="111">
          <cell r="E111">
            <v>93159</v>
          </cell>
        </row>
        <row r="112">
          <cell r="E112">
            <v>93130</v>
          </cell>
        </row>
        <row r="113">
          <cell r="E113">
            <v>93130</v>
          </cell>
        </row>
        <row r="114">
          <cell r="E114">
            <v>93126</v>
          </cell>
        </row>
        <row r="115">
          <cell r="E115">
            <v>92655</v>
          </cell>
        </row>
        <row r="116">
          <cell r="E116">
            <v>92563</v>
          </cell>
        </row>
        <row r="117">
          <cell r="E117">
            <v>92563</v>
          </cell>
        </row>
        <row r="118">
          <cell r="E118">
            <v>93451</v>
          </cell>
        </row>
        <row r="119">
          <cell r="E119">
            <v>93451</v>
          </cell>
        </row>
        <row r="120">
          <cell r="E120">
            <v>93451</v>
          </cell>
        </row>
        <row r="121">
          <cell r="E121">
            <v>93451</v>
          </cell>
        </row>
        <row r="122">
          <cell r="E122">
            <v>93451</v>
          </cell>
        </row>
        <row r="123">
          <cell r="E123">
            <v>93451</v>
          </cell>
        </row>
        <row r="124">
          <cell r="E124">
            <v>93451</v>
          </cell>
        </row>
        <row r="125">
          <cell r="E125">
            <v>93451</v>
          </cell>
        </row>
        <row r="126">
          <cell r="E126">
            <v>93451</v>
          </cell>
        </row>
        <row r="127">
          <cell r="E127">
            <v>93451</v>
          </cell>
        </row>
        <row r="128">
          <cell r="E128">
            <v>93451</v>
          </cell>
        </row>
        <row r="129">
          <cell r="E129">
            <v>93451</v>
          </cell>
        </row>
        <row r="130">
          <cell r="E130">
            <v>93443</v>
          </cell>
        </row>
        <row r="131">
          <cell r="E131">
            <v>93433</v>
          </cell>
        </row>
        <row r="132">
          <cell r="E132">
            <v>93431</v>
          </cell>
        </row>
        <row r="133">
          <cell r="E133">
            <v>93369</v>
          </cell>
        </row>
        <row r="134">
          <cell r="E134">
            <v>93368</v>
          </cell>
        </row>
        <row r="135">
          <cell r="E135">
            <v>93367</v>
          </cell>
        </row>
        <row r="136">
          <cell r="E136">
            <v>93367</v>
          </cell>
        </row>
        <row r="137">
          <cell r="E137">
            <v>93295</v>
          </cell>
        </row>
        <row r="138">
          <cell r="E138">
            <v>93295</v>
          </cell>
        </row>
        <row r="139">
          <cell r="E139">
            <v>93116</v>
          </cell>
        </row>
        <row r="140">
          <cell r="E140">
            <v>93058</v>
          </cell>
        </row>
        <row r="141">
          <cell r="E141">
            <v>93057</v>
          </cell>
        </row>
        <row r="142">
          <cell r="E142">
            <v>93057</v>
          </cell>
        </row>
        <row r="143">
          <cell r="E143">
            <v>93057</v>
          </cell>
        </row>
        <row r="144">
          <cell r="E144">
            <v>93057</v>
          </cell>
        </row>
        <row r="145">
          <cell r="E145">
            <v>93057</v>
          </cell>
        </row>
        <row r="146">
          <cell r="E146">
            <v>93057</v>
          </cell>
        </row>
        <row r="147">
          <cell r="E147">
            <v>93057</v>
          </cell>
        </row>
        <row r="148">
          <cell r="E148">
            <v>93057</v>
          </cell>
        </row>
        <row r="149">
          <cell r="E149">
            <v>93057</v>
          </cell>
        </row>
        <row r="150">
          <cell r="E150">
            <v>93057</v>
          </cell>
        </row>
        <row r="151">
          <cell r="E151">
            <v>93057</v>
          </cell>
        </row>
        <row r="152">
          <cell r="E152">
            <v>93057</v>
          </cell>
        </row>
        <row r="153">
          <cell r="E153">
            <v>93048</v>
          </cell>
        </row>
        <row r="154">
          <cell r="E154">
            <v>93048</v>
          </cell>
        </row>
        <row r="155">
          <cell r="E155">
            <v>93045</v>
          </cell>
        </row>
        <row r="156">
          <cell r="E156">
            <v>93045</v>
          </cell>
        </row>
        <row r="157">
          <cell r="E157">
            <v>93039</v>
          </cell>
        </row>
        <row r="158">
          <cell r="E158">
            <v>93004</v>
          </cell>
        </row>
        <row r="159">
          <cell r="E159">
            <v>93001</v>
          </cell>
        </row>
        <row r="160">
          <cell r="E160">
            <v>92997</v>
          </cell>
        </row>
        <row r="161">
          <cell r="E161">
            <v>92996</v>
          </cell>
        </row>
        <row r="162">
          <cell r="E162">
            <v>92977</v>
          </cell>
        </row>
        <row r="163">
          <cell r="E163">
            <v>92959</v>
          </cell>
        </row>
        <row r="164">
          <cell r="E164">
            <v>92905</v>
          </cell>
        </row>
        <row r="165">
          <cell r="E165">
            <v>92905</v>
          </cell>
        </row>
        <row r="166">
          <cell r="E166">
            <v>92905</v>
          </cell>
        </row>
        <row r="167">
          <cell r="E167">
            <v>92905</v>
          </cell>
        </row>
        <row r="168">
          <cell r="E168">
            <v>92905</v>
          </cell>
        </row>
        <row r="169">
          <cell r="E169">
            <v>92905</v>
          </cell>
        </row>
        <row r="170">
          <cell r="E170">
            <v>92905</v>
          </cell>
        </row>
        <row r="171">
          <cell r="E171">
            <v>92905</v>
          </cell>
        </row>
        <row r="172">
          <cell r="E172">
            <v>92905</v>
          </cell>
        </row>
        <row r="173">
          <cell r="E173">
            <v>92905</v>
          </cell>
        </row>
        <row r="174">
          <cell r="E174">
            <v>92905</v>
          </cell>
        </row>
        <row r="175">
          <cell r="E175">
            <v>92905</v>
          </cell>
        </row>
        <row r="176">
          <cell r="E176">
            <v>92895</v>
          </cell>
        </row>
        <row r="177">
          <cell r="E177">
            <v>92869</v>
          </cell>
        </row>
        <row r="178">
          <cell r="E178">
            <v>92791</v>
          </cell>
        </row>
        <row r="179">
          <cell r="E179">
            <v>92789</v>
          </cell>
        </row>
        <row r="180">
          <cell r="E180">
            <v>92787</v>
          </cell>
        </row>
        <row r="181">
          <cell r="E181">
            <v>93393</v>
          </cell>
        </row>
        <row r="182">
          <cell r="E182">
            <v>93392</v>
          </cell>
        </row>
        <row r="183">
          <cell r="E183">
            <v>93392</v>
          </cell>
        </row>
        <row r="184">
          <cell r="E184">
            <v>93475</v>
          </cell>
        </row>
        <row r="185">
          <cell r="E185">
            <v>93475</v>
          </cell>
        </row>
        <row r="186">
          <cell r="E186">
            <v>93475</v>
          </cell>
        </row>
        <row r="187">
          <cell r="E187">
            <v>93106</v>
          </cell>
        </row>
        <row r="188">
          <cell r="E188">
            <v>92618</v>
          </cell>
        </row>
        <row r="189">
          <cell r="E189">
            <v>93106</v>
          </cell>
        </row>
        <row r="190">
          <cell r="E190">
            <v>93106</v>
          </cell>
        </row>
        <row r="191">
          <cell r="E191">
            <v>93091</v>
          </cell>
        </row>
        <row r="192">
          <cell r="E192">
            <v>93091</v>
          </cell>
        </row>
        <row r="193">
          <cell r="E193">
            <v>93091</v>
          </cell>
        </row>
        <row r="194">
          <cell r="E194">
            <v>93106</v>
          </cell>
        </row>
        <row r="195">
          <cell r="E195">
            <v>93106</v>
          </cell>
        </row>
        <row r="196">
          <cell r="E196">
            <v>93106</v>
          </cell>
        </row>
        <row r="197">
          <cell r="E197">
            <v>93106</v>
          </cell>
        </row>
        <row r="198">
          <cell r="E198">
            <v>93106</v>
          </cell>
        </row>
        <row r="199">
          <cell r="E199">
            <v>93106</v>
          </cell>
        </row>
        <row r="200">
          <cell r="E200">
            <v>93106</v>
          </cell>
        </row>
        <row r="201">
          <cell r="E201">
            <v>93106</v>
          </cell>
        </row>
        <row r="202">
          <cell r="E202">
            <v>93106</v>
          </cell>
        </row>
        <row r="203">
          <cell r="E203">
            <v>93106</v>
          </cell>
        </row>
        <row r="204">
          <cell r="E204">
            <v>93106</v>
          </cell>
        </row>
        <row r="205">
          <cell r="E205">
            <v>93550</v>
          </cell>
        </row>
        <row r="206">
          <cell r="E206">
            <v>93504</v>
          </cell>
        </row>
        <row r="207">
          <cell r="E207">
            <v>93106</v>
          </cell>
        </row>
        <row r="208">
          <cell r="E208">
            <v>93106</v>
          </cell>
        </row>
        <row r="209">
          <cell r="E209">
            <v>93649</v>
          </cell>
        </row>
        <row r="210">
          <cell r="E210">
            <v>93646</v>
          </cell>
        </row>
        <row r="211">
          <cell r="E211">
            <v>93647</v>
          </cell>
        </row>
        <row r="212">
          <cell r="E212">
            <v>93650</v>
          </cell>
        </row>
        <row r="213">
          <cell r="E213">
            <v>93654</v>
          </cell>
        </row>
        <row r="214">
          <cell r="E214">
            <v>93764</v>
          </cell>
        </row>
        <row r="215">
          <cell r="E215">
            <v>93834</v>
          </cell>
        </row>
        <row r="216">
          <cell r="E216">
            <v>94054</v>
          </cell>
        </row>
        <row r="217">
          <cell r="E217">
            <v>93832</v>
          </cell>
        </row>
        <row r="218">
          <cell r="E218">
            <v>93830</v>
          </cell>
        </row>
        <row r="219">
          <cell r="E219">
            <v>91939</v>
          </cell>
        </row>
        <row r="220">
          <cell r="E220">
            <v>94050</v>
          </cell>
        </row>
        <row r="221">
          <cell r="E221">
            <v>93675</v>
          </cell>
        </row>
        <row r="222">
          <cell r="E222">
            <v>92721</v>
          </cell>
        </row>
        <row r="223">
          <cell r="E223">
            <v>93225</v>
          </cell>
        </row>
        <row r="224">
          <cell r="E224">
            <v>91939</v>
          </cell>
        </row>
        <row r="225">
          <cell r="E225">
            <v>91939</v>
          </cell>
        </row>
        <row r="226">
          <cell r="E226">
            <v>91939</v>
          </cell>
        </row>
        <row r="227">
          <cell r="E227">
            <v>91939</v>
          </cell>
        </row>
        <row r="228">
          <cell r="E228">
            <v>91939</v>
          </cell>
        </row>
        <row r="229">
          <cell r="E229">
            <v>91939</v>
          </cell>
        </row>
        <row r="230">
          <cell r="E230">
            <v>91939</v>
          </cell>
        </row>
        <row r="231">
          <cell r="E231">
            <v>91939</v>
          </cell>
        </row>
        <row r="232">
          <cell r="E232">
            <v>91939</v>
          </cell>
        </row>
        <row r="233">
          <cell r="E233">
            <v>91939</v>
          </cell>
        </row>
        <row r="234">
          <cell r="E234">
            <v>91939</v>
          </cell>
        </row>
        <row r="235">
          <cell r="E235">
            <v>94058</v>
          </cell>
        </row>
        <row r="236">
          <cell r="E236">
            <v>94058</v>
          </cell>
        </row>
        <row r="237">
          <cell r="E237">
            <v>94058</v>
          </cell>
        </row>
        <row r="238">
          <cell r="E238">
            <v>94058</v>
          </cell>
        </row>
        <row r="239">
          <cell r="E239">
            <v>94058</v>
          </cell>
        </row>
        <row r="240">
          <cell r="E240">
            <v>94058</v>
          </cell>
        </row>
        <row r="241">
          <cell r="E241">
            <v>94058</v>
          </cell>
        </row>
        <row r="242">
          <cell r="E242">
            <v>94058</v>
          </cell>
        </row>
        <row r="243">
          <cell r="E243">
            <v>94058</v>
          </cell>
        </row>
        <row r="244">
          <cell r="E244">
            <v>94058</v>
          </cell>
        </row>
        <row r="245">
          <cell r="E245">
            <v>94058</v>
          </cell>
        </row>
        <row r="246">
          <cell r="E246">
            <v>94058</v>
          </cell>
        </row>
        <row r="247">
          <cell r="E247">
            <v>92903</v>
          </cell>
        </row>
        <row r="248">
          <cell r="E248">
            <v>92902</v>
          </cell>
        </row>
        <row r="249">
          <cell r="E249">
            <v>94662</v>
          </cell>
        </row>
        <row r="250">
          <cell r="E250">
            <v>94660</v>
          </cell>
        </row>
        <row r="251">
          <cell r="E251">
            <v>94658</v>
          </cell>
        </row>
        <row r="252">
          <cell r="E252">
            <v>94120</v>
          </cell>
        </row>
        <row r="253">
          <cell r="E253">
            <v>94054</v>
          </cell>
        </row>
        <row r="254">
          <cell r="E254">
            <v>94242</v>
          </cell>
        </row>
        <row r="255">
          <cell r="E255">
            <v>94218</v>
          </cell>
        </row>
        <row r="256">
          <cell r="E256">
            <v>95043</v>
          </cell>
        </row>
        <row r="257">
          <cell r="E257">
            <v>95043</v>
          </cell>
        </row>
        <row r="258">
          <cell r="E258">
            <v>94639</v>
          </cell>
        </row>
        <row r="259">
          <cell r="E259">
            <v>94638</v>
          </cell>
        </row>
        <row r="260">
          <cell r="E260">
            <v>93818</v>
          </cell>
        </row>
        <row r="261">
          <cell r="E261">
            <v>94854</v>
          </cell>
        </row>
        <row r="262">
          <cell r="E262">
            <v>94839</v>
          </cell>
        </row>
        <row r="263">
          <cell r="E263">
            <v>94835</v>
          </cell>
        </row>
        <row r="264">
          <cell r="E264">
            <v>94818</v>
          </cell>
        </row>
        <row r="265">
          <cell r="E265">
            <v>94818</v>
          </cell>
        </row>
        <row r="266">
          <cell r="E266">
            <v>94805</v>
          </cell>
        </row>
        <row r="267">
          <cell r="E267">
            <v>94796</v>
          </cell>
        </row>
        <row r="268">
          <cell r="E268">
            <v>94789</v>
          </cell>
        </row>
        <row r="269">
          <cell r="E269">
            <v>94759</v>
          </cell>
        </row>
        <row r="270">
          <cell r="E270">
            <v>94644</v>
          </cell>
        </row>
        <row r="271">
          <cell r="E271">
            <v>94644</v>
          </cell>
        </row>
        <row r="272">
          <cell r="E272">
            <v>94640</v>
          </cell>
        </row>
        <row r="273">
          <cell r="E273">
            <v>94637</v>
          </cell>
        </row>
        <row r="274">
          <cell r="E274">
            <v>94637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9"/>
  <sheetViews>
    <sheetView showGridLines="0" tabSelected="1" workbookViewId="0">
      <pane ySplit="1" topLeftCell="A5" activePane="bottomLeft" state="frozen"/>
      <selection pane="bottomLeft" activeCell="G216" sqref="G216"/>
    </sheetView>
  </sheetViews>
  <sheetFormatPr defaultRowHeight="15.75" x14ac:dyDescent="0.25"/>
  <cols>
    <col min="1" max="1" width="9" style="2"/>
    <col min="2" max="2" width="18.625" style="2" bestFit="1" customWidth="1"/>
    <col min="3" max="3" width="12.375" style="2" bestFit="1" customWidth="1"/>
    <col min="4" max="4" width="15.5" style="2" bestFit="1" customWidth="1"/>
    <col min="5" max="5" width="13.125" style="10" bestFit="1" customWidth="1"/>
    <col min="6" max="6" width="12.375" style="2" customWidth="1"/>
    <col min="7" max="7" width="34.25" style="2" customWidth="1"/>
    <col min="8" max="8" width="10.5" style="2" customWidth="1"/>
    <col min="9" max="9" width="13.875" style="2" bestFit="1" customWidth="1"/>
    <col min="10" max="10" width="15.125" style="2" bestFit="1" customWidth="1"/>
    <col min="11" max="11" width="10.375" style="2" bestFit="1" customWidth="1"/>
    <col min="12" max="12" width="60.125" style="2" customWidth="1"/>
    <col min="13" max="16384" width="9" style="2"/>
  </cols>
  <sheetData>
    <row r="1" spans="1:12" ht="31.5" x14ac:dyDescent="0.25">
      <c r="A1" s="4" t="s">
        <v>320</v>
      </c>
      <c r="B1" s="4" t="s">
        <v>319</v>
      </c>
      <c r="C1" s="1" t="s">
        <v>0</v>
      </c>
      <c r="D1" s="1" t="s">
        <v>1</v>
      </c>
      <c r="E1" s="9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idden="1" x14ac:dyDescent="0.25">
      <c r="A2" s="2">
        <f>_xlfn.XLOOKUP(E2,[1]Sheet1!$B:$B,[1]Sheet1!$B:$B)</f>
        <v>95210</v>
      </c>
      <c r="B2" s="2" t="e">
        <f>_xlfn.XLOOKUP(E2,'[2]NOTAS FISCAIS'!$E:$E,'[2]NOTAS FISCAIS'!$E:$E)</f>
        <v>#N/A</v>
      </c>
      <c r="C2" s="2" t="s">
        <v>10</v>
      </c>
      <c r="D2" s="2" t="s">
        <v>11</v>
      </c>
      <c r="E2" s="2">
        <v>95210</v>
      </c>
      <c r="F2" s="2" t="s">
        <v>12</v>
      </c>
      <c r="G2" s="2" t="s">
        <v>13</v>
      </c>
      <c r="H2" s="2" t="s">
        <v>300</v>
      </c>
      <c r="I2" s="2">
        <v>198</v>
      </c>
      <c r="J2" s="3">
        <v>131808.87</v>
      </c>
      <c r="K2" s="7">
        <v>46178</v>
      </c>
      <c r="L2" s="2" t="s">
        <v>14</v>
      </c>
    </row>
    <row r="3" spans="1:12" hidden="1" x14ac:dyDescent="0.25">
      <c r="A3" s="2">
        <f>_xlfn.XLOOKUP(E3,[1]Sheet1!$B:$B,[1]Sheet1!$B:$B)</f>
        <v>95204</v>
      </c>
      <c r="B3" s="2" t="e">
        <f>_xlfn.XLOOKUP(E3,'[2]NOTAS FISCAIS'!$E:$E,'[2]NOTAS FISCAIS'!$E:$E)</f>
        <v>#N/A</v>
      </c>
      <c r="C3" s="2" t="s">
        <v>10</v>
      </c>
      <c r="D3" s="2" t="s">
        <v>18</v>
      </c>
      <c r="E3" s="2">
        <v>95204</v>
      </c>
      <c r="F3" s="2" t="s">
        <v>12</v>
      </c>
      <c r="G3" s="2" t="s">
        <v>16</v>
      </c>
      <c r="H3" s="2" t="s">
        <v>301</v>
      </c>
      <c r="I3" s="2" t="s">
        <v>302</v>
      </c>
      <c r="J3" s="3">
        <v>2719.97</v>
      </c>
      <c r="K3" s="7">
        <v>46477</v>
      </c>
      <c r="L3" s="2" t="s">
        <v>17</v>
      </c>
    </row>
    <row r="4" spans="1:12" hidden="1" x14ac:dyDescent="0.25">
      <c r="A4" s="2">
        <f>_xlfn.XLOOKUP(E4,[1]Sheet1!$B:$B,[1]Sheet1!$B:$B)</f>
        <v>95203</v>
      </c>
      <c r="B4" s="2" t="e">
        <f>_xlfn.XLOOKUP(E4,'[2]NOTAS FISCAIS'!$E:$E,'[2]NOTAS FISCAIS'!$E:$E)</f>
        <v>#N/A</v>
      </c>
      <c r="C4" s="2" t="s">
        <v>10</v>
      </c>
      <c r="D4" s="2" t="s">
        <v>15</v>
      </c>
      <c r="E4" s="2">
        <v>95203</v>
      </c>
      <c r="F4" s="2" t="s">
        <v>12</v>
      </c>
      <c r="G4" s="2" t="s">
        <v>16</v>
      </c>
      <c r="H4" s="2" t="s">
        <v>300</v>
      </c>
      <c r="I4" s="2">
        <v>411</v>
      </c>
      <c r="J4" s="3">
        <v>51679.49</v>
      </c>
      <c r="K4" s="7">
        <v>46178</v>
      </c>
      <c r="L4" s="2" t="s">
        <v>17</v>
      </c>
    </row>
    <row r="5" spans="1:12" x14ac:dyDescent="0.25">
      <c r="A5" s="2">
        <f>_xlfn.XLOOKUP(E5,[1]Sheet1!$B:$B,[1]Sheet1!$B:$B)</f>
        <v>95197</v>
      </c>
      <c r="B5" s="2" t="e">
        <f>_xlfn.XLOOKUP(E5,'[2]NOTAS FISCAIS'!$E:$E,'[2]NOTAS FISCAIS'!$E:$E)</f>
        <v>#N/A</v>
      </c>
      <c r="C5" s="2" t="s">
        <v>10</v>
      </c>
      <c r="D5" s="2" t="s">
        <v>19</v>
      </c>
      <c r="E5" s="2">
        <v>95197</v>
      </c>
      <c r="F5" s="2" t="s">
        <v>12</v>
      </c>
      <c r="G5" s="2" t="s">
        <v>16</v>
      </c>
      <c r="H5" s="2" t="s">
        <v>303</v>
      </c>
      <c r="I5" s="2">
        <v>1</v>
      </c>
      <c r="J5" s="3">
        <v>3430000</v>
      </c>
      <c r="K5" s="7">
        <v>46171</v>
      </c>
      <c r="L5" s="2" t="s">
        <v>20</v>
      </c>
    </row>
    <row r="6" spans="1:12" hidden="1" x14ac:dyDescent="0.25">
      <c r="A6" s="2">
        <f>_xlfn.XLOOKUP(E6,[1]Sheet1!$B:$B,[1]Sheet1!$B:$B)</f>
        <v>95173</v>
      </c>
      <c r="B6" s="2" t="e">
        <f>_xlfn.XLOOKUP(E6,'[2]NOTAS FISCAIS'!$E:$E,'[2]NOTAS FISCAIS'!$E:$E)</f>
        <v>#N/A</v>
      </c>
      <c r="C6" s="2" t="s">
        <v>10</v>
      </c>
      <c r="D6" s="2" t="s">
        <v>22</v>
      </c>
      <c r="E6" s="2">
        <v>95173</v>
      </c>
      <c r="F6" s="2" t="s">
        <v>12</v>
      </c>
      <c r="G6" s="2" t="s">
        <v>16</v>
      </c>
      <c r="H6" s="2" t="s">
        <v>300</v>
      </c>
      <c r="I6" s="2">
        <v>58161</v>
      </c>
      <c r="J6" s="3">
        <v>1820</v>
      </c>
      <c r="K6" s="7">
        <v>46178</v>
      </c>
      <c r="L6" s="2" t="s">
        <v>23</v>
      </c>
    </row>
    <row r="7" spans="1:12" hidden="1" x14ac:dyDescent="0.25">
      <c r="A7" s="2">
        <f>_xlfn.XLOOKUP(E7,[1]Sheet1!$B:$B,[1]Sheet1!$B:$B)</f>
        <v>95162</v>
      </c>
      <c r="B7" s="2" t="e">
        <f>_xlfn.XLOOKUP(E7,'[2]NOTAS FISCAIS'!$E:$E,'[2]NOTAS FISCAIS'!$E:$E)</f>
        <v>#N/A</v>
      </c>
      <c r="C7" s="2" t="s">
        <v>10</v>
      </c>
      <c r="D7" s="2" t="s">
        <v>26</v>
      </c>
      <c r="E7" s="2">
        <v>95162</v>
      </c>
      <c r="F7" s="2" t="s">
        <v>12</v>
      </c>
      <c r="G7" s="2" t="s">
        <v>16</v>
      </c>
      <c r="H7" s="2" t="s">
        <v>304</v>
      </c>
      <c r="I7" s="2">
        <v>248</v>
      </c>
      <c r="J7" s="3">
        <v>56510</v>
      </c>
      <c r="K7" s="7">
        <v>46178</v>
      </c>
      <c r="L7" s="2" t="s">
        <v>27</v>
      </c>
    </row>
    <row r="8" spans="1:12" hidden="1" x14ac:dyDescent="0.25">
      <c r="A8" s="2">
        <f>_xlfn.XLOOKUP(E8,[1]Sheet1!$B:$B,[1]Sheet1!$B:$B)</f>
        <v>95150</v>
      </c>
      <c r="B8" s="2" t="e">
        <f>_xlfn.XLOOKUP(E8,'[2]NOTAS FISCAIS'!$E:$E,'[2]NOTAS FISCAIS'!$E:$E)</f>
        <v>#N/A</v>
      </c>
      <c r="C8" s="2" t="s">
        <v>10</v>
      </c>
      <c r="D8" s="2" t="s">
        <v>29</v>
      </c>
      <c r="E8" s="2">
        <v>95150</v>
      </c>
      <c r="F8" s="2" t="s">
        <v>12</v>
      </c>
      <c r="G8" s="2" t="s">
        <v>16</v>
      </c>
      <c r="H8" s="2" t="s">
        <v>300</v>
      </c>
      <c r="I8" s="2">
        <v>14179</v>
      </c>
      <c r="J8" s="3">
        <v>3815</v>
      </c>
      <c r="K8" s="7">
        <v>46178</v>
      </c>
      <c r="L8" s="2" t="s">
        <v>30</v>
      </c>
    </row>
    <row r="9" spans="1:12" hidden="1" x14ac:dyDescent="0.25">
      <c r="A9" s="2">
        <f>_xlfn.XLOOKUP(E9,[1]Sheet1!$B:$B,[1]Sheet1!$B:$B)</f>
        <v>95103</v>
      </c>
      <c r="B9" s="2" t="e">
        <f>_xlfn.XLOOKUP(E9,'[2]NOTAS FISCAIS'!$E:$E,'[2]NOTAS FISCAIS'!$E:$E)</f>
        <v>#N/A</v>
      </c>
      <c r="C9" s="2" t="s">
        <v>10</v>
      </c>
      <c r="D9" s="2" t="s">
        <v>33</v>
      </c>
      <c r="E9" s="2">
        <v>95103</v>
      </c>
      <c r="F9" s="2" t="s">
        <v>34</v>
      </c>
      <c r="G9" s="2" t="s">
        <v>16</v>
      </c>
      <c r="H9" s="2" t="s">
        <v>305</v>
      </c>
      <c r="I9" s="2">
        <v>15477</v>
      </c>
      <c r="J9" s="3">
        <v>1773.32</v>
      </c>
      <c r="K9" s="7">
        <v>46181</v>
      </c>
      <c r="L9" s="2" t="s">
        <v>35</v>
      </c>
    </row>
    <row r="10" spans="1:12" hidden="1" x14ac:dyDescent="0.25">
      <c r="A10" s="2">
        <f>_xlfn.XLOOKUP(E10,[1]Sheet1!$B:$B,[1]Sheet1!$B:$B)</f>
        <v>95092</v>
      </c>
      <c r="B10" s="2" t="e">
        <f>_xlfn.XLOOKUP(E10,'[2]NOTAS FISCAIS'!$E:$E,'[2]NOTAS FISCAIS'!$E:$E)</f>
        <v>#N/A</v>
      </c>
      <c r="C10" s="2" t="s">
        <v>10</v>
      </c>
      <c r="D10" s="2" t="s">
        <v>37</v>
      </c>
      <c r="E10" s="2">
        <v>95092</v>
      </c>
      <c r="F10" s="2" t="s">
        <v>34</v>
      </c>
      <c r="G10" s="2" t="s">
        <v>16</v>
      </c>
      <c r="H10" s="2" t="s">
        <v>305</v>
      </c>
      <c r="I10" s="2">
        <v>20186</v>
      </c>
      <c r="J10" s="3">
        <v>49953.7</v>
      </c>
      <c r="K10" s="7">
        <v>46188</v>
      </c>
      <c r="L10" s="2" t="s">
        <v>38</v>
      </c>
    </row>
    <row r="11" spans="1:12" hidden="1" x14ac:dyDescent="0.25">
      <c r="A11" s="2">
        <f>_xlfn.XLOOKUP(E11,[1]Sheet1!$B:$B,[1]Sheet1!$B:$B)</f>
        <v>95088</v>
      </c>
      <c r="B11" s="2" t="e">
        <f>_xlfn.XLOOKUP(E11,'[2]NOTAS FISCAIS'!$E:$E,'[2]NOTAS FISCAIS'!$E:$E)</f>
        <v>#N/A</v>
      </c>
      <c r="C11" s="2" t="s">
        <v>10</v>
      </c>
      <c r="D11" s="2" t="s">
        <v>40</v>
      </c>
      <c r="E11" s="2">
        <v>95088</v>
      </c>
      <c r="F11" s="2" t="s">
        <v>34</v>
      </c>
      <c r="G11" s="2" t="s">
        <v>16</v>
      </c>
      <c r="H11" s="2" t="s">
        <v>305</v>
      </c>
      <c r="I11" s="2">
        <v>353055</v>
      </c>
      <c r="J11" s="3">
        <v>51744</v>
      </c>
      <c r="K11" s="7">
        <v>46185</v>
      </c>
      <c r="L11" s="2" t="s">
        <v>21</v>
      </c>
    </row>
    <row r="12" spans="1:12" hidden="1" x14ac:dyDescent="0.25">
      <c r="A12" s="2">
        <f>_xlfn.XLOOKUP(E12,[1]Sheet1!$B:$B,[1]Sheet1!$B:$B)</f>
        <v>95084</v>
      </c>
      <c r="B12" s="2" t="e">
        <f>_xlfn.XLOOKUP(E12,'[2]NOTAS FISCAIS'!$E:$E,'[2]NOTAS FISCAIS'!$E:$E)</f>
        <v>#N/A</v>
      </c>
      <c r="C12" s="2" t="s">
        <v>10</v>
      </c>
      <c r="D12" s="2" t="s">
        <v>42</v>
      </c>
      <c r="E12" s="2">
        <v>95084</v>
      </c>
      <c r="F12" s="2" t="s">
        <v>34</v>
      </c>
      <c r="G12" s="2" t="s">
        <v>16</v>
      </c>
      <c r="H12" s="2" t="s">
        <v>305</v>
      </c>
      <c r="I12" s="2">
        <v>7408</v>
      </c>
      <c r="J12" s="3">
        <v>1537.87</v>
      </c>
      <c r="K12" s="7">
        <v>46185</v>
      </c>
      <c r="L12" s="2" t="s">
        <v>43</v>
      </c>
    </row>
    <row r="13" spans="1:12" hidden="1" x14ac:dyDescent="0.25">
      <c r="A13" s="2">
        <f>_xlfn.XLOOKUP(E13,[1]Sheet1!$B:$B,[1]Sheet1!$B:$B)</f>
        <v>95075</v>
      </c>
      <c r="B13" s="2" t="e">
        <f>_xlfn.XLOOKUP(E13,'[2]NOTAS FISCAIS'!$E:$E,'[2]NOTAS FISCAIS'!$E:$E)</f>
        <v>#N/A</v>
      </c>
      <c r="C13" s="2" t="s">
        <v>10</v>
      </c>
      <c r="D13" s="2" t="s">
        <v>45</v>
      </c>
      <c r="E13" s="2">
        <v>95075</v>
      </c>
      <c r="F13" s="2" t="s">
        <v>34</v>
      </c>
      <c r="G13" s="2" t="s">
        <v>16</v>
      </c>
      <c r="H13" s="2" t="s">
        <v>305</v>
      </c>
      <c r="I13" s="2">
        <v>349095</v>
      </c>
      <c r="J13" s="3">
        <v>1596.62</v>
      </c>
      <c r="K13" s="7">
        <v>46190</v>
      </c>
      <c r="L13" s="2" t="s">
        <v>46</v>
      </c>
    </row>
    <row r="14" spans="1:12" s="5" customFormat="1" hidden="1" x14ac:dyDescent="0.25">
      <c r="A14" s="5">
        <f>_xlfn.XLOOKUP(E14,[1]Sheet1!$B:$B,[1]Sheet1!$B:$B)</f>
        <v>95043</v>
      </c>
      <c r="B14" s="5">
        <f>_xlfn.XLOOKUP(E14,'[2]NOTAS FISCAIS'!$E:$E,'[2]NOTAS FISCAIS'!$E:$E)</f>
        <v>95043</v>
      </c>
      <c r="C14" s="5" t="s">
        <v>32</v>
      </c>
      <c r="D14" s="5" t="s">
        <v>48</v>
      </c>
      <c r="E14" s="5">
        <v>95043</v>
      </c>
      <c r="F14" s="2" t="s">
        <v>34</v>
      </c>
      <c r="G14" s="2" t="s">
        <v>16</v>
      </c>
      <c r="H14" s="2" t="s">
        <v>305</v>
      </c>
      <c r="I14" s="5">
        <v>124738</v>
      </c>
      <c r="J14" s="6">
        <v>29391</v>
      </c>
      <c r="K14" s="8">
        <v>46160</v>
      </c>
      <c r="L14" s="5" t="s">
        <v>49</v>
      </c>
    </row>
    <row r="15" spans="1:12" hidden="1" x14ac:dyDescent="0.25">
      <c r="A15" s="2">
        <f>_xlfn.XLOOKUP(E15,[1]Sheet1!$B:$B,[1]Sheet1!$B:$B)</f>
        <v>94977</v>
      </c>
      <c r="B15" s="2" t="e">
        <f>_xlfn.XLOOKUP(E15,'[2]NOTAS FISCAIS'!$E:$E,'[2]NOTAS FISCAIS'!$E:$E)</f>
        <v>#N/A</v>
      </c>
      <c r="C15" s="2" t="s">
        <v>10</v>
      </c>
      <c r="D15" s="2" t="s">
        <v>53</v>
      </c>
      <c r="E15" s="2">
        <v>94977</v>
      </c>
      <c r="F15" s="2" t="s">
        <v>34</v>
      </c>
      <c r="G15" s="2" t="s">
        <v>16</v>
      </c>
      <c r="H15" s="2" t="s">
        <v>305</v>
      </c>
      <c r="I15" s="2">
        <v>353</v>
      </c>
      <c r="J15" s="3">
        <v>351997.24</v>
      </c>
      <c r="K15" s="7">
        <v>46176</v>
      </c>
      <c r="L15" s="2" t="s">
        <v>54</v>
      </c>
    </row>
    <row r="16" spans="1:12" s="5" customFormat="1" hidden="1" x14ac:dyDescent="0.25">
      <c r="A16" s="5">
        <f>_xlfn.XLOOKUP(E16,[1]Sheet1!$B:$B,[1]Sheet1!$B:$B)</f>
        <v>94639</v>
      </c>
      <c r="B16" s="5">
        <f>_xlfn.XLOOKUP(E16,'[2]NOTAS FISCAIS'!$E:$E,'[2]NOTAS FISCAIS'!$E:$E)</f>
        <v>94639</v>
      </c>
      <c r="C16" s="5" t="s">
        <v>32</v>
      </c>
      <c r="D16" s="5" t="s">
        <v>104</v>
      </c>
      <c r="E16" s="11">
        <v>94639</v>
      </c>
      <c r="F16" s="2" t="s">
        <v>34</v>
      </c>
      <c r="G16" s="2" t="s">
        <v>16</v>
      </c>
      <c r="H16" s="2" t="s">
        <v>307</v>
      </c>
      <c r="I16" s="5">
        <v>45800</v>
      </c>
      <c r="J16" s="6">
        <v>61746.03</v>
      </c>
      <c r="K16" s="8">
        <v>46164</v>
      </c>
      <c r="L16" s="5" t="s">
        <v>105</v>
      </c>
    </row>
    <row r="17" spans="1:12" x14ac:dyDescent="0.25">
      <c r="A17" s="2">
        <f>_xlfn.XLOOKUP(E17,[1]Sheet1!$B:$B,[1]Sheet1!$B:$B)</f>
        <v>94929</v>
      </c>
      <c r="B17" s="2" t="e">
        <f>_xlfn.XLOOKUP(E17,'[2]NOTAS FISCAIS'!$E:$E,'[2]NOTAS FISCAIS'!$E:$E)</f>
        <v>#N/A</v>
      </c>
      <c r="C17" s="2" t="s">
        <v>10</v>
      </c>
      <c r="D17" s="2" t="s">
        <v>58</v>
      </c>
      <c r="E17" s="2">
        <v>94929</v>
      </c>
      <c r="F17" s="2" t="s">
        <v>34</v>
      </c>
      <c r="G17" s="2" t="s">
        <v>16</v>
      </c>
      <c r="H17" s="2" t="s">
        <v>307</v>
      </c>
      <c r="I17" s="2">
        <v>51864</v>
      </c>
      <c r="J17" s="3">
        <v>513756.51</v>
      </c>
      <c r="K17" s="7">
        <v>46171</v>
      </c>
      <c r="L17" s="2" t="s">
        <v>59</v>
      </c>
    </row>
    <row r="18" spans="1:12" x14ac:dyDescent="0.25">
      <c r="A18" s="2">
        <f>_xlfn.XLOOKUP(E18,[1]Sheet1!$B:$B,[1]Sheet1!$B:$B)</f>
        <v>94925</v>
      </c>
      <c r="B18" s="2" t="e">
        <f>_xlfn.XLOOKUP(E18,'[2]NOTAS FISCAIS'!$E:$E,'[2]NOTAS FISCAIS'!$E:$E)</f>
        <v>#N/A</v>
      </c>
      <c r="C18" s="2" t="s">
        <v>10</v>
      </c>
      <c r="D18" s="2" t="s">
        <v>60</v>
      </c>
      <c r="E18" s="2">
        <v>94925</v>
      </c>
      <c r="F18" s="2" t="s">
        <v>34</v>
      </c>
      <c r="G18" s="2" t="s">
        <v>16</v>
      </c>
      <c r="H18" s="2" t="s">
        <v>307</v>
      </c>
      <c r="I18" s="2">
        <v>289864</v>
      </c>
      <c r="J18" s="3">
        <v>350538</v>
      </c>
      <c r="K18" s="7">
        <v>46171</v>
      </c>
      <c r="L18" s="2" t="s">
        <v>61</v>
      </c>
    </row>
    <row r="19" spans="1:12" x14ac:dyDescent="0.25">
      <c r="A19" s="2">
        <f>_xlfn.XLOOKUP(E19,[1]Sheet1!$B:$B,[1]Sheet1!$B:$B)</f>
        <v>94901</v>
      </c>
      <c r="B19" s="2" t="e">
        <f>_xlfn.XLOOKUP(E19,'[2]NOTAS FISCAIS'!$E:$E,'[2]NOTAS FISCAIS'!$E:$E)</f>
        <v>#N/A</v>
      </c>
      <c r="C19" s="2" t="s">
        <v>10</v>
      </c>
      <c r="D19" s="2" t="s">
        <v>62</v>
      </c>
      <c r="E19" s="2">
        <v>94901</v>
      </c>
      <c r="F19" s="2" t="s">
        <v>34</v>
      </c>
      <c r="G19" s="2" t="s">
        <v>16</v>
      </c>
      <c r="H19" s="2" t="s">
        <v>303</v>
      </c>
      <c r="I19" s="2">
        <v>1</v>
      </c>
      <c r="J19" s="3">
        <v>280000</v>
      </c>
      <c r="K19" s="7">
        <v>46171</v>
      </c>
      <c r="L19" s="2" t="s">
        <v>14</v>
      </c>
    </row>
    <row r="20" spans="1:12" hidden="1" x14ac:dyDescent="0.25">
      <c r="A20" s="2">
        <f>_xlfn.XLOOKUP(E20,[1]Sheet1!$B:$B,[1]Sheet1!$B:$B)</f>
        <v>94874</v>
      </c>
      <c r="B20" s="2" t="e">
        <f>_xlfn.XLOOKUP(E20,'[2]NOTAS FISCAIS'!$E:$E,'[2]NOTAS FISCAIS'!$E:$E)</f>
        <v>#N/A</v>
      </c>
      <c r="C20" s="2" t="s">
        <v>10</v>
      </c>
      <c r="D20" s="2" t="s">
        <v>64</v>
      </c>
      <c r="E20" s="2">
        <v>94874</v>
      </c>
      <c r="F20" s="2" t="s">
        <v>34</v>
      </c>
      <c r="G20" s="2" t="s">
        <v>16</v>
      </c>
      <c r="H20" s="2" t="s">
        <v>307</v>
      </c>
      <c r="I20" s="2">
        <v>346</v>
      </c>
      <c r="J20" s="3">
        <v>1000000</v>
      </c>
      <c r="K20" s="7">
        <v>46185</v>
      </c>
      <c r="L20" s="2" t="s">
        <v>65</v>
      </c>
    </row>
    <row r="21" spans="1:12" s="5" customFormat="1" hidden="1" x14ac:dyDescent="0.25">
      <c r="A21" s="5">
        <f>_xlfn.XLOOKUP(E21,[1]Sheet1!$B:$B,[1]Sheet1!$B:$B)</f>
        <v>94050</v>
      </c>
      <c r="B21" s="5">
        <f>_xlfn.XLOOKUP(E21,'[2]NOTAS FISCAIS'!$E:$E,'[2]NOTAS FISCAIS'!$E:$E)</f>
        <v>94050</v>
      </c>
      <c r="C21" s="5" t="s">
        <v>32</v>
      </c>
      <c r="D21" s="5" t="s">
        <v>128</v>
      </c>
      <c r="E21" s="5">
        <v>94050</v>
      </c>
      <c r="F21" s="2" t="s">
        <v>34</v>
      </c>
      <c r="G21" s="2" t="s">
        <v>16</v>
      </c>
      <c r="H21" s="2" t="s">
        <v>300</v>
      </c>
      <c r="I21" s="5">
        <v>69</v>
      </c>
      <c r="J21" s="6">
        <v>128905.33</v>
      </c>
      <c r="K21" s="8">
        <v>46160</v>
      </c>
      <c r="L21" s="5" t="s">
        <v>129</v>
      </c>
    </row>
    <row r="22" spans="1:12" s="5" customFormat="1" hidden="1" x14ac:dyDescent="0.25">
      <c r="A22" s="5">
        <f>_xlfn.XLOOKUP(E22,[1]Sheet1!$B:$B,[1]Sheet1!$B:$B)</f>
        <v>94638</v>
      </c>
      <c r="B22" s="5">
        <f>_xlfn.XLOOKUP(E22,'[2]NOTAS FISCAIS'!$E:$E,'[2]NOTAS FISCAIS'!$E:$E)</f>
        <v>94638</v>
      </c>
      <c r="C22" s="5" t="s">
        <v>32</v>
      </c>
      <c r="D22" s="5" t="s">
        <v>106</v>
      </c>
      <c r="E22" s="11">
        <v>94638</v>
      </c>
      <c r="F22" s="2" t="s">
        <v>34</v>
      </c>
      <c r="G22" s="2" t="s">
        <v>16</v>
      </c>
      <c r="H22" s="2" t="s">
        <v>307</v>
      </c>
      <c r="I22" s="5">
        <v>45799</v>
      </c>
      <c r="J22" s="6">
        <v>145790.66</v>
      </c>
      <c r="K22" s="8">
        <v>46164</v>
      </c>
      <c r="L22" s="5" t="s">
        <v>105</v>
      </c>
    </row>
    <row r="23" spans="1:12" s="5" customFormat="1" hidden="1" x14ac:dyDescent="0.25">
      <c r="A23" s="5">
        <f>_xlfn.XLOOKUP(E23,[1]Sheet1!$B:$B,[1]Sheet1!$B:$B)</f>
        <v>93818</v>
      </c>
      <c r="B23" s="5">
        <f>_xlfn.XLOOKUP(E23,'[2]NOTAS FISCAIS'!$E:$E,'[2]NOTAS FISCAIS'!$E:$E)</f>
        <v>93818</v>
      </c>
      <c r="C23" s="5" t="s">
        <v>32</v>
      </c>
      <c r="D23" s="5" t="s">
        <v>135</v>
      </c>
      <c r="E23" s="11">
        <v>93818</v>
      </c>
      <c r="F23" s="2" t="s">
        <v>34</v>
      </c>
      <c r="G23" s="2" t="s">
        <v>16</v>
      </c>
      <c r="H23" s="2" t="s">
        <v>305</v>
      </c>
      <c r="I23" s="5">
        <v>3212</v>
      </c>
      <c r="J23" s="6">
        <v>3114.11</v>
      </c>
      <c r="K23" s="8">
        <v>46170</v>
      </c>
      <c r="L23" s="5" t="s">
        <v>39</v>
      </c>
    </row>
    <row r="24" spans="1:12" s="5" customFormat="1" hidden="1" x14ac:dyDescent="0.25">
      <c r="A24" s="5">
        <f>_xlfn.XLOOKUP(E24,[1]Sheet1!$B:$B,[1]Sheet1!$B:$B)</f>
        <v>94854</v>
      </c>
      <c r="B24" s="5">
        <f>_xlfn.XLOOKUP(E24,'[2]NOTAS FISCAIS'!$E:$E,'[2]NOTAS FISCAIS'!$E:$E)</f>
        <v>94854</v>
      </c>
      <c r="C24" s="5" t="s">
        <v>32</v>
      </c>
      <c r="D24" s="5" t="s">
        <v>66</v>
      </c>
      <c r="E24" s="11">
        <v>94854</v>
      </c>
      <c r="F24" s="2" t="s">
        <v>34</v>
      </c>
      <c r="G24" s="2" t="s">
        <v>16</v>
      </c>
      <c r="H24" s="2" t="s">
        <v>305</v>
      </c>
      <c r="I24" s="5">
        <v>3358</v>
      </c>
      <c r="J24" s="6">
        <v>1035</v>
      </c>
      <c r="K24" s="8">
        <v>46171</v>
      </c>
      <c r="L24" s="5" t="s">
        <v>67</v>
      </c>
    </row>
    <row r="25" spans="1:12" s="5" customFormat="1" hidden="1" x14ac:dyDescent="0.25">
      <c r="A25" s="5">
        <f>_xlfn.XLOOKUP(E25,[1]Sheet1!$B:$B,[1]Sheet1!$B:$B)</f>
        <v>94058</v>
      </c>
      <c r="B25" s="5">
        <f>_xlfn.XLOOKUP(E25,'[2]NOTAS FISCAIS'!$E:$E,'[2]NOTAS FISCAIS'!$E:$E)</f>
        <v>94058</v>
      </c>
      <c r="C25" s="5" t="s">
        <v>32</v>
      </c>
      <c r="D25" s="5" t="s">
        <v>126</v>
      </c>
      <c r="E25" s="5">
        <v>94058</v>
      </c>
      <c r="F25" s="2" t="s">
        <v>34</v>
      </c>
      <c r="G25" s="2" t="s">
        <v>16</v>
      </c>
      <c r="H25" s="2" t="s">
        <v>306</v>
      </c>
      <c r="I25" s="5">
        <v>208</v>
      </c>
      <c r="J25" s="6">
        <v>10115</v>
      </c>
      <c r="K25" s="8">
        <v>46162</v>
      </c>
      <c r="L25" s="5" t="s">
        <v>25</v>
      </c>
    </row>
    <row r="26" spans="1:12" s="5" customFormat="1" hidden="1" x14ac:dyDescent="0.25">
      <c r="A26" s="5">
        <f>_xlfn.XLOOKUP(E26,[1]Sheet1!$B:$B,[1]Sheet1!$B:$B)</f>
        <v>94054</v>
      </c>
      <c r="B26" s="5">
        <f>_xlfn.XLOOKUP(E26,'[2]NOTAS FISCAIS'!$E:$E,'[2]NOTAS FISCAIS'!$E:$E)</f>
        <v>94054</v>
      </c>
      <c r="C26" s="5" t="s">
        <v>32</v>
      </c>
      <c r="D26" s="5" t="s">
        <v>127</v>
      </c>
      <c r="E26" s="5">
        <v>94054</v>
      </c>
      <c r="F26" s="2" t="s">
        <v>34</v>
      </c>
      <c r="G26" s="2" t="s">
        <v>16</v>
      </c>
      <c r="H26" s="2" t="s">
        <v>300</v>
      </c>
      <c r="I26" s="5">
        <v>1072</v>
      </c>
      <c r="J26" s="6">
        <v>1666.3</v>
      </c>
      <c r="K26" s="8">
        <v>46162</v>
      </c>
      <c r="L26" s="5" t="s">
        <v>25</v>
      </c>
    </row>
    <row r="27" spans="1:12" s="5" customFormat="1" hidden="1" x14ac:dyDescent="0.25">
      <c r="A27" s="5">
        <f>_xlfn.XLOOKUP(E27,[1]Sheet1!$B:$B,[1]Sheet1!$B:$B)</f>
        <v>93832</v>
      </c>
      <c r="B27" s="5">
        <f>_xlfn.XLOOKUP(E27,'[2]NOTAS FISCAIS'!$E:$E,'[2]NOTAS FISCAIS'!$E:$E)</f>
        <v>93832</v>
      </c>
      <c r="C27" s="5" t="s">
        <v>32</v>
      </c>
      <c r="D27" s="5" t="s">
        <v>133</v>
      </c>
      <c r="E27" s="5">
        <v>93832</v>
      </c>
      <c r="F27" s="2" t="s">
        <v>34</v>
      </c>
      <c r="G27" s="2" t="s">
        <v>16</v>
      </c>
      <c r="H27" s="2" t="s">
        <v>305</v>
      </c>
      <c r="I27" s="5">
        <v>64619</v>
      </c>
      <c r="J27" s="6">
        <v>45858.69</v>
      </c>
      <c r="K27" s="8">
        <v>46162</v>
      </c>
      <c r="L27" s="5" t="s">
        <v>132</v>
      </c>
    </row>
    <row r="28" spans="1:12" x14ac:dyDescent="0.25">
      <c r="A28" s="2">
        <f>_xlfn.XLOOKUP(E28,[1]Sheet1!$B:$B,[1]Sheet1!$B:$B)</f>
        <v>94808</v>
      </c>
      <c r="B28" s="2" t="e">
        <f>_xlfn.XLOOKUP(E28,'[2]NOTAS FISCAIS'!$E:$E,'[2]NOTAS FISCAIS'!$E:$E)</f>
        <v>#N/A</v>
      </c>
      <c r="C28" s="2" t="s">
        <v>10</v>
      </c>
      <c r="D28" s="2" t="s">
        <v>79</v>
      </c>
      <c r="E28" s="2">
        <v>94808</v>
      </c>
      <c r="F28" s="2" t="s">
        <v>34</v>
      </c>
      <c r="G28" s="2" t="s">
        <v>16</v>
      </c>
      <c r="H28" s="2" t="s">
        <v>307</v>
      </c>
      <c r="I28" s="2">
        <v>1289501</v>
      </c>
      <c r="J28" s="3">
        <v>1629766.36</v>
      </c>
      <c r="K28" s="7">
        <v>46171</v>
      </c>
      <c r="L28" s="2" t="s">
        <v>80</v>
      </c>
    </row>
    <row r="29" spans="1:12" s="5" customFormat="1" hidden="1" x14ac:dyDescent="0.25">
      <c r="A29" s="5">
        <f>_xlfn.XLOOKUP(E29,[1]Sheet1!$B:$B,[1]Sheet1!$B:$B)</f>
        <v>93830</v>
      </c>
      <c r="B29" s="5">
        <f>_xlfn.XLOOKUP(E29,'[2]NOTAS FISCAIS'!$E:$E,'[2]NOTAS FISCAIS'!$E:$E)</f>
        <v>93830</v>
      </c>
      <c r="C29" s="5" t="s">
        <v>32</v>
      </c>
      <c r="D29" s="5" t="s">
        <v>134</v>
      </c>
      <c r="E29" s="5">
        <v>93830</v>
      </c>
      <c r="F29" s="2" t="s">
        <v>34</v>
      </c>
      <c r="G29" s="2" t="s">
        <v>16</v>
      </c>
      <c r="H29" s="2" t="s">
        <v>305</v>
      </c>
      <c r="I29" s="5">
        <v>64618</v>
      </c>
      <c r="J29" s="6">
        <v>512122.89</v>
      </c>
      <c r="K29" s="8">
        <v>46162</v>
      </c>
      <c r="L29" s="5" t="s">
        <v>132</v>
      </c>
    </row>
    <row r="30" spans="1:12" s="5" customFormat="1" hidden="1" x14ac:dyDescent="0.25">
      <c r="A30" s="5">
        <f>_xlfn.XLOOKUP(E30,[1]Sheet1!$B:$B,[1]Sheet1!$B:$B)</f>
        <v>93311</v>
      </c>
      <c r="B30" s="5">
        <f>_xlfn.XLOOKUP(E30,'[2]NOTAS FISCAIS'!$E:$E,'[2]NOTAS FISCAIS'!$E:$E)</f>
        <v>93311</v>
      </c>
      <c r="C30" s="5" t="s">
        <v>32</v>
      </c>
      <c r="D30" s="5" t="s">
        <v>184</v>
      </c>
      <c r="E30" s="5">
        <v>93311</v>
      </c>
      <c r="F30" s="2" t="s">
        <v>34</v>
      </c>
      <c r="G30" s="2" t="s">
        <v>16</v>
      </c>
      <c r="H30" s="2" t="s">
        <v>307</v>
      </c>
      <c r="I30" s="5">
        <v>29309</v>
      </c>
      <c r="J30" s="6">
        <v>115500</v>
      </c>
      <c r="K30" s="8">
        <v>46162</v>
      </c>
      <c r="L30" s="5" t="s">
        <v>36</v>
      </c>
    </row>
    <row r="31" spans="1:12" s="5" customFormat="1" hidden="1" x14ac:dyDescent="0.25">
      <c r="A31" s="5">
        <f>_xlfn.XLOOKUP(E31,[1]Sheet1!$B:$B,[1]Sheet1!$B:$B)</f>
        <v>91939</v>
      </c>
      <c r="B31" s="5">
        <f>_xlfn.XLOOKUP(E31,'[2]NOTAS FISCAIS'!$E:$E,'[2]NOTAS FISCAIS'!$E:$E)</f>
        <v>91939</v>
      </c>
      <c r="C31" s="5" t="s">
        <v>32</v>
      </c>
      <c r="D31" s="5" t="s">
        <v>266</v>
      </c>
      <c r="E31" s="5">
        <v>91939</v>
      </c>
      <c r="F31" s="2" t="s">
        <v>34</v>
      </c>
      <c r="G31" s="2" t="s">
        <v>16</v>
      </c>
      <c r="H31" s="2" t="s">
        <v>303</v>
      </c>
      <c r="I31" s="5">
        <v>2</v>
      </c>
      <c r="J31" s="6">
        <v>43605</v>
      </c>
      <c r="K31" s="8">
        <v>46162</v>
      </c>
      <c r="L31" s="5" t="s">
        <v>117</v>
      </c>
    </row>
    <row r="32" spans="1:12" hidden="1" x14ac:dyDescent="0.25">
      <c r="A32" s="2">
        <f>_xlfn.XLOOKUP(E32,[1]Sheet1!$B:$B,[1]Sheet1!$B:$B)</f>
        <v>94760</v>
      </c>
      <c r="B32" s="2" t="e">
        <f>_xlfn.XLOOKUP(E32,'[2]NOTAS FISCAIS'!$E:$E,'[2]NOTAS FISCAIS'!$E:$E)</f>
        <v>#N/A</v>
      </c>
      <c r="C32" s="2" t="s">
        <v>32</v>
      </c>
      <c r="D32" s="2" t="s">
        <v>84</v>
      </c>
      <c r="E32" s="2">
        <v>94760</v>
      </c>
      <c r="F32" s="2" t="s">
        <v>34</v>
      </c>
      <c r="G32" s="2" t="s">
        <v>16</v>
      </c>
      <c r="H32" s="2" t="s">
        <v>307</v>
      </c>
      <c r="I32" s="2">
        <v>862605</v>
      </c>
      <c r="J32" s="3">
        <v>80723.62</v>
      </c>
      <c r="K32" s="7">
        <v>46233</v>
      </c>
      <c r="L32" s="2" t="s">
        <v>85</v>
      </c>
    </row>
    <row r="33" spans="1:12" hidden="1" x14ac:dyDescent="0.25">
      <c r="A33" s="2">
        <f>_xlfn.XLOOKUP(E33,[1]Sheet1!$B:$B,[1]Sheet1!$B:$B)</f>
        <v>94760</v>
      </c>
      <c r="B33" s="2" t="e">
        <f>_xlfn.XLOOKUP(E33,'[2]NOTAS FISCAIS'!$E:$E,'[2]NOTAS FISCAIS'!$E:$E)</f>
        <v>#N/A</v>
      </c>
      <c r="C33" s="2" t="s">
        <v>10</v>
      </c>
      <c r="D33" s="2" t="s">
        <v>84</v>
      </c>
      <c r="E33" s="2">
        <v>94760</v>
      </c>
      <c r="F33" s="2" t="s">
        <v>34</v>
      </c>
      <c r="G33" s="2" t="s">
        <v>16</v>
      </c>
      <c r="H33" s="2" t="s">
        <v>307</v>
      </c>
      <c r="I33" s="2">
        <v>862605</v>
      </c>
      <c r="J33" s="3">
        <v>80723.64</v>
      </c>
      <c r="K33" s="7">
        <v>46193</v>
      </c>
      <c r="L33" s="2" t="s">
        <v>85</v>
      </c>
    </row>
    <row r="34" spans="1:12" x14ac:dyDescent="0.25">
      <c r="A34" s="2">
        <f>_xlfn.XLOOKUP(E34,[1]Sheet1!$B:$B,[1]Sheet1!$B:$B)</f>
        <v>94760</v>
      </c>
      <c r="B34" s="2" t="e">
        <f>_xlfn.XLOOKUP(E34,'[2]NOTAS FISCAIS'!$E:$E,'[2]NOTAS FISCAIS'!$E:$E)</f>
        <v>#N/A</v>
      </c>
      <c r="C34" s="2" t="s">
        <v>10</v>
      </c>
      <c r="D34" s="2" t="s">
        <v>88</v>
      </c>
      <c r="E34" s="2">
        <v>94760</v>
      </c>
      <c r="F34" s="2" t="s">
        <v>34</v>
      </c>
      <c r="G34" s="2" t="s">
        <v>16</v>
      </c>
      <c r="H34" s="2" t="s">
        <v>307</v>
      </c>
      <c r="I34" s="2">
        <v>862605</v>
      </c>
      <c r="J34" s="3">
        <v>161447.28</v>
      </c>
      <c r="K34" s="7">
        <v>46162</v>
      </c>
      <c r="L34" s="2" t="s">
        <v>85</v>
      </c>
    </row>
    <row r="35" spans="1:12" s="5" customFormat="1" hidden="1" x14ac:dyDescent="0.25">
      <c r="A35" s="5">
        <f>_xlfn.XLOOKUP(E35,[1]Sheet1!$B:$B,[1]Sheet1!$B:$B)</f>
        <v>93834</v>
      </c>
      <c r="B35" s="5">
        <f>_xlfn.XLOOKUP(E35,'[2]NOTAS FISCAIS'!$E:$E,'[2]NOTAS FISCAIS'!$E:$E)</f>
        <v>93834</v>
      </c>
      <c r="C35" s="5" t="s">
        <v>32</v>
      </c>
      <c r="D35" s="5" t="s">
        <v>131</v>
      </c>
      <c r="E35" s="5">
        <v>93834</v>
      </c>
      <c r="F35" s="2" t="s">
        <v>34</v>
      </c>
      <c r="G35" s="2" t="s">
        <v>16</v>
      </c>
      <c r="H35" s="2" t="s">
        <v>305</v>
      </c>
      <c r="I35" s="5">
        <v>64643</v>
      </c>
      <c r="J35" s="6">
        <v>423560.41</v>
      </c>
      <c r="K35" s="8">
        <v>46163</v>
      </c>
      <c r="L35" s="5" t="s">
        <v>132</v>
      </c>
    </row>
    <row r="36" spans="1:12" hidden="1" x14ac:dyDescent="0.25">
      <c r="A36" s="2">
        <f>_xlfn.XLOOKUP(E36,[1]Sheet1!$B:$B,[1]Sheet1!$B:$B)</f>
        <v>94662</v>
      </c>
      <c r="B36" s="2">
        <f>_xlfn.XLOOKUP(E36,'[2]NOTAS FISCAIS'!$E:$E,'[2]NOTAS FISCAIS'!$E:$E)</f>
        <v>94662</v>
      </c>
      <c r="C36" s="2" t="s">
        <v>32</v>
      </c>
      <c r="D36" s="2" t="s">
        <v>93</v>
      </c>
      <c r="E36" s="2">
        <v>94662</v>
      </c>
      <c r="F36" s="2" t="s">
        <v>34</v>
      </c>
      <c r="G36" s="2" t="s">
        <v>16</v>
      </c>
      <c r="H36" s="2" t="s">
        <v>300</v>
      </c>
      <c r="I36" s="2">
        <v>195</v>
      </c>
      <c r="J36" s="3">
        <v>505834.37</v>
      </c>
      <c r="K36" s="7">
        <v>46154</v>
      </c>
      <c r="L36" s="2" t="s">
        <v>14</v>
      </c>
    </row>
    <row r="37" spans="1:12" s="5" customFormat="1" hidden="1" x14ac:dyDescent="0.25">
      <c r="A37" s="5">
        <f>_xlfn.XLOOKUP(E37,[1]Sheet1!$B:$B,[1]Sheet1!$B:$B)</f>
        <v>94839</v>
      </c>
      <c r="B37" s="5">
        <f>_xlfn.XLOOKUP(E37,'[2]NOTAS FISCAIS'!$E:$E,'[2]NOTAS FISCAIS'!$E:$E)</f>
        <v>94839</v>
      </c>
      <c r="C37" s="5" t="s">
        <v>32</v>
      </c>
      <c r="D37" s="5" t="s">
        <v>73</v>
      </c>
      <c r="E37" s="11">
        <v>94839</v>
      </c>
      <c r="F37" s="2" t="s">
        <v>34</v>
      </c>
      <c r="G37" s="2" t="s">
        <v>16</v>
      </c>
      <c r="H37" s="2" t="s">
        <v>307</v>
      </c>
      <c r="I37" s="5">
        <v>4622</v>
      </c>
      <c r="J37" s="6">
        <v>45500</v>
      </c>
      <c r="K37" s="8">
        <v>46171</v>
      </c>
      <c r="L37" s="5" t="s">
        <v>74</v>
      </c>
    </row>
    <row r="38" spans="1:12" hidden="1" x14ac:dyDescent="0.25">
      <c r="A38" s="2">
        <f>_xlfn.XLOOKUP(E38,[1]Sheet1!$B:$B,[1]Sheet1!$B:$B)</f>
        <v>94660</v>
      </c>
      <c r="B38" s="2">
        <f>_xlfn.XLOOKUP(E38,'[2]NOTAS FISCAIS'!$E:$E,'[2]NOTAS FISCAIS'!$E:$E)</f>
        <v>94660</v>
      </c>
      <c r="C38" s="2" t="s">
        <v>32</v>
      </c>
      <c r="D38" s="2" t="s">
        <v>94</v>
      </c>
      <c r="E38" s="2">
        <v>94660</v>
      </c>
      <c r="F38" s="2" t="s">
        <v>34</v>
      </c>
      <c r="G38" s="2" t="s">
        <v>16</v>
      </c>
      <c r="H38" s="2" t="s">
        <v>300</v>
      </c>
      <c r="I38" s="2">
        <v>194</v>
      </c>
      <c r="J38" s="3">
        <v>196736.36</v>
      </c>
      <c r="K38" s="7">
        <v>46154</v>
      </c>
      <c r="L38" s="2" t="s">
        <v>14</v>
      </c>
    </row>
    <row r="39" spans="1:12" s="5" customFormat="1" hidden="1" x14ac:dyDescent="0.25">
      <c r="A39" s="5">
        <f>_xlfn.XLOOKUP(E39,[1]Sheet1!$B:$B,[1]Sheet1!$B:$B)</f>
        <v>94835</v>
      </c>
      <c r="B39" s="5">
        <f>_xlfn.XLOOKUP(E39,'[2]NOTAS FISCAIS'!$E:$E,'[2]NOTAS FISCAIS'!$E:$E)</f>
        <v>94835</v>
      </c>
      <c r="C39" s="5" t="s">
        <v>32</v>
      </c>
      <c r="D39" s="5" t="s">
        <v>75</v>
      </c>
      <c r="E39" s="11">
        <v>94835</v>
      </c>
      <c r="F39" s="2" t="s">
        <v>34</v>
      </c>
      <c r="G39" s="2" t="s">
        <v>16</v>
      </c>
      <c r="H39" s="2" t="s">
        <v>307</v>
      </c>
      <c r="I39" s="5">
        <v>78076</v>
      </c>
      <c r="J39" s="6">
        <v>78094</v>
      </c>
      <c r="K39" s="8">
        <v>46171</v>
      </c>
      <c r="L39" s="5" t="s">
        <v>76</v>
      </c>
    </row>
    <row r="40" spans="1:12" hidden="1" x14ac:dyDescent="0.25">
      <c r="A40" s="2">
        <f>_xlfn.XLOOKUP(E40,[1]Sheet1!$B:$B,[1]Sheet1!$B:$B)</f>
        <v>94658</v>
      </c>
      <c r="B40" s="2">
        <f>_xlfn.XLOOKUP(E40,'[2]NOTAS FISCAIS'!$E:$E,'[2]NOTAS FISCAIS'!$E:$E)</f>
        <v>94658</v>
      </c>
      <c r="C40" s="2" t="s">
        <v>32</v>
      </c>
      <c r="D40" s="2" t="s">
        <v>98</v>
      </c>
      <c r="E40" s="2">
        <v>94658</v>
      </c>
      <c r="F40" s="2" t="s">
        <v>34</v>
      </c>
      <c r="G40" s="2" t="s">
        <v>16</v>
      </c>
      <c r="H40" s="2" t="s">
        <v>300</v>
      </c>
      <c r="I40" s="2">
        <v>193</v>
      </c>
      <c r="J40" s="3">
        <v>430497.34</v>
      </c>
      <c r="K40" s="7">
        <v>46154</v>
      </c>
      <c r="L40" s="2" t="s">
        <v>14</v>
      </c>
    </row>
    <row r="41" spans="1:12" s="5" customFormat="1" hidden="1" x14ac:dyDescent="0.25">
      <c r="A41" s="5">
        <f>_xlfn.XLOOKUP(E41,[1]Sheet1!$B:$B,[1]Sheet1!$B:$B)</f>
        <v>94818</v>
      </c>
      <c r="B41" s="5">
        <f>_xlfn.XLOOKUP(E41,'[2]NOTAS FISCAIS'!$E:$E,'[2]NOTAS FISCAIS'!$E:$E)</f>
        <v>94818</v>
      </c>
      <c r="C41" s="5" t="s">
        <v>32</v>
      </c>
      <c r="D41" s="5" t="s">
        <v>77</v>
      </c>
      <c r="E41" s="11">
        <v>94818</v>
      </c>
      <c r="F41" s="2" t="s">
        <v>34</v>
      </c>
      <c r="G41" s="2" t="s">
        <v>16</v>
      </c>
      <c r="H41" s="2" t="s">
        <v>307</v>
      </c>
      <c r="I41" s="5">
        <v>5191</v>
      </c>
      <c r="J41" s="6">
        <v>1110992.3400000001</v>
      </c>
      <c r="K41" s="8">
        <v>46171</v>
      </c>
      <c r="L41" s="5" t="s">
        <v>78</v>
      </c>
    </row>
    <row r="42" spans="1:12" s="5" customFormat="1" hidden="1" x14ac:dyDescent="0.25">
      <c r="A42" s="5">
        <f>_xlfn.XLOOKUP(E42,[1]Sheet1!$B:$B,[1]Sheet1!$B:$B)</f>
        <v>94805</v>
      </c>
      <c r="B42" s="5">
        <f>_xlfn.XLOOKUP(E42,'[2]NOTAS FISCAIS'!$E:$E,'[2]NOTAS FISCAIS'!$E:$E)</f>
        <v>94805</v>
      </c>
      <c r="C42" s="5" t="s">
        <v>32</v>
      </c>
      <c r="D42" s="5" t="s">
        <v>81</v>
      </c>
      <c r="E42" s="11">
        <v>94805</v>
      </c>
      <c r="F42" s="2" t="s">
        <v>34</v>
      </c>
      <c r="G42" s="2" t="s">
        <v>16</v>
      </c>
      <c r="H42" s="2" t="s">
        <v>307</v>
      </c>
      <c r="I42" s="5">
        <v>316643</v>
      </c>
      <c r="J42" s="6">
        <v>117747.6</v>
      </c>
      <c r="K42" s="8">
        <v>46171</v>
      </c>
      <c r="L42" s="5" t="s">
        <v>80</v>
      </c>
    </row>
    <row r="43" spans="1:12" s="5" customFormat="1" hidden="1" x14ac:dyDescent="0.25">
      <c r="A43" s="5">
        <f>_xlfn.XLOOKUP(E43,[1]Sheet1!$B:$B,[1]Sheet1!$B:$B)</f>
        <v>94796</v>
      </c>
      <c r="B43" s="5">
        <f>_xlfn.XLOOKUP(E43,'[2]NOTAS FISCAIS'!$E:$E,'[2]NOTAS FISCAIS'!$E:$E)</f>
        <v>94796</v>
      </c>
      <c r="C43" s="5" t="s">
        <v>32</v>
      </c>
      <c r="D43" s="5" t="s">
        <v>82</v>
      </c>
      <c r="E43" s="11">
        <v>94796</v>
      </c>
      <c r="F43" s="2" t="s">
        <v>34</v>
      </c>
      <c r="G43" s="2" t="s">
        <v>16</v>
      </c>
      <c r="H43" s="2" t="s">
        <v>307</v>
      </c>
      <c r="I43" s="5">
        <v>10901</v>
      </c>
      <c r="J43" s="6">
        <v>639200</v>
      </c>
      <c r="K43" s="8">
        <v>46171</v>
      </c>
      <c r="L43" s="5" t="s">
        <v>83</v>
      </c>
    </row>
    <row r="44" spans="1:12" s="5" customFormat="1" hidden="1" x14ac:dyDescent="0.25">
      <c r="A44" s="5">
        <f>_xlfn.XLOOKUP(E44,[1]Sheet1!$B:$B,[1]Sheet1!$B:$B)</f>
        <v>93650</v>
      </c>
      <c r="B44" s="5">
        <f>_xlfn.XLOOKUP(E44,'[2]NOTAS FISCAIS'!$E:$E,'[2]NOTAS FISCAIS'!$E:$E)</f>
        <v>93650</v>
      </c>
      <c r="C44" s="5" t="s">
        <v>32</v>
      </c>
      <c r="D44" s="5" t="s">
        <v>142</v>
      </c>
      <c r="E44" s="5">
        <v>93650</v>
      </c>
      <c r="F44" s="2" t="s">
        <v>34</v>
      </c>
      <c r="G44" s="2" t="s">
        <v>16</v>
      </c>
      <c r="H44" s="2" t="s">
        <v>305</v>
      </c>
      <c r="I44" s="5">
        <v>3170</v>
      </c>
      <c r="J44" s="6">
        <v>390</v>
      </c>
      <c r="K44" s="8">
        <v>46164</v>
      </c>
      <c r="L44" s="5" t="s">
        <v>39</v>
      </c>
    </row>
    <row r="45" spans="1:12" s="5" customFormat="1" hidden="1" x14ac:dyDescent="0.25">
      <c r="A45" s="5">
        <f>_xlfn.XLOOKUP(E45,[1]Sheet1!$B:$B,[1]Sheet1!$B:$B)</f>
        <v>94218</v>
      </c>
      <c r="B45" s="5">
        <f>_xlfn.XLOOKUP(E45,'[2]NOTAS FISCAIS'!$E:$E,'[2]NOTAS FISCAIS'!$E:$E)</f>
        <v>94218</v>
      </c>
      <c r="C45" s="5" t="s">
        <v>32</v>
      </c>
      <c r="D45" s="5" t="s">
        <v>123</v>
      </c>
      <c r="E45" s="5">
        <v>94218</v>
      </c>
      <c r="F45" s="2" t="s">
        <v>34</v>
      </c>
      <c r="G45" s="2" t="s">
        <v>16</v>
      </c>
      <c r="H45" s="2" t="s">
        <v>305</v>
      </c>
      <c r="I45" s="5">
        <v>15572</v>
      </c>
      <c r="J45" s="6">
        <v>11564</v>
      </c>
      <c r="K45" s="8">
        <v>46167</v>
      </c>
      <c r="L45" s="5" t="s">
        <v>96</v>
      </c>
    </row>
    <row r="46" spans="1:12" s="5" customFormat="1" hidden="1" x14ac:dyDescent="0.25">
      <c r="A46" s="5">
        <f>_xlfn.XLOOKUP(E46,[1]Sheet1!$B:$B,[1]Sheet1!$B:$B)</f>
        <v>94120</v>
      </c>
      <c r="B46" s="5">
        <f>_xlfn.XLOOKUP(E46,'[2]NOTAS FISCAIS'!$E:$E,'[2]NOTAS FISCAIS'!$E:$E)</f>
        <v>94120</v>
      </c>
      <c r="C46" s="5" t="s">
        <v>32</v>
      </c>
      <c r="D46" s="5" t="s">
        <v>125</v>
      </c>
      <c r="E46" s="5">
        <v>94120</v>
      </c>
      <c r="F46" s="2" t="s">
        <v>34</v>
      </c>
      <c r="G46" s="2" t="s">
        <v>16</v>
      </c>
      <c r="H46" s="2" t="s">
        <v>305</v>
      </c>
      <c r="I46" s="5">
        <v>58</v>
      </c>
      <c r="J46" s="6">
        <v>11747.5</v>
      </c>
      <c r="K46" s="8">
        <v>46170</v>
      </c>
      <c r="L46" s="5" t="s">
        <v>41</v>
      </c>
    </row>
    <row r="47" spans="1:12" hidden="1" x14ac:dyDescent="0.25">
      <c r="A47" s="2">
        <f>_xlfn.XLOOKUP(E47,[1]Sheet1!$B:$B,[1]Sheet1!$B:$B)</f>
        <v>94609</v>
      </c>
      <c r="B47" s="2" t="e">
        <f>_xlfn.XLOOKUP(E47,'[2]NOTAS FISCAIS'!$E:$E,'[2]NOTAS FISCAIS'!$E:$E)</f>
        <v>#N/A</v>
      </c>
      <c r="C47" s="2" t="s">
        <v>10</v>
      </c>
      <c r="D47" s="2" t="s">
        <v>109</v>
      </c>
      <c r="E47" s="2">
        <v>94609</v>
      </c>
      <c r="F47" s="2" t="s">
        <v>34</v>
      </c>
      <c r="G47" s="2" t="s">
        <v>16</v>
      </c>
      <c r="H47" s="2" t="s">
        <v>305</v>
      </c>
      <c r="I47" s="2">
        <v>348051</v>
      </c>
      <c r="J47" s="3">
        <v>4096.3100000000004</v>
      </c>
      <c r="K47" s="7">
        <v>46176</v>
      </c>
      <c r="L47" s="2" t="s">
        <v>46</v>
      </c>
    </row>
    <row r="48" spans="1:12" hidden="1" x14ac:dyDescent="0.25">
      <c r="A48" s="2">
        <f>_xlfn.XLOOKUP(E48,[1]Sheet1!$B:$B,[1]Sheet1!$B:$B)</f>
        <v>94602</v>
      </c>
      <c r="B48" s="2" t="e">
        <f>_xlfn.XLOOKUP(E48,'[2]NOTAS FISCAIS'!$E:$E,'[2]NOTAS FISCAIS'!$E:$E)</f>
        <v>#N/A</v>
      </c>
      <c r="C48" s="2" t="s">
        <v>10</v>
      </c>
      <c r="D48" s="2" t="s">
        <v>110</v>
      </c>
      <c r="E48" s="2">
        <v>94602</v>
      </c>
      <c r="F48" s="2" t="s">
        <v>34</v>
      </c>
      <c r="G48" s="2" t="s">
        <v>16</v>
      </c>
      <c r="H48" s="2" t="s">
        <v>305</v>
      </c>
      <c r="I48" s="2">
        <v>348354</v>
      </c>
      <c r="J48" s="3">
        <v>4252.4799999999996</v>
      </c>
      <c r="K48" s="7">
        <v>46183</v>
      </c>
      <c r="L48" s="2" t="s">
        <v>46</v>
      </c>
    </row>
    <row r="49" spans="1:12" hidden="1" x14ac:dyDescent="0.25">
      <c r="A49" s="2">
        <f>_xlfn.XLOOKUP(E49,[1]Sheet1!$B:$B,[1]Sheet1!$B:$B)</f>
        <v>94600</v>
      </c>
      <c r="B49" s="2" t="e">
        <f>_xlfn.XLOOKUP(E49,'[2]NOTAS FISCAIS'!$E:$E,'[2]NOTAS FISCAIS'!$E:$E)</f>
        <v>#N/A</v>
      </c>
      <c r="C49" s="2" t="s">
        <v>10</v>
      </c>
      <c r="D49" s="2" t="s">
        <v>111</v>
      </c>
      <c r="E49" s="2">
        <v>94600</v>
      </c>
      <c r="F49" s="2" t="s">
        <v>34</v>
      </c>
      <c r="G49" s="2" t="s">
        <v>16</v>
      </c>
      <c r="H49" s="2" t="s">
        <v>305</v>
      </c>
      <c r="I49" s="2">
        <v>348359</v>
      </c>
      <c r="J49" s="3">
        <v>4320.38</v>
      </c>
      <c r="K49" s="7">
        <v>46183</v>
      </c>
      <c r="L49" s="2" t="s">
        <v>46</v>
      </c>
    </row>
    <row r="50" spans="1:12" hidden="1" x14ac:dyDescent="0.25">
      <c r="A50" s="2">
        <f>_xlfn.XLOOKUP(E50,[1]Sheet1!$B:$B,[1]Sheet1!$B:$B)</f>
        <v>94598</v>
      </c>
      <c r="B50" s="2" t="e">
        <f>_xlfn.XLOOKUP(E50,'[2]NOTAS FISCAIS'!$E:$E,'[2]NOTAS FISCAIS'!$E:$E)</f>
        <v>#N/A</v>
      </c>
      <c r="C50" s="2" t="s">
        <v>10</v>
      </c>
      <c r="D50" s="2" t="s">
        <v>51</v>
      </c>
      <c r="E50" s="2">
        <v>94598</v>
      </c>
      <c r="F50" s="2" t="s">
        <v>34</v>
      </c>
      <c r="G50" s="2" t="s">
        <v>16</v>
      </c>
      <c r="H50" s="2" t="s">
        <v>305</v>
      </c>
      <c r="I50" s="2">
        <v>348387</v>
      </c>
      <c r="J50" s="3">
        <v>4306.8</v>
      </c>
      <c r="K50" s="7">
        <v>46183</v>
      </c>
      <c r="L50" s="2" t="s">
        <v>46</v>
      </c>
    </row>
    <row r="51" spans="1:12" hidden="1" x14ac:dyDescent="0.25">
      <c r="A51" s="2">
        <f>_xlfn.XLOOKUP(E51,[1]Sheet1!$B:$B,[1]Sheet1!$B:$B)</f>
        <v>94597</v>
      </c>
      <c r="B51" s="2" t="e">
        <f>_xlfn.XLOOKUP(E51,'[2]NOTAS FISCAIS'!$E:$E,'[2]NOTAS FISCAIS'!$E:$E)</f>
        <v>#N/A</v>
      </c>
      <c r="C51" s="2" t="s">
        <v>10</v>
      </c>
      <c r="D51" s="2" t="s">
        <v>112</v>
      </c>
      <c r="E51" s="2">
        <v>94597</v>
      </c>
      <c r="F51" s="2" t="s">
        <v>34</v>
      </c>
      <c r="G51" s="2" t="s">
        <v>16</v>
      </c>
      <c r="H51" s="2" t="s">
        <v>305</v>
      </c>
      <c r="I51" s="2">
        <v>348385</v>
      </c>
      <c r="J51" s="3">
        <v>4268</v>
      </c>
      <c r="K51" s="7">
        <v>46183</v>
      </c>
      <c r="L51" s="2" t="s">
        <v>46</v>
      </c>
    </row>
    <row r="52" spans="1:12" hidden="1" x14ac:dyDescent="0.25">
      <c r="A52" s="2">
        <f>_xlfn.XLOOKUP(E52,[1]Sheet1!$B:$B,[1]Sheet1!$B:$B)</f>
        <v>94596</v>
      </c>
      <c r="B52" s="2" t="e">
        <f>_xlfn.XLOOKUP(E52,'[2]NOTAS FISCAIS'!$E:$E,'[2]NOTAS FISCAIS'!$E:$E)</f>
        <v>#N/A</v>
      </c>
      <c r="C52" s="2" t="s">
        <v>10</v>
      </c>
      <c r="D52" s="2" t="s">
        <v>113</v>
      </c>
      <c r="E52" s="2">
        <v>94596</v>
      </c>
      <c r="F52" s="2" t="s">
        <v>34</v>
      </c>
      <c r="G52" s="2" t="s">
        <v>16</v>
      </c>
      <c r="H52" s="2" t="s">
        <v>305</v>
      </c>
      <c r="I52" s="2">
        <v>348086</v>
      </c>
      <c r="J52" s="3">
        <v>4074</v>
      </c>
      <c r="K52" s="7">
        <v>46176</v>
      </c>
      <c r="L52" s="2" t="s">
        <v>46</v>
      </c>
    </row>
    <row r="53" spans="1:12" x14ac:dyDescent="0.25">
      <c r="A53" s="2">
        <f>_xlfn.XLOOKUP(E53,[1]Sheet1!$B:$B,[1]Sheet1!$B:$B)</f>
        <v>94514</v>
      </c>
      <c r="B53" s="2" t="e">
        <f>_xlfn.XLOOKUP(E53,'[2]NOTAS FISCAIS'!$E:$E,'[2]NOTAS FISCAIS'!$E:$E)</f>
        <v>#N/A</v>
      </c>
      <c r="C53" s="2" t="s">
        <v>10</v>
      </c>
      <c r="D53" s="2" t="s">
        <v>116</v>
      </c>
      <c r="E53" s="2">
        <v>94514</v>
      </c>
      <c r="F53" s="2" t="s">
        <v>34</v>
      </c>
      <c r="G53" s="2" t="s">
        <v>16</v>
      </c>
      <c r="H53" s="2" t="s">
        <v>300</v>
      </c>
      <c r="I53" s="2">
        <v>14155</v>
      </c>
      <c r="J53" s="3">
        <v>45325.440000000002</v>
      </c>
      <c r="K53" s="7">
        <v>46167</v>
      </c>
      <c r="L53" s="2" t="s">
        <v>30</v>
      </c>
    </row>
    <row r="54" spans="1:12" hidden="1" x14ac:dyDescent="0.25">
      <c r="A54" s="5">
        <f>_xlfn.XLOOKUP(E54,[1]Sheet1!$B:$B,[1]Sheet1!$B:$B)</f>
        <v>94335</v>
      </c>
      <c r="B54" s="2" t="e">
        <f>_xlfn.XLOOKUP(E54,'[2]NOTAS FISCAIS'!$E:$E,'[2]NOTAS FISCAIS'!$E:$E)</f>
        <v>#N/A</v>
      </c>
      <c r="C54" s="5" t="s">
        <v>32</v>
      </c>
      <c r="D54" s="5" t="s">
        <v>120</v>
      </c>
      <c r="E54" s="5">
        <v>94335</v>
      </c>
      <c r="F54" s="5" t="s">
        <v>34</v>
      </c>
      <c r="G54" s="5" t="s">
        <v>16</v>
      </c>
      <c r="H54" s="5" t="s">
        <v>307</v>
      </c>
      <c r="I54" s="5">
        <v>345943</v>
      </c>
      <c r="J54" s="6">
        <v>93280</v>
      </c>
      <c r="K54" s="8">
        <v>46135</v>
      </c>
      <c r="L54" s="5" t="s">
        <v>46</v>
      </c>
    </row>
    <row r="55" spans="1:12" hidden="1" x14ac:dyDescent="0.25">
      <c r="A55" s="2">
        <f>_xlfn.XLOOKUP(E55,[1]Sheet1!$B:$B,[1]Sheet1!$B:$B)</f>
        <v>94242</v>
      </c>
      <c r="B55" s="2">
        <f>_xlfn.XLOOKUP(E55,'[2]NOTAS FISCAIS'!$E:$E,'[2]NOTAS FISCAIS'!$E:$E)</f>
        <v>94242</v>
      </c>
      <c r="C55" s="2" t="s">
        <v>32</v>
      </c>
      <c r="D55" s="2" t="s">
        <v>121</v>
      </c>
      <c r="E55" s="2">
        <v>94242</v>
      </c>
      <c r="F55" s="2" t="s">
        <v>34</v>
      </c>
      <c r="G55" s="2" t="s">
        <v>16</v>
      </c>
      <c r="H55" s="2" t="s">
        <v>300</v>
      </c>
      <c r="I55" s="2">
        <v>4862</v>
      </c>
      <c r="J55" s="3">
        <v>4300</v>
      </c>
      <c r="K55" s="7">
        <v>46178</v>
      </c>
      <c r="L55" s="2" t="s">
        <v>122</v>
      </c>
    </row>
    <row r="56" spans="1:12" s="5" customFormat="1" hidden="1" x14ac:dyDescent="0.25">
      <c r="A56" s="5">
        <f>_xlfn.XLOOKUP(E56,[1]Sheet1!$B:$B,[1]Sheet1!$B:$B)</f>
        <v>94789</v>
      </c>
      <c r="B56" s="5">
        <f>_xlfn.XLOOKUP(E56,'[2]NOTAS FISCAIS'!$E:$E,'[2]NOTAS FISCAIS'!$E:$E)</f>
        <v>94789</v>
      </c>
      <c r="C56" s="5" t="s">
        <v>32</v>
      </c>
      <c r="D56" s="5" t="s">
        <v>86</v>
      </c>
      <c r="E56" s="11">
        <v>94789</v>
      </c>
      <c r="F56" s="2" t="s">
        <v>34</v>
      </c>
      <c r="G56" s="2" t="s">
        <v>16</v>
      </c>
      <c r="H56" s="2" t="s">
        <v>307</v>
      </c>
      <c r="I56" s="5">
        <v>107133</v>
      </c>
      <c r="J56" s="6">
        <v>214500.24</v>
      </c>
      <c r="K56" s="8">
        <v>46171</v>
      </c>
      <c r="L56" s="5" t="s">
        <v>87</v>
      </c>
    </row>
    <row r="57" spans="1:12" s="5" customFormat="1" hidden="1" x14ac:dyDescent="0.25">
      <c r="A57" s="5">
        <f>_xlfn.XLOOKUP(E57,[1]Sheet1!$B:$B,[1]Sheet1!$B:$B)</f>
        <v>93764</v>
      </c>
      <c r="B57" s="5">
        <f>_xlfn.XLOOKUP(E57,'[2]NOTAS FISCAIS'!$E:$E,'[2]NOTAS FISCAIS'!$E:$E)</f>
        <v>93764</v>
      </c>
      <c r="C57" s="5" t="s">
        <v>32</v>
      </c>
      <c r="D57" s="5" t="s">
        <v>138</v>
      </c>
      <c r="E57" s="5">
        <v>93764</v>
      </c>
      <c r="F57" s="2" t="s">
        <v>34</v>
      </c>
      <c r="G57" s="2" t="s">
        <v>16</v>
      </c>
      <c r="H57" s="2" t="s">
        <v>305</v>
      </c>
      <c r="I57" s="5">
        <v>734</v>
      </c>
      <c r="J57" s="6">
        <v>3150</v>
      </c>
      <c r="K57" s="8">
        <v>46170</v>
      </c>
      <c r="L57" s="5" t="s">
        <v>92</v>
      </c>
    </row>
    <row r="58" spans="1:12" s="5" customFormat="1" hidden="1" x14ac:dyDescent="0.25">
      <c r="A58" s="5">
        <f>_xlfn.XLOOKUP(E58,[1]Sheet1!$B:$B,[1]Sheet1!$B:$B)</f>
        <v>94759</v>
      </c>
      <c r="B58" s="5">
        <f>_xlfn.XLOOKUP(E58,'[2]NOTAS FISCAIS'!$E:$E,'[2]NOTAS FISCAIS'!$E:$E)</f>
        <v>94759</v>
      </c>
      <c r="C58" s="5" t="s">
        <v>32</v>
      </c>
      <c r="D58" s="5" t="s">
        <v>89</v>
      </c>
      <c r="E58" s="11">
        <v>94759</v>
      </c>
      <c r="F58" s="2" t="s">
        <v>34</v>
      </c>
      <c r="G58" s="2" t="s">
        <v>16</v>
      </c>
      <c r="H58" s="2" t="s">
        <v>307</v>
      </c>
      <c r="I58" s="5">
        <v>6952</v>
      </c>
      <c r="J58" s="6">
        <v>30784</v>
      </c>
      <c r="K58" s="8">
        <v>46171</v>
      </c>
      <c r="L58" s="5" t="s">
        <v>90</v>
      </c>
    </row>
    <row r="59" spans="1:12" s="5" customFormat="1" hidden="1" x14ac:dyDescent="0.25">
      <c r="A59" s="5">
        <f>_xlfn.XLOOKUP(E59,[1]Sheet1!$B:$B,[1]Sheet1!$B:$B)</f>
        <v>94644</v>
      </c>
      <c r="B59" s="5">
        <f>_xlfn.XLOOKUP(E59,'[2]NOTAS FISCAIS'!$E:$E,'[2]NOTAS FISCAIS'!$E:$E)</f>
        <v>94644</v>
      </c>
      <c r="C59" s="5" t="s">
        <v>32</v>
      </c>
      <c r="D59" s="5" t="s">
        <v>100</v>
      </c>
      <c r="E59" s="11">
        <v>94644</v>
      </c>
      <c r="F59" s="2" t="s">
        <v>34</v>
      </c>
      <c r="G59" s="2" t="s">
        <v>16</v>
      </c>
      <c r="H59" s="2" t="s">
        <v>307</v>
      </c>
      <c r="I59" s="5">
        <v>628930</v>
      </c>
      <c r="J59" s="6">
        <v>145400.09</v>
      </c>
      <c r="K59" s="8">
        <v>46171</v>
      </c>
      <c r="L59" s="5" t="s">
        <v>101</v>
      </c>
    </row>
    <row r="60" spans="1:12" hidden="1" x14ac:dyDescent="0.25">
      <c r="A60" s="2">
        <f>_xlfn.XLOOKUP(E60,[1]Sheet1!$B:$B,[1]Sheet1!$B:$B)</f>
        <v>94051</v>
      </c>
      <c r="B60" s="2" t="e">
        <f>_xlfn.XLOOKUP(E60,'[2]NOTAS FISCAIS'!$E:$E,'[2]NOTAS FISCAIS'!$E:$E)</f>
        <v>#N/A</v>
      </c>
      <c r="C60" s="2" t="s">
        <v>10</v>
      </c>
      <c r="D60" s="2" t="s">
        <v>128</v>
      </c>
      <c r="E60" s="2">
        <v>94051</v>
      </c>
      <c r="F60" s="2" t="s">
        <v>34</v>
      </c>
      <c r="G60" s="2" t="s">
        <v>16</v>
      </c>
      <c r="H60" s="2" t="s">
        <v>301</v>
      </c>
      <c r="I60" s="2" t="s">
        <v>308</v>
      </c>
      <c r="J60" s="3">
        <v>7161.41</v>
      </c>
      <c r="K60" s="7">
        <v>46568</v>
      </c>
      <c r="L60" s="2" t="s">
        <v>129</v>
      </c>
    </row>
    <row r="61" spans="1:12" s="5" customFormat="1" hidden="1" x14ac:dyDescent="0.25">
      <c r="A61" s="5">
        <f>_xlfn.XLOOKUP(E61,[1]Sheet1!$B:$B,[1]Sheet1!$B:$B)</f>
        <v>94640</v>
      </c>
      <c r="B61" s="5">
        <f>_xlfn.XLOOKUP(E61,'[2]NOTAS FISCAIS'!$E:$E,'[2]NOTAS FISCAIS'!$E:$E)</f>
        <v>94640</v>
      </c>
      <c r="C61" s="5" t="s">
        <v>32</v>
      </c>
      <c r="D61" s="5" t="s">
        <v>102</v>
      </c>
      <c r="E61" s="11">
        <v>94640</v>
      </c>
      <c r="F61" s="2" t="s">
        <v>34</v>
      </c>
      <c r="G61" s="2" t="s">
        <v>16</v>
      </c>
      <c r="H61" s="2" t="s">
        <v>307</v>
      </c>
      <c r="I61" s="5">
        <v>332542</v>
      </c>
      <c r="J61" s="6">
        <v>184216</v>
      </c>
      <c r="K61" s="8">
        <v>46171</v>
      </c>
      <c r="L61" s="5" t="s">
        <v>103</v>
      </c>
    </row>
    <row r="62" spans="1:12" s="5" customFormat="1" hidden="1" x14ac:dyDescent="0.25">
      <c r="A62" s="5">
        <f>_xlfn.XLOOKUP(E62,[1]Sheet1!$B:$B,[1]Sheet1!$B:$B)</f>
        <v>94637</v>
      </c>
      <c r="B62" s="5">
        <f>_xlfn.XLOOKUP(E62,'[2]NOTAS FISCAIS'!$E:$E,'[2]NOTAS FISCAIS'!$E:$E)</f>
        <v>94637</v>
      </c>
      <c r="C62" s="5" t="s">
        <v>32</v>
      </c>
      <c r="D62" s="5" t="s">
        <v>107</v>
      </c>
      <c r="E62" s="11">
        <v>94637</v>
      </c>
      <c r="F62" s="2" t="s">
        <v>34</v>
      </c>
      <c r="G62" s="2" t="s">
        <v>16</v>
      </c>
      <c r="H62" s="2" t="s">
        <v>307</v>
      </c>
      <c r="I62" s="5">
        <v>121771</v>
      </c>
      <c r="J62" s="6">
        <v>1070985.47</v>
      </c>
      <c r="K62" s="8">
        <v>46171</v>
      </c>
      <c r="L62" s="5" t="s">
        <v>108</v>
      </c>
    </row>
    <row r="63" spans="1:12" hidden="1" x14ac:dyDescent="0.25">
      <c r="A63" s="2">
        <f>_xlfn.XLOOKUP(E63,[1]Sheet1!$B:$B,[1]Sheet1!$B:$B)</f>
        <v>94935</v>
      </c>
      <c r="B63" s="2" t="e">
        <f>_xlfn.XLOOKUP(E63,'[2]NOTAS FISCAIS'!$E:$E,'[2]NOTAS FISCAIS'!$E:$E)</f>
        <v>#N/A</v>
      </c>
      <c r="C63" s="2" t="s">
        <v>32</v>
      </c>
      <c r="D63" s="2" t="s">
        <v>56</v>
      </c>
      <c r="E63" s="10">
        <v>94935</v>
      </c>
      <c r="F63" s="2" t="s">
        <v>34</v>
      </c>
      <c r="G63" s="2" t="s">
        <v>16</v>
      </c>
      <c r="H63" s="2" t="s">
        <v>306</v>
      </c>
      <c r="I63" s="2">
        <v>15495</v>
      </c>
      <c r="J63" s="3">
        <v>1650</v>
      </c>
      <c r="K63" s="7">
        <v>46177</v>
      </c>
      <c r="L63" s="2" t="s">
        <v>57</v>
      </c>
    </row>
    <row r="64" spans="1:12" hidden="1" x14ac:dyDescent="0.25">
      <c r="A64" s="2">
        <f>_xlfn.XLOOKUP(E64,[1]Sheet1!$B:$B,[1]Sheet1!$B:$B)</f>
        <v>94659</v>
      </c>
      <c r="B64" s="2" t="e">
        <f>_xlfn.XLOOKUP(E64,'[2]NOTAS FISCAIS'!$E:$E,'[2]NOTAS FISCAIS'!$E:$E)</f>
        <v>#N/A</v>
      </c>
      <c r="C64" s="2" t="s">
        <v>32</v>
      </c>
      <c r="D64" s="2" t="s">
        <v>95</v>
      </c>
      <c r="E64" s="10">
        <v>94659</v>
      </c>
      <c r="F64" s="2" t="s">
        <v>34</v>
      </c>
      <c r="G64" s="2" t="s">
        <v>16</v>
      </c>
      <c r="H64" s="2" t="s">
        <v>305</v>
      </c>
      <c r="I64" s="2">
        <v>15695</v>
      </c>
      <c r="J64" s="3">
        <v>11984</v>
      </c>
      <c r="K64" s="7">
        <v>46178</v>
      </c>
      <c r="L64" s="2" t="s">
        <v>96</v>
      </c>
    </row>
    <row r="65" spans="1:12" hidden="1" x14ac:dyDescent="0.25">
      <c r="A65" s="2">
        <f>_xlfn.XLOOKUP(E65,[1]Sheet1!$B:$B,[1]Sheet1!$B:$B)</f>
        <v>94656</v>
      </c>
      <c r="B65" s="2" t="e">
        <f>_xlfn.XLOOKUP(E65,'[2]NOTAS FISCAIS'!$E:$E,'[2]NOTAS FISCAIS'!$E:$E)</f>
        <v>#N/A</v>
      </c>
      <c r="C65" s="2" t="s">
        <v>32</v>
      </c>
      <c r="D65" s="2" t="s">
        <v>99</v>
      </c>
      <c r="E65" s="10">
        <v>94656</v>
      </c>
      <c r="F65" s="2" t="s">
        <v>34</v>
      </c>
      <c r="G65" s="2" t="s">
        <v>16</v>
      </c>
      <c r="H65" s="2" t="s">
        <v>305</v>
      </c>
      <c r="I65" s="2">
        <v>15692</v>
      </c>
      <c r="J65" s="3">
        <v>11984</v>
      </c>
      <c r="K65" s="7">
        <v>46178</v>
      </c>
      <c r="L65" s="2" t="s">
        <v>96</v>
      </c>
    </row>
    <row r="66" spans="1:12" hidden="1" x14ac:dyDescent="0.25">
      <c r="A66" s="2">
        <f>_xlfn.XLOOKUP(E66,[1]Sheet1!$B:$B,[1]Sheet1!$B:$B)</f>
        <v>93776</v>
      </c>
      <c r="B66" s="2">
        <f>_xlfn.XLOOKUP(E66,'[2]NOTAS FISCAIS'!$E:$E,'[2]NOTAS FISCAIS'!$E:$E)</f>
        <v>93776</v>
      </c>
      <c r="C66" s="2" t="s">
        <v>32</v>
      </c>
      <c r="D66" s="2" t="s">
        <v>137</v>
      </c>
      <c r="E66" s="2">
        <v>93776</v>
      </c>
      <c r="F66" s="2" t="s">
        <v>34</v>
      </c>
      <c r="G66" s="2" t="s">
        <v>16</v>
      </c>
      <c r="H66" s="2" t="s">
        <v>300</v>
      </c>
      <c r="I66" s="2">
        <v>14113</v>
      </c>
      <c r="J66" s="3">
        <v>41123.129999999997</v>
      </c>
      <c r="K66" s="7">
        <v>46147</v>
      </c>
      <c r="L66" s="2" t="s">
        <v>30</v>
      </c>
    </row>
    <row r="67" spans="1:12" hidden="1" x14ac:dyDescent="0.25">
      <c r="A67" s="2">
        <f>_xlfn.XLOOKUP(E67,[1]Sheet1!$B:$B,[1]Sheet1!$B:$B)</f>
        <v>94853</v>
      </c>
      <c r="B67" s="2" t="e">
        <f>_xlfn.XLOOKUP(E67,'[2]NOTAS FISCAIS'!$E:$E,'[2]NOTAS FISCAIS'!$E:$E)</f>
        <v>#N/A</v>
      </c>
      <c r="C67" s="2" t="s">
        <v>32</v>
      </c>
      <c r="D67" s="2" t="s">
        <v>68</v>
      </c>
      <c r="E67" s="10">
        <v>94853</v>
      </c>
      <c r="F67" s="2" t="s">
        <v>34</v>
      </c>
      <c r="G67" s="2" t="s">
        <v>16</v>
      </c>
      <c r="H67" s="2" t="s">
        <v>305</v>
      </c>
      <c r="I67" s="2">
        <v>81198</v>
      </c>
      <c r="J67" s="3">
        <v>759.6</v>
      </c>
      <c r="K67" s="7">
        <v>46180</v>
      </c>
      <c r="L67" s="2" t="s">
        <v>44</v>
      </c>
    </row>
    <row r="68" spans="1:12" hidden="1" x14ac:dyDescent="0.25">
      <c r="A68" s="2">
        <f>_xlfn.XLOOKUP(E68,[1]Sheet1!$B:$B,[1]Sheet1!$B:$B)</f>
        <v>93675</v>
      </c>
      <c r="B68" s="2">
        <f>_xlfn.XLOOKUP(E68,'[2]NOTAS FISCAIS'!$E:$E,'[2]NOTAS FISCAIS'!$E:$E)</f>
        <v>93675</v>
      </c>
      <c r="C68" s="2" t="s">
        <v>32</v>
      </c>
      <c r="D68" s="2" t="s">
        <v>139</v>
      </c>
      <c r="E68" s="2">
        <v>93675</v>
      </c>
      <c r="F68" s="2" t="s">
        <v>34</v>
      </c>
      <c r="G68" s="2" t="s">
        <v>16</v>
      </c>
      <c r="H68" s="2" t="s">
        <v>306</v>
      </c>
      <c r="I68" s="2">
        <v>1489</v>
      </c>
      <c r="J68" s="3">
        <v>36042.800000000003</v>
      </c>
      <c r="K68" s="7">
        <v>46153</v>
      </c>
      <c r="L68" s="2" t="s">
        <v>114</v>
      </c>
    </row>
    <row r="69" spans="1:12" hidden="1" x14ac:dyDescent="0.25">
      <c r="A69" s="2">
        <f>_xlfn.XLOOKUP(E69,[1]Sheet1!$B:$B,[1]Sheet1!$B:$B)</f>
        <v>93654</v>
      </c>
      <c r="B69" s="2">
        <f>_xlfn.XLOOKUP(E69,'[2]NOTAS FISCAIS'!$E:$E,'[2]NOTAS FISCAIS'!$E:$E)</f>
        <v>93654</v>
      </c>
      <c r="C69" s="2" t="s">
        <v>32</v>
      </c>
      <c r="D69" s="2" t="s">
        <v>141</v>
      </c>
      <c r="E69" s="2">
        <v>93654</v>
      </c>
      <c r="F69" s="2" t="s">
        <v>34</v>
      </c>
      <c r="G69" s="2" t="s">
        <v>16</v>
      </c>
      <c r="H69" s="2" t="s">
        <v>305</v>
      </c>
      <c r="I69" s="2">
        <v>79221</v>
      </c>
      <c r="J69" s="3">
        <v>35287.019999999997</v>
      </c>
      <c r="K69" s="7">
        <v>46157</v>
      </c>
      <c r="L69" s="2" t="s">
        <v>44</v>
      </c>
    </row>
    <row r="70" spans="1:12" hidden="1" x14ac:dyDescent="0.25">
      <c r="A70" s="2">
        <f>_xlfn.XLOOKUP(E70,[1]Sheet1!$B:$B,[1]Sheet1!$B:$B)</f>
        <v>94852</v>
      </c>
      <c r="B70" s="2" t="e">
        <f>_xlfn.XLOOKUP(E70,'[2]NOTAS FISCAIS'!$E:$E,'[2]NOTAS FISCAIS'!$E:$E)</f>
        <v>#N/A</v>
      </c>
      <c r="C70" s="2" t="s">
        <v>32</v>
      </c>
      <c r="D70" s="2" t="s">
        <v>69</v>
      </c>
      <c r="E70" s="10">
        <v>94852</v>
      </c>
      <c r="F70" s="2" t="s">
        <v>34</v>
      </c>
      <c r="G70" s="2" t="s">
        <v>16</v>
      </c>
      <c r="H70" s="2" t="s">
        <v>305</v>
      </c>
      <c r="I70" s="2">
        <v>81208</v>
      </c>
      <c r="J70" s="3">
        <v>758.5</v>
      </c>
      <c r="K70" s="7">
        <v>46180</v>
      </c>
      <c r="L70" s="2" t="s">
        <v>44</v>
      </c>
    </row>
    <row r="71" spans="1:12" hidden="1" x14ac:dyDescent="0.25">
      <c r="A71" s="2">
        <f>_xlfn.XLOOKUP(E71,[1]Sheet1!$B:$B,[1]Sheet1!$B:$B)</f>
        <v>93649</v>
      </c>
      <c r="B71" s="2">
        <f>_xlfn.XLOOKUP(E71,'[2]NOTAS FISCAIS'!$E:$E,'[2]NOTAS FISCAIS'!$E:$E)</f>
        <v>93649</v>
      </c>
      <c r="C71" s="2" t="s">
        <v>32</v>
      </c>
      <c r="D71" s="2" t="s">
        <v>143</v>
      </c>
      <c r="E71" s="2">
        <v>93649</v>
      </c>
      <c r="F71" s="2" t="s">
        <v>34</v>
      </c>
      <c r="G71" s="2" t="s">
        <v>16</v>
      </c>
      <c r="H71" s="2" t="s">
        <v>305</v>
      </c>
      <c r="I71" s="2">
        <v>2448</v>
      </c>
      <c r="J71" s="3">
        <v>18150</v>
      </c>
      <c r="K71" s="7">
        <v>46153</v>
      </c>
      <c r="L71" s="2" t="s">
        <v>130</v>
      </c>
    </row>
    <row r="72" spans="1:12" hidden="1" x14ac:dyDescent="0.25">
      <c r="A72" s="2">
        <f>_xlfn.XLOOKUP(E72,[1]Sheet1!$B:$B,[1]Sheet1!$B:$B)</f>
        <v>93647</v>
      </c>
      <c r="B72" s="2">
        <f>_xlfn.XLOOKUP(E72,'[2]NOTAS FISCAIS'!$E:$E,'[2]NOTAS FISCAIS'!$E:$E)</f>
        <v>93647</v>
      </c>
      <c r="C72" s="2" t="s">
        <v>32</v>
      </c>
      <c r="D72" s="2" t="s">
        <v>144</v>
      </c>
      <c r="E72" s="2">
        <v>93647</v>
      </c>
      <c r="F72" s="2" t="s">
        <v>34</v>
      </c>
      <c r="G72" s="2" t="s">
        <v>16</v>
      </c>
      <c r="H72" s="2" t="s">
        <v>305</v>
      </c>
      <c r="I72" s="2">
        <v>1569</v>
      </c>
      <c r="J72" s="3">
        <v>330</v>
      </c>
      <c r="K72" s="7">
        <v>46158</v>
      </c>
      <c r="L72" s="2" t="s">
        <v>55</v>
      </c>
    </row>
    <row r="73" spans="1:12" hidden="1" x14ac:dyDescent="0.25">
      <c r="A73" s="2">
        <f>_xlfn.XLOOKUP(E73,[1]Sheet1!$B:$B,[1]Sheet1!$B:$B)</f>
        <v>93646</v>
      </c>
      <c r="B73" s="2">
        <f>_xlfn.XLOOKUP(E73,'[2]NOTAS FISCAIS'!$E:$E,'[2]NOTAS FISCAIS'!$E:$E)</f>
        <v>93646</v>
      </c>
      <c r="C73" s="2" t="s">
        <v>32</v>
      </c>
      <c r="D73" s="2" t="s">
        <v>145</v>
      </c>
      <c r="E73" s="2">
        <v>93646</v>
      </c>
      <c r="F73" s="2" t="s">
        <v>34</v>
      </c>
      <c r="G73" s="2" t="s">
        <v>16</v>
      </c>
      <c r="H73" s="2" t="s">
        <v>305</v>
      </c>
      <c r="I73" s="2">
        <v>79237</v>
      </c>
      <c r="J73" s="3">
        <v>8493.1200000000008</v>
      </c>
      <c r="K73" s="7">
        <v>46157</v>
      </c>
      <c r="L73" s="2" t="s">
        <v>44</v>
      </c>
    </row>
    <row r="74" spans="1:12" s="5" customFormat="1" hidden="1" x14ac:dyDescent="0.25">
      <c r="A74" s="5">
        <f>_xlfn.XLOOKUP(E74,[1]Sheet1!$B:$B,[1]Sheet1!$B:$B)</f>
        <v>93642</v>
      </c>
      <c r="B74" s="5">
        <v>93642</v>
      </c>
      <c r="C74" s="5" t="s">
        <v>32</v>
      </c>
      <c r="D74" s="5" t="s">
        <v>146</v>
      </c>
      <c r="E74" s="5">
        <v>93642</v>
      </c>
      <c r="F74" s="2" t="s">
        <v>34</v>
      </c>
      <c r="G74" s="2" t="s">
        <v>16</v>
      </c>
      <c r="H74" s="2" t="s">
        <v>303</v>
      </c>
      <c r="I74" s="5">
        <v>2</v>
      </c>
      <c r="J74" s="6">
        <v>3972742.35</v>
      </c>
      <c r="K74" s="8">
        <v>46147</v>
      </c>
      <c r="L74" s="5" t="s">
        <v>147</v>
      </c>
    </row>
    <row r="75" spans="1:12" hidden="1" x14ac:dyDescent="0.25">
      <c r="A75" s="2">
        <f>_xlfn.XLOOKUP(E75,[1]Sheet1!$B:$B,[1]Sheet1!$B:$B)</f>
        <v>93637</v>
      </c>
      <c r="B75" s="2">
        <f>_xlfn.XLOOKUP(E75,'[2]NOTAS FISCAIS'!$E:$E,'[2]NOTAS FISCAIS'!$E:$E)</f>
        <v>93637</v>
      </c>
      <c r="C75" s="2" t="s">
        <v>32</v>
      </c>
      <c r="D75" s="2" t="s">
        <v>148</v>
      </c>
      <c r="E75" s="2">
        <v>93637</v>
      </c>
      <c r="F75" s="2" t="s">
        <v>34</v>
      </c>
      <c r="G75" s="2" t="s">
        <v>16</v>
      </c>
      <c r="H75" s="2" t="s">
        <v>300</v>
      </c>
      <c r="I75" s="2">
        <v>14112</v>
      </c>
      <c r="J75" s="3">
        <v>623.54999999999995</v>
      </c>
      <c r="K75" s="7">
        <v>46147</v>
      </c>
      <c r="L75" s="2" t="s">
        <v>30</v>
      </c>
    </row>
    <row r="76" spans="1:12" hidden="1" x14ac:dyDescent="0.25">
      <c r="A76" s="2">
        <f>_xlfn.XLOOKUP(E76,[1]Sheet1!$B:$B,[1]Sheet1!$B:$B)</f>
        <v>93631</v>
      </c>
      <c r="B76" s="2" t="e">
        <f>_xlfn.XLOOKUP(E76,'[2]NOTAS FISCAIS'!$E:$E,'[2]NOTAS FISCAIS'!$E:$E)</f>
        <v>#N/A</v>
      </c>
      <c r="C76" s="2" t="s">
        <v>32</v>
      </c>
      <c r="D76" s="2" t="s">
        <v>149</v>
      </c>
      <c r="E76" s="2">
        <v>93631</v>
      </c>
      <c r="F76" s="2" t="s">
        <v>34</v>
      </c>
      <c r="G76" s="2" t="s">
        <v>16</v>
      </c>
      <c r="H76" s="2" t="s">
        <v>303</v>
      </c>
      <c r="I76" s="2">
        <v>1</v>
      </c>
      <c r="J76" s="3">
        <v>5000000</v>
      </c>
      <c r="K76" s="7">
        <v>46142</v>
      </c>
      <c r="L76" s="2" t="s">
        <v>147</v>
      </c>
    </row>
    <row r="77" spans="1:12" s="5" customFormat="1" hidden="1" x14ac:dyDescent="0.25">
      <c r="A77" s="5">
        <f>_xlfn.XLOOKUP(E77,[1]Sheet1!$B:$B,[1]Sheet1!$B:$B)</f>
        <v>93557</v>
      </c>
      <c r="B77" s="5">
        <v>93642</v>
      </c>
      <c r="C77" s="5" t="s">
        <v>32</v>
      </c>
      <c r="D77" s="5" t="s">
        <v>150</v>
      </c>
      <c r="E77" s="5">
        <v>93557</v>
      </c>
      <c r="F77" s="2" t="s">
        <v>34</v>
      </c>
      <c r="G77" s="2" t="s">
        <v>16</v>
      </c>
      <c r="H77" s="2" t="s">
        <v>304</v>
      </c>
      <c r="I77" s="5">
        <v>208</v>
      </c>
      <c r="J77" s="6">
        <v>46165.38</v>
      </c>
      <c r="K77" s="8">
        <v>46147</v>
      </c>
      <c r="L77" s="5" t="s">
        <v>27</v>
      </c>
    </row>
    <row r="78" spans="1:12" hidden="1" x14ac:dyDescent="0.25">
      <c r="A78" s="2">
        <f>_xlfn.XLOOKUP(E78,[1]Sheet1!$B:$B,[1]Sheet1!$B:$B)</f>
        <v>93550</v>
      </c>
      <c r="B78" s="2">
        <f>_xlfn.XLOOKUP(E78,'[2]NOTAS FISCAIS'!$E:$E,'[2]NOTAS FISCAIS'!$E:$E)</f>
        <v>93550</v>
      </c>
      <c r="C78" s="2" t="s">
        <v>32</v>
      </c>
      <c r="D78" s="2" t="s">
        <v>151</v>
      </c>
      <c r="E78" s="2">
        <v>93550</v>
      </c>
      <c r="F78" s="2" t="s">
        <v>34</v>
      </c>
      <c r="G78" s="2" t="s">
        <v>16</v>
      </c>
      <c r="H78" s="2" t="s">
        <v>300</v>
      </c>
      <c r="I78" s="2">
        <v>14107</v>
      </c>
      <c r="J78" s="3">
        <v>521.04999999999995</v>
      </c>
      <c r="K78" s="7">
        <v>46147</v>
      </c>
      <c r="L78" s="2" t="s">
        <v>30</v>
      </c>
    </row>
    <row r="79" spans="1:12" hidden="1" x14ac:dyDescent="0.25">
      <c r="A79" s="2">
        <f>_xlfn.XLOOKUP(E79,[1]Sheet1!$B:$B,[1]Sheet1!$B:$B)</f>
        <v>93505</v>
      </c>
      <c r="B79" s="2" t="e">
        <f>_xlfn.XLOOKUP(E79,'[2]NOTAS FISCAIS'!$E:$E,'[2]NOTAS FISCAIS'!$E:$E)</f>
        <v>#N/A</v>
      </c>
      <c r="C79" s="2" t="s">
        <v>10</v>
      </c>
      <c r="D79" s="2" t="s">
        <v>153</v>
      </c>
      <c r="E79" s="2">
        <v>93505</v>
      </c>
      <c r="F79" s="2" t="s">
        <v>34</v>
      </c>
      <c r="G79" s="2" t="s">
        <v>16</v>
      </c>
      <c r="H79" s="2" t="s">
        <v>301</v>
      </c>
      <c r="I79" s="2" t="s">
        <v>309</v>
      </c>
      <c r="J79" s="3">
        <v>1552.1</v>
      </c>
      <c r="K79" s="7">
        <v>46597</v>
      </c>
      <c r="L79" s="2" t="s">
        <v>154</v>
      </c>
    </row>
    <row r="80" spans="1:12" hidden="1" x14ac:dyDescent="0.25">
      <c r="A80" s="2">
        <f>_xlfn.XLOOKUP(E80,[1]Sheet1!$B:$B,[1]Sheet1!$B:$B)</f>
        <v>93504</v>
      </c>
      <c r="B80" s="2">
        <f>_xlfn.XLOOKUP(E80,'[2]NOTAS FISCAIS'!$E:$E,'[2]NOTAS FISCAIS'!$E:$E)</f>
        <v>93504</v>
      </c>
      <c r="C80" s="2" t="s">
        <v>32</v>
      </c>
      <c r="D80" s="2" t="s">
        <v>153</v>
      </c>
      <c r="E80" s="2">
        <v>93504</v>
      </c>
      <c r="F80" s="2" t="s">
        <v>34</v>
      </c>
      <c r="G80" s="2" t="s">
        <v>16</v>
      </c>
      <c r="H80" s="2" t="s">
        <v>300</v>
      </c>
      <c r="I80" s="2">
        <v>63</v>
      </c>
      <c r="J80" s="3">
        <v>26075.32</v>
      </c>
      <c r="K80" s="7">
        <v>46147</v>
      </c>
      <c r="L80" s="2" t="s">
        <v>154</v>
      </c>
    </row>
    <row r="81" spans="1:12" hidden="1" x14ac:dyDescent="0.25">
      <c r="A81" s="2">
        <f>_xlfn.XLOOKUP(E81,[1]Sheet1!$B:$B,[1]Sheet1!$B:$B)</f>
        <v>93475</v>
      </c>
      <c r="B81" s="2">
        <f>_xlfn.XLOOKUP(E81,'[2]NOTAS FISCAIS'!$E:$E,'[2]NOTAS FISCAIS'!$E:$E)</f>
        <v>93475</v>
      </c>
      <c r="C81" s="2" t="s">
        <v>32</v>
      </c>
      <c r="D81" s="2" t="s">
        <v>156</v>
      </c>
      <c r="E81" s="2">
        <v>93475</v>
      </c>
      <c r="F81" s="2" t="s">
        <v>34</v>
      </c>
      <c r="G81" s="2" t="s">
        <v>16</v>
      </c>
      <c r="H81" s="2" t="s">
        <v>307</v>
      </c>
      <c r="I81" s="2">
        <v>51658</v>
      </c>
      <c r="J81" s="3">
        <v>1214293.93</v>
      </c>
      <c r="K81" s="7">
        <v>46147</v>
      </c>
      <c r="L81" s="2" t="s">
        <v>157</v>
      </c>
    </row>
    <row r="82" spans="1:12" hidden="1" x14ac:dyDescent="0.25">
      <c r="A82" s="2">
        <f>_xlfn.XLOOKUP(E82,[1]Sheet1!$B:$B,[1]Sheet1!$B:$B)</f>
        <v>93451</v>
      </c>
      <c r="B82" s="2">
        <f>_xlfn.XLOOKUP(E82,'[2]NOTAS FISCAIS'!$E:$E,'[2]NOTAS FISCAIS'!$E:$E)</f>
        <v>93451</v>
      </c>
      <c r="C82" s="2" t="s">
        <v>32</v>
      </c>
      <c r="D82" s="2" t="s">
        <v>158</v>
      </c>
      <c r="E82" s="2">
        <v>93451</v>
      </c>
      <c r="F82" s="2" t="s">
        <v>34</v>
      </c>
      <c r="G82" s="2" t="s">
        <v>16</v>
      </c>
      <c r="H82" s="2" t="s">
        <v>305</v>
      </c>
      <c r="I82" s="2">
        <v>585</v>
      </c>
      <c r="J82" s="3">
        <v>19607.2</v>
      </c>
      <c r="K82" s="7">
        <v>46147</v>
      </c>
      <c r="L82" s="2" t="s">
        <v>115</v>
      </c>
    </row>
    <row r="83" spans="1:12" hidden="1" x14ac:dyDescent="0.25">
      <c r="A83" s="2">
        <f>_xlfn.XLOOKUP(E83,[1]Sheet1!$B:$B,[1]Sheet1!$B:$B)</f>
        <v>93443</v>
      </c>
      <c r="B83" s="2">
        <f>_xlfn.XLOOKUP(E83,'[2]NOTAS FISCAIS'!$E:$E,'[2]NOTAS FISCAIS'!$E:$E)</f>
        <v>93443</v>
      </c>
      <c r="C83" s="2" t="s">
        <v>32</v>
      </c>
      <c r="D83" s="2" t="s">
        <v>159</v>
      </c>
      <c r="E83" s="2">
        <v>93443</v>
      </c>
      <c r="F83" s="2" t="s">
        <v>34</v>
      </c>
      <c r="G83" s="2" t="s">
        <v>16</v>
      </c>
      <c r="H83" s="2" t="s">
        <v>300</v>
      </c>
      <c r="I83" s="2">
        <v>283</v>
      </c>
      <c r="J83" s="3">
        <v>15650</v>
      </c>
      <c r="K83" s="7">
        <v>46147</v>
      </c>
      <c r="L83" s="2" t="s">
        <v>160</v>
      </c>
    </row>
    <row r="84" spans="1:12" hidden="1" x14ac:dyDescent="0.25">
      <c r="A84" s="2">
        <f>_xlfn.XLOOKUP(E84,[1]Sheet1!$B:$B,[1]Sheet1!$B:$B)</f>
        <v>93433</v>
      </c>
      <c r="B84" s="2">
        <f>_xlfn.XLOOKUP(E84,'[2]NOTAS FISCAIS'!$E:$E,'[2]NOTAS FISCAIS'!$E:$E)</f>
        <v>93433</v>
      </c>
      <c r="C84" s="2" t="s">
        <v>32</v>
      </c>
      <c r="D84" s="2" t="s">
        <v>161</v>
      </c>
      <c r="E84" s="2">
        <v>93433</v>
      </c>
      <c r="F84" s="2" t="s">
        <v>34</v>
      </c>
      <c r="G84" s="2" t="s">
        <v>16</v>
      </c>
      <c r="H84" s="2" t="s">
        <v>300</v>
      </c>
      <c r="I84" s="2">
        <v>10716</v>
      </c>
      <c r="J84" s="3">
        <v>2046.2</v>
      </c>
      <c r="K84" s="7">
        <v>46147</v>
      </c>
      <c r="L84" s="2" t="s">
        <v>52</v>
      </c>
    </row>
    <row r="85" spans="1:12" hidden="1" x14ac:dyDescent="0.25">
      <c r="A85" s="2">
        <f>_xlfn.XLOOKUP(E85,[1]Sheet1!$B:$B,[1]Sheet1!$B:$B)</f>
        <v>93431</v>
      </c>
      <c r="B85" s="2">
        <f>_xlfn.XLOOKUP(E85,'[2]NOTAS FISCAIS'!$E:$E,'[2]NOTAS FISCAIS'!$E:$E)</f>
        <v>93431</v>
      </c>
      <c r="C85" s="2" t="s">
        <v>32</v>
      </c>
      <c r="D85" s="2" t="s">
        <v>162</v>
      </c>
      <c r="E85" s="2">
        <v>93431</v>
      </c>
      <c r="F85" s="2" t="s">
        <v>34</v>
      </c>
      <c r="G85" s="2" t="s">
        <v>16</v>
      </c>
      <c r="H85" s="2" t="s">
        <v>300</v>
      </c>
      <c r="I85" s="2">
        <v>10714</v>
      </c>
      <c r="J85" s="3">
        <v>1576.4</v>
      </c>
      <c r="K85" s="7">
        <v>46147</v>
      </c>
      <c r="L85" s="2" t="s">
        <v>52</v>
      </c>
    </row>
    <row r="86" spans="1:12" hidden="1" x14ac:dyDescent="0.25">
      <c r="A86" s="2">
        <f>_xlfn.XLOOKUP(E86,[1]Sheet1!$B:$B,[1]Sheet1!$B:$B)</f>
        <v>93402</v>
      </c>
      <c r="B86" s="2">
        <f>_xlfn.XLOOKUP(E86,'[2]NOTAS FISCAIS'!$E:$E,'[2]NOTAS FISCAIS'!$E:$E)</f>
        <v>93402</v>
      </c>
      <c r="C86" s="2" t="s">
        <v>32</v>
      </c>
      <c r="D86" s="2" t="s">
        <v>163</v>
      </c>
      <c r="E86" s="2">
        <v>93402</v>
      </c>
      <c r="F86" s="2" t="s">
        <v>34</v>
      </c>
      <c r="G86" s="2" t="s">
        <v>16</v>
      </c>
      <c r="H86" s="2" t="s">
        <v>300</v>
      </c>
      <c r="I86" s="2">
        <v>183</v>
      </c>
      <c r="J86" s="3">
        <v>1939428.65</v>
      </c>
      <c r="K86" s="7">
        <v>46147</v>
      </c>
      <c r="L86" s="2" t="s">
        <v>14</v>
      </c>
    </row>
    <row r="87" spans="1:12" hidden="1" x14ac:dyDescent="0.25">
      <c r="A87" s="2">
        <f>_xlfn.XLOOKUP(E87,[1]Sheet1!$B:$B,[1]Sheet1!$B:$B)</f>
        <v>93400</v>
      </c>
      <c r="B87" s="2">
        <f>_xlfn.XLOOKUP(E87,'[2]NOTAS FISCAIS'!$E:$E,'[2]NOTAS FISCAIS'!$E:$E)</f>
        <v>93400</v>
      </c>
      <c r="C87" s="2" t="s">
        <v>32</v>
      </c>
      <c r="D87" s="2" t="s">
        <v>164</v>
      </c>
      <c r="E87" s="2">
        <v>93400</v>
      </c>
      <c r="F87" s="2" t="s">
        <v>34</v>
      </c>
      <c r="G87" s="2" t="s">
        <v>16</v>
      </c>
      <c r="H87" s="2" t="s">
        <v>300</v>
      </c>
      <c r="I87" s="2">
        <v>184</v>
      </c>
      <c r="J87" s="3">
        <v>642500.97</v>
      </c>
      <c r="K87" s="7">
        <v>46147</v>
      </c>
      <c r="L87" s="2" t="s">
        <v>14</v>
      </c>
    </row>
    <row r="88" spans="1:12" hidden="1" x14ac:dyDescent="0.25">
      <c r="A88" s="2">
        <f>_xlfn.XLOOKUP(E88,[1]Sheet1!$B:$B,[1]Sheet1!$B:$B)</f>
        <v>93397</v>
      </c>
      <c r="B88" s="2" t="e">
        <f>_xlfn.XLOOKUP(E88,'[2]NOTAS FISCAIS'!$E:$E,'[2]NOTAS FISCAIS'!$E:$E)</f>
        <v>#N/A</v>
      </c>
      <c r="C88" s="2" t="s">
        <v>10</v>
      </c>
      <c r="D88" s="2" t="s">
        <v>165</v>
      </c>
      <c r="E88" s="2">
        <v>93397</v>
      </c>
      <c r="F88" s="2" t="s">
        <v>34</v>
      </c>
      <c r="G88" s="2" t="s">
        <v>16</v>
      </c>
      <c r="H88" s="2" t="s">
        <v>301</v>
      </c>
      <c r="I88" s="2" t="s">
        <v>310</v>
      </c>
      <c r="J88" s="3">
        <v>53241.27</v>
      </c>
      <c r="K88" s="7">
        <v>46598</v>
      </c>
      <c r="L88" s="2" t="s">
        <v>14</v>
      </c>
    </row>
    <row r="89" spans="1:12" hidden="1" x14ac:dyDescent="0.25">
      <c r="A89" s="2">
        <f>_xlfn.XLOOKUP(E89,[1]Sheet1!$B:$B,[1]Sheet1!$B:$B)</f>
        <v>93396</v>
      </c>
      <c r="B89" s="2">
        <f>_xlfn.XLOOKUP(E89,'[2]NOTAS FISCAIS'!$E:$E,'[2]NOTAS FISCAIS'!$E:$E)</f>
        <v>93396</v>
      </c>
      <c r="C89" s="2" t="s">
        <v>32</v>
      </c>
      <c r="D89" s="2" t="s">
        <v>165</v>
      </c>
      <c r="E89" s="2">
        <v>93396</v>
      </c>
      <c r="F89" s="2" t="s">
        <v>34</v>
      </c>
      <c r="G89" s="2" t="s">
        <v>16</v>
      </c>
      <c r="H89" s="2" t="s">
        <v>300</v>
      </c>
      <c r="I89" s="2">
        <v>185</v>
      </c>
      <c r="J89" s="3">
        <v>716685.18</v>
      </c>
      <c r="K89" s="7">
        <v>46147</v>
      </c>
      <c r="L89" s="2" t="s">
        <v>14</v>
      </c>
    </row>
    <row r="90" spans="1:12" hidden="1" x14ac:dyDescent="0.25">
      <c r="A90" s="2">
        <f>_xlfn.XLOOKUP(E90,[1]Sheet1!$B:$B,[1]Sheet1!$B:$B)</f>
        <v>93394</v>
      </c>
      <c r="B90" s="2" t="e">
        <f>_xlfn.XLOOKUP(E90,'[2]NOTAS FISCAIS'!$E:$E,'[2]NOTAS FISCAIS'!$E:$E)</f>
        <v>#N/A</v>
      </c>
      <c r="C90" s="2" t="s">
        <v>10</v>
      </c>
      <c r="D90" s="2" t="s">
        <v>166</v>
      </c>
      <c r="E90" s="2">
        <v>93394</v>
      </c>
      <c r="F90" s="2" t="s">
        <v>34</v>
      </c>
      <c r="G90" s="2" t="s">
        <v>13</v>
      </c>
      <c r="H90" s="2" t="s">
        <v>301</v>
      </c>
      <c r="I90" s="2" t="s">
        <v>311</v>
      </c>
      <c r="J90" s="3">
        <v>724.33</v>
      </c>
      <c r="K90" s="7">
        <v>46599</v>
      </c>
      <c r="L90" s="2" t="s">
        <v>14</v>
      </c>
    </row>
    <row r="91" spans="1:12" hidden="1" x14ac:dyDescent="0.25">
      <c r="A91" s="2">
        <f>_xlfn.XLOOKUP(E91,[1]Sheet1!$B:$B,[1]Sheet1!$B:$B)</f>
        <v>93393</v>
      </c>
      <c r="B91" s="2">
        <f>_xlfn.XLOOKUP(E91,'[2]NOTAS FISCAIS'!$E:$E,'[2]NOTAS FISCAIS'!$E:$E)</f>
        <v>93393</v>
      </c>
      <c r="C91" s="2" t="s">
        <v>32</v>
      </c>
      <c r="D91" s="2" t="s">
        <v>166</v>
      </c>
      <c r="E91" s="2">
        <v>93393</v>
      </c>
      <c r="F91" s="2" t="s">
        <v>167</v>
      </c>
      <c r="G91" s="2" t="s">
        <v>13</v>
      </c>
      <c r="H91" s="2" t="s">
        <v>300</v>
      </c>
      <c r="I91" s="2">
        <v>187</v>
      </c>
      <c r="J91" s="3">
        <v>8696.36</v>
      </c>
      <c r="K91" s="7">
        <v>46147</v>
      </c>
      <c r="L91" s="2" t="s">
        <v>14</v>
      </c>
    </row>
    <row r="92" spans="1:12" hidden="1" x14ac:dyDescent="0.25">
      <c r="A92" s="2">
        <f>_xlfn.XLOOKUP(E92,[1]Sheet1!$B:$B,[1]Sheet1!$B:$B)</f>
        <v>93392</v>
      </c>
      <c r="B92" s="2">
        <f>_xlfn.XLOOKUP(E92,'[2]NOTAS FISCAIS'!$E:$E,'[2]NOTAS FISCAIS'!$E:$E)</f>
        <v>93392</v>
      </c>
      <c r="C92" s="2" t="s">
        <v>32</v>
      </c>
      <c r="D92" s="2" t="s">
        <v>168</v>
      </c>
      <c r="E92" s="2">
        <v>93392</v>
      </c>
      <c r="F92" s="2" t="s">
        <v>167</v>
      </c>
      <c r="G92" s="2" t="s">
        <v>13</v>
      </c>
      <c r="H92" s="2" t="s">
        <v>300</v>
      </c>
      <c r="I92" s="2">
        <v>186</v>
      </c>
      <c r="J92" s="3">
        <v>131808.88</v>
      </c>
      <c r="K92" s="7">
        <v>46147</v>
      </c>
      <c r="L92" s="2" t="s">
        <v>14</v>
      </c>
    </row>
    <row r="93" spans="1:12" hidden="1" x14ac:dyDescent="0.25">
      <c r="A93" s="2">
        <f>_xlfn.XLOOKUP(E93,[1]Sheet1!$B:$B,[1]Sheet1!$B:$B)</f>
        <v>93384</v>
      </c>
      <c r="B93" s="2" t="e">
        <f>_xlfn.XLOOKUP(E93,'[2]NOTAS FISCAIS'!$E:$E,'[2]NOTAS FISCAIS'!$E:$E)</f>
        <v>#N/A</v>
      </c>
      <c r="C93" s="2" t="s">
        <v>32</v>
      </c>
      <c r="D93" s="2" t="s">
        <v>169</v>
      </c>
      <c r="E93" s="2">
        <v>93384</v>
      </c>
      <c r="F93" s="2" t="s">
        <v>34</v>
      </c>
      <c r="G93" s="2" t="s">
        <v>16</v>
      </c>
      <c r="H93" s="2" t="s">
        <v>301</v>
      </c>
      <c r="I93" s="2" t="s">
        <v>302</v>
      </c>
      <c r="J93" s="3">
        <v>1648.77</v>
      </c>
      <c r="K93" s="7">
        <v>46477</v>
      </c>
      <c r="L93" s="2" t="s">
        <v>17</v>
      </c>
    </row>
    <row r="94" spans="1:12" hidden="1" x14ac:dyDescent="0.25">
      <c r="A94" s="2">
        <f>_xlfn.XLOOKUP(E94,[1]Sheet1!$B:$B,[1]Sheet1!$B:$B)</f>
        <v>93383</v>
      </c>
      <c r="B94" s="2">
        <f>_xlfn.XLOOKUP(E94,'[2]NOTAS FISCAIS'!$E:$E,'[2]NOTAS FISCAIS'!$E:$E)</f>
        <v>93383</v>
      </c>
      <c r="C94" s="2" t="s">
        <v>32</v>
      </c>
      <c r="D94" s="2" t="s">
        <v>169</v>
      </c>
      <c r="E94" s="2">
        <v>93383</v>
      </c>
      <c r="F94" s="2" t="s">
        <v>34</v>
      </c>
      <c r="G94" s="2" t="s">
        <v>16</v>
      </c>
      <c r="H94" s="2" t="s">
        <v>300</v>
      </c>
      <c r="I94" s="2">
        <v>394</v>
      </c>
      <c r="J94" s="3">
        <v>29677.79</v>
      </c>
      <c r="K94" s="7">
        <v>46147</v>
      </c>
      <c r="L94" s="2" t="s">
        <v>17</v>
      </c>
    </row>
    <row r="95" spans="1:12" hidden="1" x14ac:dyDescent="0.25">
      <c r="A95" s="2">
        <f>_xlfn.XLOOKUP(E95,[1]Sheet1!$B:$B,[1]Sheet1!$B:$B)</f>
        <v>93379</v>
      </c>
      <c r="B95" s="2">
        <f>_xlfn.XLOOKUP(E95,'[2]NOTAS FISCAIS'!$E:$E,'[2]NOTAS FISCAIS'!$E:$E)</f>
        <v>93379</v>
      </c>
      <c r="C95" s="2" t="s">
        <v>32</v>
      </c>
      <c r="D95" s="2" t="s">
        <v>170</v>
      </c>
      <c r="E95" s="2">
        <v>93379</v>
      </c>
      <c r="F95" s="2" t="s">
        <v>34</v>
      </c>
      <c r="G95" s="2" t="s">
        <v>16</v>
      </c>
      <c r="H95" s="2" t="s">
        <v>305</v>
      </c>
      <c r="I95" s="2">
        <v>255235</v>
      </c>
      <c r="J95" s="3">
        <v>1204</v>
      </c>
      <c r="K95" s="7">
        <v>46157</v>
      </c>
      <c r="L95" s="2" t="s">
        <v>47</v>
      </c>
    </row>
    <row r="96" spans="1:12" hidden="1" x14ac:dyDescent="0.25">
      <c r="A96" s="2">
        <f>_xlfn.XLOOKUP(E96,[1]Sheet1!$B:$B,[1]Sheet1!$B:$B)</f>
        <v>93378</v>
      </c>
      <c r="B96" s="2">
        <f>_xlfn.XLOOKUP(E96,'[2]NOTAS FISCAIS'!$E:$E,'[2]NOTAS FISCAIS'!$E:$E)</f>
        <v>93378</v>
      </c>
      <c r="C96" s="2" t="s">
        <v>32</v>
      </c>
      <c r="D96" s="2" t="s">
        <v>171</v>
      </c>
      <c r="E96" s="2">
        <v>93378</v>
      </c>
      <c r="F96" s="2" t="s">
        <v>34</v>
      </c>
      <c r="G96" s="2" t="s">
        <v>16</v>
      </c>
      <c r="H96" s="2" t="s">
        <v>305</v>
      </c>
      <c r="I96" s="2">
        <v>255236</v>
      </c>
      <c r="J96" s="3">
        <v>1316.32</v>
      </c>
      <c r="K96" s="7">
        <v>46157</v>
      </c>
      <c r="L96" s="2" t="s">
        <v>47</v>
      </c>
    </row>
    <row r="97" spans="1:12" hidden="1" x14ac:dyDescent="0.25">
      <c r="A97" s="2">
        <f>_xlfn.XLOOKUP(E97,[1]Sheet1!$B:$B,[1]Sheet1!$B:$B)</f>
        <v>93372</v>
      </c>
      <c r="B97" s="2">
        <f>_xlfn.XLOOKUP(E97,'[2]NOTAS FISCAIS'!$E:$E,'[2]NOTAS FISCAIS'!$E:$E)</f>
        <v>93372</v>
      </c>
      <c r="C97" s="2" t="s">
        <v>32</v>
      </c>
      <c r="D97" s="2" t="s">
        <v>172</v>
      </c>
      <c r="E97" s="2">
        <v>93372</v>
      </c>
      <c r="F97" s="2" t="s">
        <v>34</v>
      </c>
      <c r="G97" s="2" t="s">
        <v>16</v>
      </c>
      <c r="H97" s="2" t="s">
        <v>305</v>
      </c>
      <c r="I97" s="2">
        <v>255237</v>
      </c>
      <c r="J97" s="3">
        <v>46567.45</v>
      </c>
      <c r="K97" s="7">
        <v>46157</v>
      </c>
      <c r="L97" s="2" t="s">
        <v>47</v>
      </c>
    </row>
    <row r="98" spans="1:12" hidden="1" x14ac:dyDescent="0.25">
      <c r="A98" s="2">
        <f>_xlfn.XLOOKUP(E98,[1]Sheet1!$B:$B,[1]Sheet1!$B:$B)</f>
        <v>93371</v>
      </c>
      <c r="B98" s="2">
        <f>_xlfn.XLOOKUP(E98,'[2]NOTAS FISCAIS'!$E:$E,'[2]NOTAS FISCAIS'!$E:$E)</f>
        <v>93371</v>
      </c>
      <c r="C98" s="2" t="s">
        <v>32</v>
      </c>
      <c r="D98" s="2" t="s">
        <v>173</v>
      </c>
      <c r="E98" s="2">
        <v>93371</v>
      </c>
      <c r="F98" s="2" t="s">
        <v>34</v>
      </c>
      <c r="G98" s="2" t="s">
        <v>16</v>
      </c>
      <c r="H98" s="2" t="s">
        <v>305</v>
      </c>
      <c r="I98" s="2">
        <v>255239</v>
      </c>
      <c r="J98" s="3">
        <v>28795.26</v>
      </c>
      <c r="K98" s="7">
        <v>46157</v>
      </c>
      <c r="L98" s="2" t="s">
        <v>47</v>
      </c>
    </row>
    <row r="99" spans="1:12" hidden="1" x14ac:dyDescent="0.25">
      <c r="A99" s="2">
        <f>_xlfn.XLOOKUP(E99,[1]Sheet1!$B:$B,[1]Sheet1!$B:$B)</f>
        <v>93370</v>
      </c>
      <c r="B99" s="2">
        <f>_xlfn.XLOOKUP(E99,'[2]NOTAS FISCAIS'!$E:$E,'[2]NOTAS FISCAIS'!$E:$E)</f>
        <v>93370</v>
      </c>
      <c r="C99" s="2" t="s">
        <v>32</v>
      </c>
      <c r="D99" s="2" t="s">
        <v>174</v>
      </c>
      <c r="E99" s="2">
        <v>93370</v>
      </c>
      <c r="F99" s="2" t="s">
        <v>34</v>
      </c>
      <c r="G99" s="2" t="s">
        <v>16</v>
      </c>
      <c r="H99" s="2" t="s">
        <v>305</v>
      </c>
      <c r="I99" s="2">
        <v>255240</v>
      </c>
      <c r="J99" s="3">
        <v>54938.97</v>
      </c>
      <c r="K99" s="7">
        <v>46157</v>
      </c>
      <c r="L99" s="2" t="s">
        <v>47</v>
      </c>
    </row>
    <row r="100" spans="1:12" hidden="1" x14ac:dyDescent="0.25">
      <c r="A100" s="2">
        <f>_xlfn.XLOOKUP(E100,[1]Sheet1!$B:$B,[1]Sheet1!$B:$B)</f>
        <v>93369</v>
      </c>
      <c r="B100" s="2">
        <f>_xlfn.XLOOKUP(E100,'[2]NOTAS FISCAIS'!$E:$E,'[2]NOTAS FISCAIS'!$E:$E)</f>
        <v>93369</v>
      </c>
      <c r="C100" s="2" t="s">
        <v>32</v>
      </c>
      <c r="D100" s="2" t="s">
        <v>175</v>
      </c>
      <c r="E100" s="2">
        <v>93369</v>
      </c>
      <c r="F100" s="2" t="s">
        <v>34</v>
      </c>
      <c r="G100" s="2" t="s">
        <v>16</v>
      </c>
      <c r="H100" s="2" t="s">
        <v>305</v>
      </c>
      <c r="I100" s="2">
        <v>255241</v>
      </c>
      <c r="J100" s="3">
        <v>51864.54</v>
      </c>
      <c r="K100" s="7">
        <v>46157</v>
      </c>
      <c r="L100" s="2" t="s">
        <v>47</v>
      </c>
    </row>
    <row r="101" spans="1:12" hidden="1" x14ac:dyDescent="0.25">
      <c r="A101" s="2">
        <f>_xlfn.XLOOKUP(E101,[1]Sheet1!$B:$B,[1]Sheet1!$B:$B)</f>
        <v>93368</v>
      </c>
      <c r="B101" s="2">
        <f>_xlfn.XLOOKUP(E101,'[2]NOTAS FISCAIS'!$E:$E,'[2]NOTAS FISCAIS'!$E:$E)</f>
        <v>93368</v>
      </c>
      <c r="C101" s="2" t="s">
        <v>32</v>
      </c>
      <c r="D101" s="2" t="s">
        <v>176</v>
      </c>
      <c r="E101" s="2">
        <v>93368</v>
      </c>
      <c r="F101" s="2" t="s">
        <v>34</v>
      </c>
      <c r="G101" s="2" t="s">
        <v>16</v>
      </c>
      <c r="H101" s="2" t="s">
        <v>305</v>
      </c>
      <c r="I101" s="2">
        <v>255242</v>
      </c>
      <c r="J101" s="3">
        <v>65210.34</v>
      </c>
      <c r="K101" s="7">
        <v>46157</v>
      </c>
      <c r="L101" s="2" t="s">
        <v>47</v>
      </c>
    </row>
    <row r="102" spans="1:12" hidden="1" x14ac:dyDescent="0.25">
      <c r="A102" s="2">
        <f>_xlfn.XLOOKUP(E102,[1]Sheet1!$B:$B,[1]Sheet1!$B:$B)</f>
        <v>93367</v>
      </c>
      <c r="B102" s="2">
        <f>_xlfn.XLOOKUP(E102,'[2]NOTAS FISCAIS'!$E:$E,'[2]NOTAS FISCAIS'!$E:$E)</f>
        <v>93367</v>
      </c>
      <c r="C102" s="2" t="s">
        <v>32</v>
      </c>
      <c r="D102" s="2" t="s">
        <v>177</v>
      </c>
      <c r="E102" s="2">
        <v>93367</v>
      </c>
      <c r="F102" s="2" t="s">
        <v>34</v>
      </c>
      <c r="G102" s="2" t="s">
        <v>16</v>
      </c>
      <c r="H102" s="2" t="s">
        <v>305</v>
      </c>
      <c r="I102" s="2">
        <v>255243</v>
      </c>
      <c r="J102" s="3">
        <v>62560.19</v>
      </c>
      <c r="K102" s="7">
        <v>46157</v>
      </c>
      <c r="L102" s="2" t="s">
        <v>47</v>
      </c>
    </row>
    <row r="103" spans="1:12" hidden="1" x14ac:dyDescent="0.25">
      <c r="A103" s="2">
        <f>_xlfn.XLOOKUP(E103,[1]Sheet1!$B:$B,[1]Sheet1!$B:$B)</f>
        <v>93330</v>
      </c>
      <c r="B103" s="2">
        <f>_xlfn.XLOOKUP(E103,'[2]NOTAS FISCAIS'!$E:$E,'[2]NOTAS FISCAIS'!$E:$E)</f>
        <v>93330</v>
      </c>
      <c r="C103" s="2" t="s">
        <v>32</v>
      </c>
      <c r="D103" s="2" t="s">
        <v>178</v>
      </c>
      <c r="E103" s="2">
        <v>93330</v>
      </c>
      <c r="F103" s="2" t="s">
        <v>34</v>
      </c>
      <c r="G103" s="2" t="s">
        <v>16</v>
      </c>
      <c r="H103" s="2" t="s">
        <v>300</v>
      </c>
      <c r="I103" s="2">
        <v>489</v>
      </c>
      <c r="J103" s="3">
        <v>258087.5</v>
      </c>
      <c r="K103" s="7">
        <v>46147</v>
      </c>
      <c r="L103" s="2" t="s">
        <v>179</v>
      </c>
    </row>
    <row r="104" spans="1:12" hidden="1" x14ac:dyDescent="0.25">
      <c r="A104" s="2">
        <f>_xlfn.XLOOKUP(E104,[1]Sheet1!$B:$B,[1]Sheet1!$B:$B)</f>
        <v>93328</v>
      </c>
      <c r="B104" s="2" t="e">
        <f>_xlfn.XLOOKUP(E104,'[2]NOTAS FISCAIS'!$E:$E,'[2]NOTAS FISCAIS'!$E:$E)</f>
        <v>#N/A</v>
      </c>
      <c r="C104" s="2" t="s">
        <v>32</v>
      </c>
      <c r="D104" s="2" t="s">
        <v>180</v>
      </c>
      <c r="E104" s="2">
        <v>93328</v>
      </c>
      <c r="F104" s="2" t="s">
        <v>34</v>
      </c>
      <c r="G104" s="2" t="s">
        <v>16</v>
      </c>
      <c r="H104" s="2" t="s">
        <v>301</v>
      </c>
      <c r="I104" s="2" t="s">
        <v>312</v>
      </c>
      <c r="J104" s="3">
        <v>711.59</v>
      </c>
      <c r="K104" s="7">
        <v>46554</v>
      </c>
      <c r="L104" s="2" t="s">
        <v>20</v>
      </c>
    </row>
    <row r="105" spans="1:12" hidden="1" x14ac:dyDescent="0.25">
      <c r="A105" s="2">
        <f>_xlfn.XLOOKUP(E105,[1]Sheet1!$B:$B,[1]Sheet1!$B:$B)</f>
        <v>93327</v>
      </c>
      <c r="B105" s="2">
        <f>_xlfn.XLOOKUP(E105,'[2]NOTAS FISCAIS'!$E:$E,'[2]NOTAS FISCAIS'!$E:$E)</f>
        <v>93327</v>
      </c>
      <c r="C105" s="2" t="s">
        <v>32</v>
      </c>
      <c r="D105" s="2" t="s">
        <v>180</v>
      </c>
      <c r="E105" s="2">
        <v>93327</v>
      </c>
      <c r="F105" s="2" t="s">
        <v>34</v>
      </c>
      <c r="G105" s="2" t="s">
        <v>16</v>
      </c>
      <c r="H105" s="2" t="s">
        <v>300</v>
      </c>
      <c r="I105" s="2">
        <v>630</v>
      </c>
      <c r="J105" s="3">
        <v>39137.760000000002</v>
      </c>
      <c r="K105" s="7">
        <v>46147</v>
      </c>
      <c r="L105" s="2" t="s">
        <v>20</v>
      </c>
    </row>
    <row r="106" spans="1:12" hidden="1" x14ac:dyDescent="0.25">
      <c r="A106" s="2">
        <f>_xlfn.XLOOKUP(E106,[1]Sheet1!$B:$B,[1]Sheet1!$B:$B)</f>
        <v>93321</v>
      </c>
      <c r="B106" s="2" t="e">
        <f>_xlfn.XLOOKUP(E106,'[2]NOTAS FISCAIS'!$E:$E,'[2]NOTAS FISCAIS'!$E:$E)</f>
        <v>#N/A</v>
      </c>
      <c r="C106" s="2" t="s">
        <v>10</v>
      </c>
      <c r="D106" s="2" t="s">
        <v>183</v>
      </c>
      <c r="E106" s="2">
        <v>93321</v>
      </c>
      <c r="F106" s="2" t="s">
        <v>34</v>
      </c>
      <c r="G106" s="2" t="s">
        <v>16</v>
      </c>
      <c r="H106" s="2" t="s">
        <v>301</v>
      </c>
      <c r="I106" s="2" t="s">
        <v>313</v>
      </c>
      <c r="J106" s="3">
        <v>53898.59</v>
      </c>
      <c r="K106" s="7">
        <v>46541</v>
      </c>
      <c r="L106" s="2" t="s">
        <v>182</v>
      </c>
    </row>
    <row r="107" spans="1:12" hidden="1" x14ac:dyDescent="0.25">
      <c r="A107" s="2">
        <f>_xlfn.XLOOKUP(E107,[1]Sheet1!$B:$B,[1]Sheet1!$B:$B)</f>
        <v>93320</v>
      </c>
      <c r="B107" s="2">
        <f>_xlfn.XLOOKUP(E107,'[2]NOTAS FISCAIS'!$E:$E,'[2]NOTAS FISCAIS'!$E:$E)</f>
        <v>93320</v>
      </c>
      <c r="C107" s="2" t="s">
        <v>32</v>
      </c>
      <c r="D107" s="2" t="s">
        <v>181</v>
      </c>
      <c r="E107" s="2">
        <v>93320</v>
      </c>
      <c r="F107" s="2" t="s">
        <v>34</v>
      </c>
      <c r="G107" s="2" t="s">
        <v>16</v>
      </c>
      <c r="H107" s="2" t="s">
        <v>300</v>
      </c>
      <c r="I107" s="2">
        <v>1170</v>
      </c>
      <c r="J107" s="3">
        <v>736793.68</v>
      </c>
      <c r="K107" s="7">
        <v>46147</v>
      </c>
      <c r="L107" s="2" t="s">
        <v>182</v>
      </c>
    </row>
    <row r="108" spans="1:12" hidden="1" x14ac:dyDescent="0.25">
      <c r="A108" s="2">
        <f>_xlfn.XLOOKUP(E108,[1]Sheet1!$B:$B,[1]Sheet1!$B:$B)</f>
        <v>94847</v>
      </c>
      <c r="B108" s="2" t="e">
        <f>_xlfn.XLOOKUP(E108,'[2]NOTAS FISCAIS'!$E:$E,'[2]NOTAS FISCAIS'!$E:$E)</f>
        <v>#N/A</v>
      </c>
      <c r="C108" s="2" t="s">
        <v>32</v>
      </c>
      <c r="D108" s="2" t="s">
        <v>70</v>
      </c>
      <c r="E108" s="10">
        <v>94847</v>
      </c>
      <c r="F108" s="2" t="s">
        <v>34</v>
      </c>
      <c r="G108" s="2" t="s">
        <v>16</v>
      </c>
      <c r="H108" s="2" t="s">
        <v>305</v>
      </c>
      <c r="I108" s="2">
        <v>290331</v>
      </c>
      <c r="J108" s="3">
        <v>308.87</v>
      </c>
      <c r="K108" s="7">
        <v>46183</v>
      </c>
      <c r="L108" s="2" t="s">
        <v>71</v>
      </c>
    </row>
    <row r="109" spans="1:12" hidden="1" x14ac:dyDescent="0.25">
      <c r="A109" s="2">
        <f>_xlfn.XLOOKUP(E109,[1]Sheet1!$B:$B,[1]Sheet1!$B:$B)</f>
        <v>93300</v>
      </c>
      <c r="B109" s="2">
        <f>_xlfn.XLOOKUP(E109,'[2]NOTAS FISCAIS'!$E:$E,'[2]NOTAS FISCAIS'!$E:$E)</f>
        <v>93300</v>
      </c>
      <c r="C109" s="2" t="s">
        <v>32</v>
      </c>
      <c r="D109" s="2" t="s">
        <v>185</v>
      </c>
      <c r="E109" s="2">
        <v>93300</v>
      </c>
      <c r="F109" s="2" t="s">
        <v>34</v>
      </c>
      <c r="G109" s="2" t="s">
        <v>16</v>
      </c>
      <c r="H109" s="2" t="s">
        <v>300</v>
      </c>
      <c r="I109" s="2">
        <v>1343</v>
      </c>
      <c r="J109" s="3">
        <v>33222.9</v>
      </c>
      <c r="K109" s="7">
        <v>46147</v>
      </c>
      <c r="L109" s="2" t="s">
        <v>186</v>
      </c>
    </row>
    <row r="110" spans="1:12" hidden="1" x14ac:dyDescent="0.25">
      <c r="A110" s="2">
        <f>_xlfn.XLOOKUP(E110,[1]Sheet1!$B:$B,[1]Sheet1!$B:$B)</f>
        <v>93299</v>
      </c>
      <c r="B110" s="2" t="e">
        <f>_xlfn.XLOOKUP(E110,'[2]NOTAS FISCAIS'!$E:$E,'[2]NOTAS FISCAIS'!$E:$E)</f>
        <v>#N/A</v>
      </c>
      <c r="C110" s="2" t="s">
        <v>32</v>
      </c>
      <c r="D110" s="2" t="s">
        <v>187</v>
      </c>
      <c r="E110" s="2">
        <v>93299</v>
      </c>
      <c r="F110" s="2" t="s">
        <v>34</v>
      </c>
      <c r="G110" s="2" t="s">
        <v>16</v>
      </c>
      <c r="H110" s="2" t="s">
        <v>301</v>
      </c>
      <c r="I110" s="2" t="s">
        <v>314</v>
      </c>
      <c r="J110" s="3">
        <v>1168.6600000000001</v>
      </c>
      <c r="K110" s="7">
        <v>46477</v>
      </c>
      <c r="L110" s="2" t="s">
        <v>119</v>
      </c>
    </row>
    <row r="111" spans="1:12" hidden="1" x14ac:dyDescent="0.25">
      <c r="A111" s="2">
        <f>_xlfn.XLOOKUP(E111,[1]Sheet1!$B:$B,[1]Sheet1!$B:$B)</f>
        <v>93298</v>
      </c>
      <c r="B111" s="2">
        <f>_xlfn.XLOOKUP(E111,'[2]NOTAS FISCAIS'!$E:$E,'[2]NOTAS FISCAIS'!$E:$E)</f>
        <v>93298</v>
      </c>
      <c r="C111" s="2" t="s">
        <v>32</v>
      </c>
      <c r="D111" s="2" t="s">
        <v>187</v>
      </c>
      <c r="E111" s="2">
        <v>93298</v>
      </c>
      <c r="F111" s="2" t="s">
        <v>34</v>
      </c>
      <c r="G111" s="2" t="s">
        <v>16</v>
      </c>
      <c r="H111" s="2" t="s">
        <v>300</v>
      </c>
      <c r="I111" s="2">
        <v>762</v>
      </c>
      <c r="J111" s="3">
        <v>22204.54</v>
      </c>
      <c r="K111" s="7">
        <v>46147</v>
      </c>
      <c r="L111" s="2" t="s">
        <v>119</v>
      </c>
    </row>
    <row r="112" spans="1:12" hidden="1" x14ac:dyDescent="0.25">
      <c r="A112" s="2">
        <f>_xlfn.XLOOKUP(E112,[1]Sheet1!$B:$B,[1]Sheet1!$B:$B)</f>
        <v>93295</v>
      </c>
      <c r="B112" s="2">
        <f>_xlfn.XLOOKUP(E112,'[2]NOTAS FISCAIS'!$E:$E,'[2]NOTAS FISCAIS'!$E:$E)</f>
        <v>93295</v>
      </c>
      <c r="C112" s="2" t="s">
        <v>32</v>
      </c>
      <c r="D112" s="2" t="s">
        <v>188</v>
      </c>
      <c r="E112" s="2">
        <v>93295</v>
      </c>
      <c r="F112" s="2" t="s">
        <v>34</v>
      </c>
      <c r="G112" s="2" t="s">
        <v>16</v>
      </c>
      <c r="H112" s="2" t="s">
        <v>305</v>
      </c>
      <c r="I112" s="2">
        <v>5079</v>
      </c>
      <c r="J112" s="3">
        <v>980</v>
      </c>
      <c r="K112" s="7">
        <v>46156</v>
      </c>
      <c r="L112" s="2" t="s">
        <v>63</v>
      </c>
    </row>
    <row r="113" spans="1:12" hidden="1" x14ac:dyDescent="0.25">
      <c r="A113" s="2">
        <f>_xlfn.XLOOKUP(E113,[1]Sheet1!$B:$B,[1]Sheet1!$B:$B)</f>
        <v>93294</v>
      </c>
      <c r="B113" s="2">
        <f>_xlfn.XLOOKUP(E113,'[2]NOTAS FISCAIS'!$E:$E,'[2]NOTAS FISCAIS'!$E:$E)</f>
        <v>93294</v>
      </c>
      <c r="C113" s="2" t="s">
        <v>32</v>
      </c>
      <c r="D113" s="2" t="s">
        <v>189</v>
      </c>
      <c r="E113" s="2">
        <v>93294</v>
      </c>
      <c r="F113" s="2" t="s">
        <v>34</v>
      </c>
      <c r="G113" s="2" t="s">
        <v>16</v>
      </c>
      <c r="H113" s="2" t="s">
        <v>305</v>
      </c>
      <c r="I113" s="2">
        <v>113819</v>
      </c>
      <c r="J113" s="3">
        <v>2813.3</v>
      </c>
      <c r="K113" s="7">
        <v>46155</v>
      </c>
      <c r="L113" s="2" t="s">
        <v>50</v>
      </c>
    </row>
    <row r="114" spans="1:12" hidden="1" x14ac:dyDescent="0.25">
      <c r="A114" s="2">
        <f>_xlfn.XLOOKUP(E114,[1]Sheet1!$B:$B,[1]Sheet1!$B:$B)</f>
        <v>93248</v>
      </c>
      <c r="B114" s="2">
        <f>_xlfn.XLOOKUP(E114,'[2]NOTAS FISCAIS'!$E:$E,'[2]NOTAS FISCAIS'!$E:$E)</f>
        <v>93248</v>
      </c>
      <c r="C114" s="2" t="s">
        <v>32</v>
      </c>
      <c r="D114" s="2" t="s">
        <v>190</v>
      </c>
      <c r="E114" s="2">
        <v>93248</v>
      </c>
      <c r="F114" s="2" t="s">
        <v>34</v>
      </c>
      <c r="G114" s="2" t="s">
        <v>16</v>
      </c>
      <c r="H114" s="2" t="s">
        <v>300</v>
      </c>
      <c r="I114" s="2">
        <v>1354</v>
      </c>
      <c r="J114" s="3">
        <v>4536.68</v>
      </c>
      <c r="K114" s="7">
        <v>46147</v>
      </c>
      <c r="L114" s="2" t="s">
        <v>136</v>
      </c>
    </row>
    <row r="115" spans="1:12" hidden="1" x14ac:dyDescent="0.25">
      <c r="A115" s="2">
        <f>_xlfn.XLOOKUP(E115,[1]Sheet1!$B:$B,[1]Sheet1!$B:$B)</f>
        <v>93240</v>
      </c>
      <c r="B115" s="2" t="e">
        <f>_xlfn.XLOOKUP(E115,'[2]NOTAS FISCAIS'!$E:$E,'[2]NOTAS FISCAIS'!$E:$E)</f>
        <v>#N/A</v>
      </c>
      <c r="C115" s="2" t="s">
        <v>32</v>
      </c>
      <c r="D115" s="2" t="s">
        <v>191</v>
      </c>
      <c r="E115" s="2">
        <v>93240</v>
      </c>
      <c r="F115" s="2" t="s">
        <v>34</v>
      </c>
      <c r="G115" s="2" t="s">
        <v>16</v>
      </c>
      <c r="H115" s="2" t="s">
        <v>305</v>
      </c>
      <c r="I115" s="2">
        <v>285034</v>
      </c>
      <c r="J115" s="3">
        <v>6586.1</v>
      </c>
      <c r="K115" s="7">
        <v>46134</v>
      </c>
      <c r="L115" s="2" t="s">
        <v>71</v>
      </c>
    </row>
    <row r="116" spans="1:12" hidden="1" x14ac:dyDescent="0.25">
      <c r="A116" s="2">
        <f>_xlfn.XLOOKUP(E116,[1]Sheet1!$B:$B,[1]Sheet1!$B:$B)</f>
        <v>93225</v>
      </c>
      <c r="B116" s="2">
        <f>_xlfn.XLOOKUP(E116,'[2]NOTAS FISCAIS'!$E:$E,'[2]NOTAS FISCAIS'!$E:$E)</f>
        <v>93225</v>
      </c>
      <c r="C116" s="2" t="s">
        <v>32</v>
      </c>
      <c r="D116" s="2" t="s">
        <v>192</v>
      </c>
      <c r="E116" s="2">
        <v>93225</v>
      </c>
      <c r="F116" s="2" t="s">
        <v>34</v>
      </c>
      <c r="G116" s="2" t="s">
        <v>16</v>
      </c>
      <c r="H116" s="2" t="s">
        <v>306</v>
      </c>
      <c r="I116" s="2">
        <v>106121</v>
      </c>
      <c r="J116" s="3">
        <v>1500</v>
      </c>
      <c r="K116" s="7">
        <v>46148</v>
      </c>
      <c r="L116" s="2" t="s">
        <v>91</v>
      </c>
    </row>
    <row r="117" spans="1:12" hidden="1" x14ac:dyDescent="0.25">
      <c r="A117" s="2">
        <f>_xlfn.XLOOKUP(E117,[1]Sheet1!$B:$B,[1]Sheet1!$B:$B)</f>
        <v>93205</v>
      </c>
      <c r="B117" s="2" t="e">
        <f>_xlfn.XLOOKUP(E117,'[2]NOTAS FISCAIS'!$E:$E,'[2]NOTAS FISCAIS'!$E:$E)</f>
        <v>#N/A</v>
      </c>
      <c r="C117" s="2" t="s">
        <v>10</v>
      </c>
      <c r="D117" s="2" t="s">
        <v>193</v>
      </c>
      <c r="E117" s="2">
        <v>93205</v>
      </c>
      <c r="F117" s="2" t="s">
        <v>34</v>
      </c>
      <c r="G117" s="2" t="s">
        <v>16</v>
      </c>
      <c r="H117" s="2" t="s">
        <v>301</v>
      </c>
      <c r="I117" s="2" t="s">
        <v>309</v>
      </c>
      <c r="J117" s="3">
        <v>1552.1</v>
      </c>
      <c r="K117" s="7">
        <v>46597</v>
      </c>
      <c r="L117" s="2" t="s">
        <v>154</v>
      </c>
    </row>
    <row r="118" spans="1:12" hidden="1" x14ac:dyDescent="0.25">
      <c r="A118" s="2">
        <f>_xlfn.XLOOKUP(E118,[1]Sheet1!$B:$B,[1]Sheet1!$B:$B)</f>
        <v>93204</v>
      </c>
      <c r="B118" s="2">
        <f>_xlfn.XLOOKUP(E118,'[2]NOTAS FISCAIS'!$E:$E,'[2]NOTAS FISCAIS'!$E:$E)</f>
        <v>93204</v>
      </c>
      <c r="C118" s="2" t="s">
        <v>32</v>
      </c>
      <c r="D118" s="2" t="s">
        <v>193</v>
      </c>
      <c r="E118" s="2">
        <v>93204</v>
      </c>
      <c r="F118" s="2" t="s">
        <v>34</v>
      </c>
      <c r="G118" s="2" t="s">
        <v>16</v>
      </c>
      <c r="H118" s="2" t="s">
        <v>300</v>
      </c>
      <c r="I118" s="2">
        <v>67</v>
      </c>
      <c r="J118" s="3">
        <v>24551.16</v>
      </c>
      <c r="K118" s="7">
        <v>46147</v>
      </c>
      <c r="L118" s="2" t="s">
        <v>154</v>
      </c>
    </row>
    <row r="119" spans="1:12" hidden="1" x14ac:dyDescent="0.25">
      <c r="A119" s="2">
        <f>_xlfn.XLOOKUP(E119,[1]Sheet1!$B:$B,[1]Sheet1!$B:$B)</f>
        <v>93188</v>
      </c>
      <c r="B119" s="2">
        <f>_xlfn.XLOOKUP(E119,'[2]NOTAS FISCAIS'!$E:$E,'[2]NOTAS FISCAIS'!$E:$E)</f>
        <v>93188</v>
      </c>
      <c r="C119" s="2" t="s">
        <v>32</v>
      </c>
      <c r="D119" s="2" t="s">
        <v>194</v>
      </c>
      <c r="E119" s="2">
        <v>93188</v>
      </c>
      <c r="F119" s="2" t="s">
        <v>34</v>
      </c>
      <c r="G119" s="2" t="s">
        <v>16</v>
      </c>
      <c r="H119" s="2" t="s">
        <v>305</v>
      </c>
      <c r="I119" s="2">
        <v>582</v>
      </c>
      <c r="J119" s="3">
        <v>7732.5</v>
      </c>
      <c r="K119" s="7">
        <v>46153</v>
      </c>
      <c r="L119" s="2" t="s">
        <v>115</v>
      </c>
    </row>
    <row r="120" spans="1:12" hidden="1" x14ac:dyDescent="0.25">
      <c r="A120" s="2">
        <f>_xlfn.XLOOKUP(E120,[1]Sheet1!$B:$B,[1]Sheet1!$B:$B)</f>
        <v>93160</v>
      </c>
      <c r="B120" s="2" t="e">
        <f>_xlfn.XLOOKUP(E120,'[2]NOTAS FISCAIS'!$E:$E,'[2]NOTAS FISCAIS'!$E:$E)</f>
        <v>#N/A</v>
      </c>
      <c r="C120" s="2" t="s">
        <v>10</v>
      </c>
      <c r="D120" s="2" t="s">
        <v>195</v>
      </c>
      <c r="E120" s="2">
        <v>93160</v>
      </c>
      <c r="F120" s="2" t="s">
        <v>34</v>
      </c>
      <c r="G120" s="2" t="s">
        <v>16</v>
      </c>
      <c r="H120" s="2" t="s">
        <v>301</v>
      </c>
      <c r="I120" s="2" t="s">
        <v>315</v>
      </c>
      <c r="J120" s="3">
        <v>1580.55</v>
      </c>
      <c r="K120" s="7">
        <v>46568</v>
      </c>
      <c r="L120" s="2" t="s">
        <v>196</v>
      </c>
    </row>
    <row r="121" spans="1:12" hidden="1" x14ac:dyDescent="0.25">
      <c r="A121" s="2">
        <f>_xlfn.XLOOKUP(E121,[1]Sheet1!$B:$B,[1]Sheet1!$B:$B)</f>
        <v>93159</v>
      </c>
      <c r="B121" s="2">
        <f>_xlfn.XLOOKUP(E121,'[2]NOTAS FISCAIS'!$E:$E,'[2]NOTAS FISCAIS'!$E:$E)</f>
        <v>93159</v>
      </c>
      <c r="C121" s="2" t="s">
        <v>32</v>
      </c>
      <c r="D121" s="2" t="s">
        <v>195</v>
      </c>
      <c r="E121" s="2">
        <v>93159</v>
      </c>
      <c r="F121" s="2" t="s">
        <v>34</v>
      </c>
      <c r="G121" s="2" t="s">
        <v>16</v>
      </c>
      <c r="H121" s="2" t="s">
        <v>300</v>
      </c>
      <c r="I121" s="2">
        <v>2739</v>
      </c>
      <c r="J121" s="3">
        <v>25688.41</v>
      </c>
      <c r="K121" s="7">
        <v>46147</v>
      </c>
      <c r="L121" s="2" t="s">
        <v>196</v>
      </c>
    </row>
    <row r="122" spans="1:12" hidden="1" x14ac:dyDescent="0.25">
      <c r="A122" s="2">
        <f>_xlfn.XLOOKUP(E122,[1]Sheet1!$B:$B,[1]Sheet1!$B:$B)</f>
        <v>93130</v>
      </c>
      <c r="B122" s="2">
        <f>_xlfn.XLOOKUP(E122,'[2]NOTAS FISCAIS'!$E:$E,'[2]NOTAS FISCAIS'!$E:$E)</f>
        <v>93130</v>
      </c>
      <c r="C122" s="2" t="s">
        <v>32</v>
      </c>
      <c r="D122" s="2" t="s">
        <v>197</v>
      </c>
      <c r="E122" s="2">
        <v>93130</v>
      </c>
      <c r="F122" s="2" t="s">
        <v>34</v>
      </c>
      <c r="G122" s="2" t="s">
        <v>16</v>
      </c>
      <c r="H122" s="2" t="s">
        <v>305</v>
      </c>
      <c r="I122" s="2">
        <v>28947</v>
      </c>
      <c r="J122" s="3">
        <v>3552</v>
      </c>
      <c r="K122" s="7">
        <v>46147</v>
      </c>
      <c r="L122" s="2" t="s">
        <v>118</v>
      </c>
    </row>
    <row r="123" spans="1:12" hidden="1" x14ac:dyDescent="0.25">
      <c r="A123" s="2">
        <f>_xlfn.XLOOKUP(E123,[1]Sheet1!$B:$B,[1]Sheet1!$B:$B)</f>
        <v>93126</v>
      </c>
      <c r="B123" s="2">
        <f>_xlfn.XLOOKUP(E123,'[2]NOTAS FISCAIS'!$E:$E,'[2]NOTAS FISCAIS'!$E:$E)</f>
        <v>93126</v>
      </c>
      <c r="C123" s="2" t="s">
        <v>32</v>
      </c>
      <c r="D123" s="2" t="s">
        <v>198</v>
      </c>
      <c r="E123" s="2">
        <v>93126</v>
      </c>
      <c r="F123" s="2" t="s">
        <v>34</v>
      </c>
      <c r="G123" s="2" t="s">
        <v>16</v>
      </c>
      <c r="H123" s="2" t="s">
        <v>305</v>
      </c>
      <c r="I123" s="2">
        <v>15259</v>
      </c>
      <c r="J123" s="3">
        <v>7747.63</v>
      </c>
      <c r="K123" s="7">
        <v>46150</v>
      </c>
      <c r="L123" s="2" t="s">
        <v>35</v>
      </c>
    </row>
    <row r="124" spans="1:12" hidden="1" x14ac:dyDescent="0.25">
      <c r="A124" s="2">
        <f>_xlfn.XLOOKUP(E124,[1]Sheet1!$B:$B,[1]Sheet1!$B:$B)</f>
        <v>93116</v>
      </c>
      <c r="B124" s="2">
        <f>_xlfn.XLOOKUP(E124,'[2]NOTAS FISCAIS'!$E:$E,'[2]NOTAS FISCAIS'!$E:$E)</f>
        <v>93116</v>
      </c>
      <c r="C124" s="2" t="s">
        <v>32</v>
      </c>
      <c r="D124" s="2" t="s">
        <v>199</v>
      </c>
      <c r="E124" s="2">
        <v>93116</v>
      </c>
      <c r="F124" s="2" t="s">
        <v>34</v>
      </c>
      <c r="G124" s="2" t="s">
        <v>16</v>
      </c>
      <c r="H124" s="2" t="s">
        <v>300</v>
      </c>
      <c r="I124" s="2">
        <v>488</v>
      </c>
      <c r="J124" s="3">
        <v>57436.2</v>
      </c>
      <c r="K124" s="7">
        <v>46147</v>
      </c>
      <c r="L124" s="2" t="s">
        <v>179</v>
      </c>
    </row>
    <row r="125" spans="1:12" hidden="1" x14ac:dyDescent="0.25">
      <c r="A125" s="2">
        <f>_xlfn.XLOOKUP(E125,[1]Sheet1!$B:$B,[1]Sheet1!$B:$B)</f>
        <v>93106</v>
      </c>
      <c r="B125" s="2">
        <f>_xlfn.XLOOKUP(E125,'[2]NOTAS FISCAIS'!$E:$E,'[2]NOTAS FISCAIS'!$E:$E)</f>
        <v>93106</v>
      </c>
      <c r="C125" s="2" t="s">
        <v>32</v>
      </c>
      <c r="D125" s="2" t="s">
        <v>200</v>
      </c>
      <c r="E125" s="2">
        <v>93106</v>
      </c>
      <c r="F125" s="2" t="s">
        <v>34</v>
      </c>
      <c r="G125" s="2" t="s">
        <v>16</v>
      </c>
      <c r="H125" s="2" t="s">
        <v>303</v>
      </c>
      <c r="I125" s="2">
        <v>1</v>
      </c>
      <c r="J125" s="3">
        <v>1027957.12</v>
      </c>
      <c r="K125" s="7">
        <v>46142</v>
      </c>
      <c r="L125" s="2" t="s">
        <v>201</v>
      </c>
    </row>
    <row r="126" spans="1:12" hidden="1" x14ac:dyDescent="0.25">
      <c r="A126" s="2">
        <f>_xlfn.XLOOKUP(E126,[1]Sheet1!$B:$B,[1]Sheet1!$B:$B)</f>
        <v>93091</v>
      </c>
      <c r="B126" s="2">
        <f>_xlfn.XLOOKUP(E126,'[2]NOTAS FISCAIS'!$E:$E,'[2]NOTAS FISCAIS'!$E:$E)</f>
        <v>93091</v>
      </c>
      <c r="C126" s="2" t="s">
        <v>32</v>
      </c>
      <c r="D126" s="2" t="s">
        <v>202</v>
      </c>
      <c r="E126" s="2">
        <v>93091</v>
      </c>
      <c r="F126" s="2" t="s">
        <v>34</v>
      </c>
      <c r="G126" s="2" t="s">
        <v>16</v>
      </c>
      <c r="H126" s="2" t="s">
        <v>307</v>
      </c>
      <c r="I126" s="2">
        <v>2951</v>
      </c>
      <c r="J126" s="3">
        <v>500000.09</v>
      </c>
      <c r="K126" s="7">
        <v>46142</v>
      </c>
      <c r="L126" s="2" t="s">
        <v>203</v>
      </c>
    </row>
    <row r="127" spans="1:12" hidden="1" x14ac:dyDescent="0.25">
      <c r="A127" s="2">
        <f>_xlfn.XLOOKUP(E127,[1]Sheet1!$B:$B,[1]Sheet1!$B:$B)</f>
        <v>93058</v>
      </c>
      <c r="B127" s="2">
        <f>_xlfn.XLOOKUP(E127,'[2]NOTAS FISCAIS'!$E:$E,'[2]NOTAS FISCAIS'!$E:$E)</f>
        <v>93058</v>
      </c>
      <c r="C127" s="2" t="s">
        <v>32</v>
      </c>
      <c r="D127" s="2" t="s">
        <v>204</v>
      </c>
      <c r="E127" s="2">
        <v>93058</v>
      </c>
      <c r="F127" s="2" t="s">
        <v>34</v>
      </c>
      <c r="G127" s="2" t="s">
        <v>16</v>
      </c>
      <c r="H127" s="2" t="s">
        <v>300</v>
      </c>
      <c r="I127" s="2">
        <v>848</v>
      </c>
      <c r="J127" s="3">
        <v>32659.8</v>
      </c>
      <c r="K127" s="7">
        <v>46147</v>
      </c>
      <c r="L127" s="2" t="s">
        <v>28</v>
      </c>
    </row>
    <row r="128" spans="1:12" hidden="1" x14ac:dyDescent="0.25">
      <c r="A128" s="2">
        <f>_xlfn.XLOOKUP(E128,[1]Sheet1!$B:$B,[1]Sheet1!$B:$B)</f>
        <v>93057</v>
      </c>
      <c r="B128" s="2">
        <f>_xlfn.XLOOKUP(E128,'[2]NOTAS FISCAIS'!$E:$E,'[2]NOTAS FISCAIS'!$E:$E)</f>
        <v>93057</v>
      </c>
      <c r="C128" s="2" t="s">
        <v>32</v>
      </c>
      <c r="D128" s="2" t="s">
        <v>205</v>
      </c>
      <c r="E128" s="2">
        <v>93057</v>
      </c>
      <c r="F128" s="2" t="s">
        <v>34</v>
      </c>
      <c r="G128" s="2" t="s">
        <v>16</v>
      </c>
      <c r="H128" s="2" t="s">
        <v>305</v>
      </c>
      <c r="I128" s="2">
        <v>567</v>
      </c>
      <c r="J128" s="3">
        <v>23190</v>
      </c>
      <c r="K128" s="7">
        <v>46147</v>
      </c>
      <c r="L128" s="2" t="s">
        <v>115</v>
      </c>
    </row>
    <row r="129" spans="1:12" hidden="1" x14ac:dyDescent="0.25">
      <c r="A129" s="2">
        <f>_xlfn.XLOOKUP(E129,[1]Sheet1!$B:$B,[1]Sheet1!$B:$B)</f>
        <v>93048</v>
      </c>
      <c r="B129" s="2">
        <f>_xlfn.XLOOKUP(E129,'[2]NOTAS FISCAIS'!$E:$E,'[2]NOTAS FISCAIS'!$E:$E)</f>
        <v>93048</v>
      </c>
      <c r="C129" s="2" t="s">
        <v>32</v>
      </c>
      <c r="D129" s="2" t="s">
        <v>206</v>
      </c>
      <c r="E129" s="2">
        <v>93048</v>
      </c>
      <c r="F129" s="2" t="s">
        <v>34</v>
      </c>
      <c r="G129" s="2" t="s">
        <v>16</v>
      </c>
      <c r="H129" s="2" t="s">
        <v>307</v>
      </c>
      <c r="I129" s="2">
        <v>20365</v>
      </c>
      <c r="J129" s="3">
        <v>669912</v>
      </c>
      <c r="K129" s="7">
        <v>46142</v>
      </c>
      <c r="L129" s="2" t="s">
        <v>201</v>
      </c>
    </row>
    <row r="130" spans="1:12" hidden="1" x14ac:dyDescent="0.25">
      <c r="A130" s="2">
        <f>_xlfn.XLOOKUP(E130,[1]Sheet1!$B:$B,[1]Sheet1!$B:$B)</f>
        <v>93045</v>
      </c>
      <c r="B130" s="2">
        <f>_xlfn.XLOOKUP(E130,'[2]NOTAS FISCAIS'!$E:$E,'[2]NOTAS FISCAIS'!$E:$E)</f>
        <v>93045</v>
      </c>
      <c r="C130" s="2" t="s">
        <v>32</v>
      </c>
      <c r="D130" s="2" t="s">
        <v>207</v>
      </c>
      <c r="E130" s="2">
        <v>93045</v>
      </c>
      <c r="F130" s="2" t="s">
        <v>34</v>
      </c>
      <c r="G130" s="2" t="s">
        <v>16</v>
      </c>
      <c r="H130" s="2" t="s">
        <v>307</v>
      </c>
      <c r="I130" s="2">
        <v>20366</v>
      </c>
      <c r="J130" s="3">
        <v>1062600</v>
      </c>
      <c r="K130" s="7">
        <v>46142</v>
      </c>
      <c r="L130" s="2" t="s">
        <v>201</v>
      </c>
    </row>
    <row r="131" spans="1:12" hidden="1" x14ac:dyDescent="0.25">
      <c r="A131" s="2">
        <f>_xlfn.XLOOKUP(E131,[1]Sheet1!$B:$B,[1]Sheet1!$B:$B)</f>
        <v>93039</v>
      </c>
      <c r="B131" s="2">
        <f>_xlfn.XLOOKUP(E131,'[2]NOTAS FISCAIS'!$E:$E,'[2]NOTAS FISCAIS'!$E:$E)</f>
        <v>93039</v>
      </c>
      <c r="C131" s="2" t="s">
        <v>32</v>
      </c>
      <c r="D131" s="2" t="s">
        <v>208</v>
      </c>
      <c r="E131" s="2">
        <v>93039</v>
      </c>
      <c r="F131" s="2" t="s">
        <v>34</v>
      </c>
      <c r="G131" s="2" t="s">
        <v>16</v>
      </c>
      <c r="H131" s="2" t="s">
        <v>300</v>
      </c>
      <c r="I131" s="2">
        <v>3004</v>
      </c>
      <c r="J131" s="3">
        <v>2300</v>
      </c>
      <c r="K131" s="7">
        <v>46147</v>
      </c>
      <c r="L131" s="2" t="s">
        <v>155</v>
      </c>
    </row>
    <row r="132" spans="1:12" hidden="1" x14ac:dyDescent="0.25">
      <c r="A132" s="2">
        <f>_xlfn.XLOOKUP(E132,[1]Sheet1!$B:$B,[1]Sheet1!$B:$B)</f>
        <v>93025</v>
      </c>
      <c r="B132" s="2" t="e">
        <f>_xlfn.XLOOKUP(E132,'[2]NOTAS FISCAIS'!$E:$E,'[2]NOTAS FISCAIS'!$E:$E)</f>
        <v>#N/A</v>
      </c>
      <c r="C132" s="2" t="s">
        <v>32</v>
      </c>
      <c r="D132" s="2" t="s">
        <v>209</v>
      </c>
      <c r="E132" s="2">
        <v>93025</v>
      </c>
      <c r="F132" s="2" t="s">
        <v>34</v>
      </c>
      <c r="G132" s="2" t="s">
        <v>16</v>
      </c>
      <c r="H132" s="2" t="s">
        <v>303</v>
      </c>
      <c r="I132" s="2">
        <v>1</v>
      </c>
      <c r="J132" s="3">
        <v>200000</v>
      </c>
      <c r="K132" s="7">
        <v>46136</v>
      </c>
      <c r="L132" s="2" t="s">
        <v>210</v>
      </c>
    </row>
    <row r="133" spans="1:12" hidden="1" x14ac:dyDescent="0.25">
      <c r="A133" s="2">
        <f>_xlfn.XLOOKUP(E133,[1]Sheet1!$B:$B,[1]Sheet1!$B:$B)</f>
        <v>93004</v>
      </c>
      <c r="B133" s="2">
        <f>_xlfn.XLOOKUP(E133,'[2]NOTAS FISCAIS'!$E:$E,'[2]NOTAS FISCAIS'!$E:$E)</f>
        <v>93004</v>
      </c>
      <c r="C133" s="2" t="s">
        <v>32</v>
      </c>
      <c r="D133" s="2" t="s">
        <v>211</v>
      </c>
      <c r="E133" s="2">
        <v>93004</v>
      </c>
      <c r="F133" s="2" t="s">
        <v>34</v>
      </c>
      <c r="G133" s="2" t="s">
        <v>16</v>
      </c>
      <c r="H133" s="2" t="s">
        <v>300</v>
      </c>
      <c r="I133" s="2">
        <v>57</v>
      </c>
      <c r="J133" s="3">
        <v>12432.77</v>
      </c>
      <c r="K133" s="7">
        <v>46147</v>
      </c>
      <c r="L133" s="2" t="s">
        <v>212</v>
      </c>
    </row>
    <row r="134" spans="1:12" hidden="1" x14ac:dyDescent="0.25">
      <c r="A134" s="2">
        <f>_xlfn.XLOOKUP(E134,[1]Sheet1!$B:$B,[1]Sheet1!$B:$B)</f>
        <v>93001</v>
      </c>
      <c r="B134" s="2">
        <f>_xlfn.XLOOKUP(E134,'[2]NOTAS FISCAIS'!$E:$E,'[2]NOTAS FISCAIS'!$E:$E)</f>
        <v>93001</v>
      </c>
      <c r="C134" s="2" t="s">
        <v>32</v>
      </c>
      <c r="D134" s="2" t="s">
        <v>213</v>
      </c>
      <c r="E134" s="2">
        <v>93001</v>
      </c>
      <c r="F134" s="2" t="s">
        <v>34</v>
      </c>
      <c r="G134" s="2" t="s">
        <v>16</v>
      </c>
      <c r="H134" s="2" t="s">
        <v>300</v>
      </c>
      <c r="I134" s="2">
        <v>2164</v>
      </c>
      <c r="J134" s="3">
        <v>12669.75</v>
      </c>
      <c r="K134" s="7">
        <v>46147</v>
      </c>
      <c r="L134" s="2" t="s">
        <v>214</v>
      </c>
    </row>
    <row r="135" spans="1:12" hidden="1" x14ac:dyDescent="0.25">
      <c r="A135" s="2">
        <f>_xlfn.XLOOKUP(E135,[1]Sheet1!$B:$B,[1]Sheet1!$B:$B)</f>
        <v>92997</v>
      </c>
      <c r="B135" s="2">
        <f>_xlfn.XLOOKUP(E135,'[2]NOTAS FISCAIS'!$E:$E,'[2]NOTAS FISCAIS'!$E:$E)</f>
        <v>92997</v>
      </c>
      <c r="C135" s="2" t="s">
        <v>32</v>
      </c>
      <c r="D135" s="2" t="s">
        <v>215</v>
      </c>
      <c r="E135" s="2">
        <v>92997</v>
      </c>
      <c r="F135" s="2" t="s">
        <v>34</v>
      </c>
      <c r="G135" s="2" t="s">
        <v>16</v>
      </c>
      <c r="H135" s="2" t="s">
        <v>300</v>
      </c>
      <c r="I135" s="2">
        <v>9003</v>
      </c>
      <c r="J135" s="3">
        <v>45798.8</v>
      </c>
      <c r="K135" s="7">
        <v>46147</v>
      </c>
      <c r="L135" s="2" t="s">
        <v>216</v>
      </c>
    </row>
    <row r="136" spans="1:12" hidden="1" x14ac:dyDescent="0.25">
      <c r="A136" s="2">
        <f>_xlfn.XLOOKUP(E136,[1]Sheet1!$B:$B,[1]Sheet1!$B:$B)</f>
        <v>92996</v>
      </c>
      <c r="B136" s="2">
        <f>_xlfn.XLOOKUP(E136,'[2]NOTAS FISCAIS'!$E:$E,'[2]NOTAS FISCAIS'!$E:$E)</f>
        <v>92996</v>
      </c>
      <c r="C136" s="2" t="s">
        <v>32</v>
      </c>
      <c r="D136" s="2" t="s">
        <v>217</v>
      </c>
      <c r="E136" s="2">
        <v>92996</v>
      </c>
      <c r="F136" s="2" t="s">
        <v>34</v>
      </c>
      <c r="G136" s="2" t="s">
        <v>16</v>
      </c>
      <c r="H136" s="2" t="s">
        <v>300</v>
      </c>
      <c r="I136" s="2">
        <v>666</v>
      </c>
      <c r="J136" s="3">
        <v>11859.67</v>
      </c>
      <c r="K136" s="7">
        <v>46147</v>
      </c>
      <c r="L136" s="2" t="s">
        <v>218</v>
      </c>
    </row>
    <row r="137" spans="1:12" hidden="1" x14ac:dyDescent="0.25">
      <c r="A137" s="2">
        <f>_xlfn.XLOOKUP(E137,[1]Sheet1!$B:$B,[1]Sheet1!$B:$B)</f>
        <v>92978</v>
      </c>
      <c r="B137" s="2" t="e">
        <f>_xlfn.XLOOKUP(E137,'[2]NOTAS FISCAIS'!$E:$E,'[2]NOTAS FISCAIS'!$E:$E)</f>
        <v>#N/A</v>
      </c>
      <c r="C137" s="2" t="s">
        <v>10</v>
      </c>
      <c r="D137" s="2" t="s">
        <v>219</v>
      </c>
      <c r="E137" s="2">
        <v>92978</v>
      </c>
      <c r="F137" s="2" t="s">
        <v>34</v>
      </c>
      <c r="G137" s="2" t="s">
        <v>16</v>
      </c>
      <c r="H137" s="2" t="s">
        <v>301</v>
      </c>
      <c r="I137" s="2" t="s">
        <v>315</v>
      </c>
      <c r="J137" s="3">
        <v>439.01</v>
      </c>
      <c r="K137" s="7">
        <v>46568</v>
      </c>
      <c r="L137" s="2" t="s">
        <v>196</v>
      </c>
    </row>
    <row r="138" spans="1:12" hidden="1" x14ac:dyDescent="0.25">
      <c r="A138" s="2">
        <f>_xlfn.XLOOKUP(E138,[1]Sheet1!$B:$B,[1]Sheet1!$B:$B)</f>
        <v>92977</v>
      </c>
      <c r="B138" s="2">
        <f>_xlfn.XLOOKUP(E138,'[2]NOTAS FISCAIS'!$E:$E,'[2]NOTAS FISCAIS'!$E:$E)</f>
        <v>92977</v>
      </c>
      <c r="C138" s="2" t="s">
        <v>32</v>
      </c>
      <c r="D138" s="2" t="s">
        <v>219</v>
      </c>
      <c r="E138" s="2">
        <v>92977</v>
      </c>
      <c r="F138" s="2" t="s">
        <v>34</v>
      </c>
      <c r="G138" s="2" t="s">
        <v>16</v>
      </c>
      <c r="H138" s="2" t="s">
        <v>300</v>
      </c>
      <c r="I138" s="2">
        <v>2729</v>
      </c>
      <c r="J138" s="3">
        <v>7362.25</v>
      </c>
      <c r="K138" s="7">
        <v>46147</v>
      </c>
      <c r="L138" s="2" t="s">
        <v>196</v>
      </c>
    </row>
    <row r="139" spans="1:12" hidden="1" x14ac:dyDescent="0.25">
      <c r="A139" s="2">
        <f>_xlfn.XLOOKUP(E139,[1]Sheet1!$B:$B,[1]Sheet1!$B:$B)</f>
        <v>92960</v>
      </c>
      <c r="B139" s="2" t="e">
        <f>_xlfn.XLOOKUP(E139,'[2]NOTAS FISCAIS'!$E:$E,'[2]NOTAS FISCAIS'!$E:$E)</f>
        <v>#N/A</v>
      </c>
      <c r="C139" s="2" t="s">
        <v>32</v>
      </c>
      <c r="D139" s="2" t="s">
        <v>220</v>
      </c>
      <c r="E139" s="2">
        <v>92960</v>
      </c>
      <c r="F139" s="2" t="s">
        <v>34</v>
      </c>
      <c r="G139" s="2" t="s">
        <v>16</v>
      </c>
      <c r="H139" s="2" t="s">
        <v>301</v>
      </c>
      <c r="I139" s="2" t="s">
        <v>314</v>
      </c>
      <c r="J139" s="3">
        <v>450.54</v>
      </c>
      <c r="K139" s="7">
        <v>46477</v>
      </c>
      <c r="L139" s="2" t="s">
        <v>119</v>
      </c>
    </row>
    <row r="140" spans="1:12" hidden="1" x14ac:dyDescent="0.25">
      <c r="A140" s="2">
        <f>_xlfn.XLOOKUP(E140,[1]Sheet1!$B:$B,[1]Sheet1!$B:$B)</f>
        <v>92959</v>
      </c>
      <c r="B140" s="2">
        <f>_xlfn.XLOOKUP(E140,'[2]NOTAS FISCAIS'!$E:$E,'[2]NOTAS FISCAIS'!$E:$E)</f>
        <v>92959</v>
      </c>
      <c r="C140" s="2" t="s">
        <v>32</v>
      </c>
      <c r="D140" s="2" t="s">
        <v>220</v>
      </c>
      <c r="E140" s="2">
        <v>92959</v>
      </c>
      <c r="F140" s="2" t="s">
        <v>34</v>
      </c>
      <c r="G140" s="2" t="s">
        <v>16</v>
      </c>
      <c r="H140" s="2" t="s">
        <v>300</v>
      </c>
      <c r="I140" s="2">
        <v>754</v>
      </c>
      <c r="J140" s="3">
        <v>8560.26</v>
      </c>
      <c r="K140" s="7">
        <v>46147</v>
      </c>
      <c r="L140" s="2" t="s">
        <v>119</v>
      </c>
    </row>
    <row r="141" spans="1:12" hidden="1" x14ac:dyDescent="0.25">
      <c r="A141" s="2">
        <f>_xlfn.XLOOKUP(E141,[1]Sheet1!$B:$B,[1]Sheet1!$B:$B)</f>
        <v>92905</v>
      </c>
      <c r="B141" s="2">
        <f>_xlfn.XLOOKUP(E141,'[2]NOTAS FISCAIS'!$E:$E,'[2]NOTAS FISCAIS'!$E:$E)</f>
        <v>92905</v>
      </c>
      <c r="C141" s="2" t="s">
        <v>32</v>
      </c>
      <c r="D141" s="2" t="s">
        <v>221</v>
      </c>
      <c r="E141" s="2">
        <v>92905</v>
      </c>
      <c r="F141" s="2" t="s">
        <v>34</v>
      </c>
      <c r="G141" s="2" t="s">
        <v>16</v>
      </c>
      <c r="H141" s="2" t="s">
        <v>305</v>
      </c>
      <c r="I141" s="2">
        <v>577</v>
      </c>
      <c r="J141" s="3">
        <v>31777.85</v>
      </c>
      <c r="K141" s="7">
        <v>46147</v>
      </c>
      <c r="L141" s="2" t="s">
        <v>115</v>
      </c>
    </row>
    <row r="142" spans="1:12" hidden="1" x14ac:dyDescent="0.25">
      <c r="A142" s="2">
        <f>_xlfn.XLOOKUP(E142,[1]Sheet1!$B:$B,[1]Sheet1!$B:$B)</f>
        <v>92903</v>
      </c>
      <c r="B142" s="2">
        <f>_xlfn.XLOOKUP(E142,'[2]NOTAS FISCAIS'!$E:$E,'[2]NOTAS FISCAIS'!$E:$E)</f>
        <v>92903</v>
      </c>
      <c r="C142" s="2" t="s">
        <v>32</v>
      </c>
      <c r="D142" s="2" t="s">
        <v>222</v>
      </c>
      <c r="E142" s="2">
        <v>92903</v>
      </c>
      <c r="F142" s="2" t="s">
        <v>34</v>
      </c>
      <c r="G142" s="2" t="s">
        <v>16</v>
      </c>
      <c r="H142" s="2" t="s">
        <v>306</v>
      </c>
      <c r="I142" s="2">
        <v>6200</v>
      </c>
      <c r="J142" s="3">
        <v>2100</v>
      </c>
      <c r="K142" s="7">
        <v>46147</v>
      </c>
      <c r="L142" s="2" t="s">
        <v>152</v>
      </c>
    </row>
    <row r="143" spans="1:12" hidden="1" x14ac:dyDescent="0.25">
      <c r="A143" s="2">
        <f>_xlfn.XLOOKUP(E143,[1]Sheet1!$B:$B,[1]Sheet1!$B:$B)</f>
        <v>92902</v>
      </c>
      <c r="B143" s="2">
        <f>_xlfn.XLOOKUP(E143,'[2]NOTAS FISCAIS'!$E:$E,'[2]NOTAS FISCAIS'!$E:$E)</f>
        <v>92902</v>
      </c>
      <c r="C143" s="2" t="s">
        <v>32</v>
      </c>
      <c r="D143" s="2" t="s">
        <v>223</v>
      </c>
      <c r="E143" s="2">
        <v>92902</v>
      </c>
      <c r="F143" s="2" t="s">
        <v>34</v>
      </c>
      <c r="G143" s="2" t="s">
        <v>16</v>
      </c>
      <c r="H143" s="2" t="s">
        <v>306</v>
      </c>
      <c r="I143" s="2">
        <v>6202</v>
      </c>
      <c r="J143" s="3">
        <v>2100</v>
      </c>
      <c r="K143" s="7">
        <v>46147</v>
      </c>
      <c r="L143" s="2" t="s">
        <v>152</v>
      </c>
    </row>
    <row r="144" spans="1:12" hidden="1" x14ac:dyDescent="0.25">
      <c r="A144" s="2">
        <f>_xlfn.XLOOKUP(E144,[1]Sheet1!$B:$B,[1]Sheet1!$B:$B)</f>
        <v>92895</v>
      </c>
      <c r="B144" s="2">
        <f>_xlfn.XLOOKUP(E144,'[2]NOTAS FISCAIS'!$E:$E,'[2]NOTAS FISCAIS'!$E:$E)</f>
        <v>92895</v>
      </c>
      <c r="C144" s="2" t="s">
        <v>32</v>
      </c>
      <c r="D144" s="2" t="s">
        <v>224</v>
      </c>
      <c r="E144" s="2">
        <v>92895</v>
      </c>
      <c r="F144" s="2" t="s">
        <v>34</v>
      </c>
      <c r="G144" s="2" t="s">
        <v>16</v>
      </c>
      <c r="H144" s="2" t="s">
        <v>300</v>
      </c>
      <c r="I144" s="2">
        <v>152</v>
      </c>
      <c r="J144" s="3">
        <v>133431.23000000001</v>
      </c>
      <c r="K144" s="7">
        <v>46147</v>
      </c>
      <c r="L144" s="2" t="s">
        <v>225</v>
      </c>
    </row>
    <row r="145" spans="1:12" hidden="1" x14ac:dyDescent="0.25">
      <c r="A145" s="2">
        <f>_xlfn.XLOOKUP(E145,[1]Sheet1!$B:$B,[1]Sheet1!$B:$B)</f>
        <v>92869</v>
      </c>
      <c r="B145" s="2">
        <f>_xlfn.XLOOKUP(E145,'[2]NOTAS FISCAIS'!$E:$E,'[2]NOTAS FISCAIS'!$E:$E)</f>
        <v>92869</v>
      </c>
      <c r="C145" s="2" t="s">
        <v>32</v>
      </c>
      <c r="D145" s="2" t="s">
        <v>226</v>
      </c>
      <c r="E145" s="2">
        <v>92869</v>
      </c>
      <c r="F145" s="2" t="s">
        <v>34</v>
      </c>
      <c r="G145" s="2" t="s">
        <v>16</v>
      </c>
      <c r="H145" s="2" t="s">
        <v>305</v>
      </c>
      <c r="I145" s="2">
        <v>953</v>
      </c>
      <c r="J145" s="3">
        <v>350000</v>
      </c>
      <c r="K145" s="7">
        <v>46142</v>
      </c>
      <c r="L145" s="2" t="s">
        <v>227</v>
      </c>
    </row>
    <row r="146" spans="1:12" hidden="1" x14ac:dyDescent="0.25">
      <c r="A146" s="2">
        <f>_xlfn.XLOOKUP(E146,[1]Sheet1!$B:$B,[1]Sheet1!$B:$B)</f>
        <v>92798</v>
      </c>
      <c r="B146" s="2" t="e">
        <f>_xlfn.XLOOKUP(E146,'[2]NOTAS FISCAIS'!$E:$E,'[2]NOTAS FISCAIS'!$E:$E)</f>
        <v>#N/A</v>
      </c>
      <c r="C146" s="2" t="s">
        <v>32</v>
      </c>
      <c r="D146" s="2" t="s">
        <v>228</v>
      </c>
      <c r="E146" s="2">
        <v>92798</v>
      </c>
      <c r="F146" s="2" t="s">
        <v>34</v>
      </c>
      <c r="G146" s="2" t="s">
        <v>16</v>
      </c>
      <c r="H146" s="2" t="s">
        <v>303</v>
      </c>
      <c r="I146" s="2">
        <v>1</v>
      </c>
      <c r="J146" s="3">
        <v>393610.92</v>
      </c>
      <c r="K146" s="7">
        <v>46141</v>
      </c>
      <c r="L146" s="2" t="s">
        <v>229</v>
      </c>
    </row>
    <row r="147" spans="1:12" hidden="1" x14ac:dyDescent="0.25">
      <c r="A147" s="2">
        <f>_xlfn.XLOOKUP(E147,[1]Sheet1!$B:$B,[1]Sheet1!$B:$B)</f>
        <v>92791</v>
      </c>
      <c r="B147" s="2">
        <f>_xlfn.XLOOKUP(E147,'[2]NOTAS FISCAIS'!$E:$E,'[2]NOTAS FISCAIS'!$E:$E)</f>
        <v>92791</v>
      </c>
      <c r="C147" s="2" t="s">
        <v>32</v>
      </c>
      <c r="D147" s="2" t="s">
        <v>230</v>
      </c>
      <c r="E147" s="2">
        <v>92791</v>
      </c>
      <c r="F147" s="2" t="s">
        <v>34</v>
      </c>
      <c r="G147" s="2" t="s">
        <v>16</v>
      </c>
      <c r="H147" s="2" t="s">
        <v>300</v>
      </c>
      <c r="I147" s="2">
        <v>57863</v>
      </c>
      <c r="J147" s="3">
        <v>4920.38</v>
      </c>
      <c r="K147" s="7">
        <v>46147</v>
      </c>
      <c r="L147" s="2" t="s">
        <v>23</v>
      </c>
    </row>
    <row r="148" spans="1:12" hidden="1" x14ac:dyDescent="0.25">
      <c r="A148" s="2">
        <f>_xlfn.XLOOKUP(E148,[1]Sheet1!$B:$B,[1]Sheet1!$B:$B)</f>
        <v>92789</v>
      </c>
      <c r="B148" s="2">
        <f>_xlfn.XLOOKUP(E148,'[2]NOTAS FISCAIS'!$E:$E,'[2]NOTAS FISCAIS'!$E:$E)</f>
        <v>92789</v>
      </c>
      <c r="C148" s="2" t="s">
        <v>32</v>
      </c>
      <c r="D148" s="2" t="s">
        <v>231</v>
      </c>
      <c r="E148" s="2">
        <v>92789</v>
      </c>
      <c r="F148" s="2" t="s">
        <v>34</v>
      </c>
      <c r="G148" s="2" t="s">
        <v>16</v>
      </c>
      <c r="H148" s="2" t="s">
        <v>300</v>
      </c>
      <c r="I148" s="2">
        <v>14080</v>
      </c>
      <c r="J148" s="3">
        <v>4343.5</v>
      </c>
      <c r="K148" s="7">
        <v>46147</v>
      </c>
      <c r="L148" s="2" t="s">
        <v>30</v>
      </c>
    </row>
    <row r="149" spans="1:12" hidden="1" x14ac:dyDescent="0.25">
      <c r="A149" s="2">
        <f>_xlfn.XLOOKUP(E149,[1]Sheet1!$B:$B,[1]Sheet1!$B:$B)</f>
        <v>92787</v>
      </c>
      <c r="B149" s="2">
        <f>_xlfn.XLOOKUP(E149,'[2]NOTAS FISCAIS'!$E:$E,'[2]NOTAS FISCAIS'!$E:$E)</f>
        <v>92787</v>
      </c>
      <c r="C149" s="2" t="s">
        <v>32</v>
      </c>
      <c r="D149" s="2" t="s">
        <v>232</v>
      </c>
      <c r="E149" s="2">
        <v>92787</v>
      </c>
      <c r="F149" s="2" t="s">
        <v>34</v>
      </c>
      <c r="G149" s="2" t="s">
        <v>16</v>
      </c>
      <c r="H149" s="2" t="s">
        <v>300</v>
      </c>
      <c r="I149" s="2">
        <v>14079</v>
      </c>
      <c r="J149" s="3">
        <v>3629.5</v>
      </c>
      <c r="K149" s="7">
        <v>46147</v>
      </c>
      <c r="L149" s="2" t="s">
        <v>30</v>
      </c>
    </row>
    <row r="150" spans="1:12" hidden="1" x14ac:dyDescent="0.25">
      <c r="A150" s="2">
        <f>_xlfn.XLOOKUP(E150,[1]Sheet1!$B:$B,[1]Sheet1!$B:$B)</f>
        <v>92721</v>
      </c>
      <c r="B150" s="2">
        <f>_xlfn.XLOOKUP(E150,'[2]NOTAS FISCAIS'!$E:$E,'[2]NOTAS FISCAIS'!$E:$E)</f>
        <v>92721</v>
      </c>
      <c r="C150" s="2" t="s">
        <v>32</v>
      </c>
      <c r="D150" s="2" t="s">
        <v>233</v>
      </c>
      <c r="E150" s="2">
        <v>92721</v>
      </c>
      <c r="F150" s="2" t="s">
        <v>34</v>
      </c>
      <c r="G150" s="2" t="s">
        <v>16</v>
      </c>
      <c r="H150" s="2" t="s">
        <v>306</v>
      </c>
      <c r="I150" s="2">
        <v>1466</v>
      </c>
      <c r="J150" s="3">
        <v>8800</v>
      </c>
      <c r="K150" s="7">
        <v>46149</v>
      </c>
      <c r="L150" s="2" t="s">
        <v>114</v>
      </c>
    </row>
    <row r="151" spans="1:12" hidden="1" x14ac:dyDescent="0.25">
      <c r="A151" s="2">
        <f>_xlfn.XLOOKUP(E151,[1]Sheet1!$B:$B,[1]Sheet1!$B:$B)</f>
        <v>92717</v>
      </c>
      <c r="B151" s="2" t="e">
        <f>_xlfn.XLOOKUP(E151,'[2]NOTAS FISCAIS'!$E:$E,'[2]NOTAS FISCAIS'!$E:$E)</f>
        <v>#N/A</v>
      </c>
      <c r="C151" s="2" t="s">
        <v>32</v>
      </c>
      <c r="D151" s="2" t="s">
        <v>234</v>
      </c>
      <c r="E151" s="2">
        <v>92717</v>
      </c>
      <c r="F151" s="2" t="s">
        <v>34</v>
      </c>
      <c r="G151" s="2" t="s">
        <v>16</v>
      </c>
      <c r="H151" s="2" t="s">
        <v>300</v>
      </c>
      <c r="I151" s="2">
        <v>2564</v>
      </c>
      <c r="J151" s="3">
        <v>27453.94</v>
      </c>
      <c r="K151" s="7">
        <v>45943</v>
      </c>
      <c r="L151" s="2" t="s">
        <v>196</v>
      </c>
    </row>
    <row r="152" spans="1:12" hidden="1" x14ac:dyDescent="0.25">
      <c r="A152" s="2">
        <f>_xlfn.XLOOKUP(E152,[1]Sheet1!$B:$B,[1]Sheet1!$B:$B)</f>
        <v>92708</v>
      </c>
      <c r="B152" s="2">
        <f>_xlfn.XLOOKUP(E152,'[2]NOTAS FISCAIS'!$E:$E,'[2]NOTAS FISCAIS'!$E:$E)</f>
        <v>92708</v>
      </c>
      <c r="C152" s="2" t="s">
        <v>32</v>
      </c>
      <c r="D152" s="2" t="s">
        <v>235</v>
      </c>
      <c r="E152" s="2">
        <v>92708</v>
      </c>
      <c r="F152" s="2" t="s">
        <v>34</v>
      </c>
      <c r="G152" s="2" t="s">
        <v>16</v>
      </c>
      <c r="H152" s="2" t="s">
        <v>300</v>
      </c>
      <c r="I152" s="2">
        <v>1442</v>
      </c>
      <c r="J152" s="3">
        <v>1104666.19</v>
      </c>
      <c r="K152" s="7">
        <v>46106</v>
      </c>
      <c r="L152" s="2" t="s">
        <v>236</v>
      </c>
    </row>
    <row r="153" spans="1:12" hidden="1" x14ac:dyDescent="0.25">
      <c r="A153" s="2">
        <f>_xlfn.XLOOKUP(E153,[1]Sheet1!$B:$B,[1]Sheet1!$B:$B)</f>
        <v>92707</v>
      </c>
      <c r="B153" s="2">
        <f>_xlfn.XLOOKUP(E153,'[2]NOTAS FISCAIS'!$E:$E,'[2]NOTAS FISCAIS'!$E:$E)</f>
        <v>92707</v>
      </c>
      <c r="C153" s="2" t="s">
        <v>32</v>
      </c>
      <c r="D153" s="2" t="s">
        <v>237</v>
      </c>
      <c r="E153" s="2">
        <v>92707</v>
      </c>
      <c r="F153" s="2" t="s">
        <v>34</v>
      </c>
      <c r="G153" s="2" t="s">
        <v>16</v>
      </c>
      <c r="H153" s="2" t="s">
        <v>300</v>
      </c>
      <c r="I153" s="2">
        <v>1410</v>
      </c>
      <c r="J153" s="3">
        <v>1480256.04</v>
      </c>
      <c r="K153" s="7">
        <v>45950</v>
      </c>
      <c r="L153" s="2" t="s">
        <v>236</v>
      </c>
    </row>
    <row r="154" spans="1:12" hidden="1" x14ac:dyDescent="0.25">
      <c r="A154" s="2">
        <f>_xlfn.XLOOKUP(E154,[1]Sheet1!$B:$B,[1]Sheet1!$B:$B)</f>
        <v>92655</v>
      </c>
      <c r="B154" s="2">
        <f>_xlfn.XLOOKUP(E154,'[2]NOTAS FISCAIS'!$E:$E,'[2]NOTAS FISCAIS'!$E:$E)</f>
        <v>92655</v>
      </c>
      <c r="C154" s="2" t="s">
        <v>32</v>
      </c>
      <c r="D154" s="2" t="s">
        <v>239</v>
      </c>
      <c r="E154" s="2">
        <v>92655</v>
      </c>
      <c r="F154" s="2" t="s">
        <v>167</v>
      </c>
      <c r="G154" s="2" t="s">
        <v>16</v>
      </c>
      <c r="H154" s="2" t="s">
        <v>305</v>
      </c>
      <c r="I154" s="2">
        <v>376910</v>
      </c>
      <c r="J154" s="3">
        <v>1062</v>
      </c>
      <c r="K154" s="7">
        <v>46152</v>
      </c>
      <c r="L154" s="2" t="s">
        <v>140</v>
      </c>
    </row>
    <row r="155" spans="1:12" hidden="1" x14ac:dyDescent="0.25">
      <c r="A155" s="2">
        <f>_xlfn.XLOOKUP(E155,[1]Sheet1!$B:$B,[1]Sheet1!$B:$B)</f>
        <v>92646</v>
      </c>
      <c r="B155" s="2" t="e">
        <f>_xlfn.XLOOKUP(E155,'[2]NOTAS FISCAIS'!$E:$E,'[2]NOTAS FISCAIS'!$E:$E)</f>
        <v>#N/A</v>
      </c>
      <c r="C155" s="2" t="s">
        <v>32</v>
      </c>
      <c r="D155" s="2" t="s">
        <v>240</v>
      </c>
      <c r="E155" s="2">
        <v>92646</v>
      </c>
      <c r="F155" s="2" t="s">
        <v>167</v>
      </c>
      <c r="G155" s="2" t="s">
        <v>13</v>
      </c>
      <c r="H155" s="2" t="s">
        <v>303</v>
      </c>
      <c r="I155" s="2">
        <v>1</v>
      </c>
      <c r="J155" s="3">
        <v>1850000</v>
      </c>
      <c r="K155" s="7">
        <v>46142</v>
      </c>
      <c r="L155" s="2" t="s">
        <v>61</v>
      </c>
    </row>
    <row r="156" spans="1:12" hidden="1" x14ac:dyDescent="0.25">
      <c r="A156" s="2">
        <f>_xlfn.XLOOKUP(E156,[1]Sheet1!$B:$B,[1]Sheet1!$B:$B)</f>
        <v>92627</v>
      </c>
      <c r="B156" s="2" t="e">
        <f>_xlfn.XLOOKUP(E156,'[2]NOTAS FISCAIS'!$E:$E,'[2]NOTAS FISCAIS'!$E:$E)</f>
        <v>#N/A</v>
      </c>
      <c r="C156" s="2" t="s">
        <v>32</v>
      </c>
      <c r="D156" s="2" t="s">
        <v>241</v>
      </c>
      <c r="E156" s="2">
        <v>92627</v>
      </c>
      <c r="F156" s="2" t="s">
        <v>34</v>
      </c>
      <c r="G156" s="2" t="s">
        <v>16</v>
      </c>
      <c r="H156" s="2" t="s">
        <v>303</v>
      </c>
      <c r="I156" s="2">
        <v>1</v>
      </c>
      <c r="J156" s="3">
        <v>1000000</v>
      </c>
      <c r="K156" s="7">
        <v>46136</v>
      </c>
      <c r="L156" s="2" t="s">
        <v>242</v>
      </c>
    </row>
    <row r="157" spans="1:12" hidden="1" x14ac:dyDescent="0.25">
      <c r="A157" s="2">
        <f>_xlfn.XLOOKUP(E157,[1]Sheet1!$B:$B,[1]Sheet1!$B:$B)</f>
        <v>92620</v>
      </c>
      <c r="B157" s="2" t="e">
        <f>_xlfn.XLOOKUP(E157,'[2]NOTAS FISCAIS'!$E:$E,'[2]NOTAS FISCAIS'!$E:$E)</f>
        <v>#N/A</v>
      </c>
      <c r="C157" s="2" t="s">
        <v>32</v>
      </c>
      <c r="D157" s="2" t="s">
        <v>243</v>
      </c>
      <c r="E157" s="2">
        <v>92620</v>
      </c>
      <c r="F157" s="2" t="s">
        <v>34</v>
      </c>
      <c r="G157" s="2" t="s">
        <v>16</v>
      </c>
      <c r="H157" s="2" t="s">
        <v>303</v>
      </c>
      <c r="I157" s="2">
        <v>1</v>
      </c>
      <c r="J157" s="3">
        <v>9070763.3399999999</v>
      </c>
      <c r="K157" s="7">
        <v>46136</v>
      </c>
      <c r="L157" s="2" t="s">
        <v>244</v>
      </c>
    </row>
    <row r="158" spans="1:12" hidden="1" x14ac:dyDescent="0.25">
      <c r="A158" s="2">
        <f>_xlfn.XLOOKUP(E158,[1]Sheet1!$B:$B,[1]Sheet1!$B:$B)</f>
        <v>92618</v>
      </c>
      <c r="B158" s="2">
        <f>_xlfn.XLOOKUP(E158,'[2]NOTAS FISCAIS'!$E:$E,'[2]NOTAS FISCAIS'!$E:$E)</f>
        <v>92618</v>
      </c>
      <c r="C158" s="2" t="s">
        <v>32</v>
      </c>
      <c r="D158" s="2" t="s">
        <v>245</v>
      </c>
      <c r="E158" s="2">
        <v>92618</v>
      </c>
      <c r="F158" s="2" t="s">
        <v>34</v>
      </c>
      <c r="G158" s="2" t="s">
        <v>16</v>
      </c>
      <c r="H158" s="2" t="s">
        <v>307</v>
      </c>
      <c r="I158" s="2">
        <v>7264</v>
      </c>
      <c r="J158" s="3">
        <v>18027520.760000002</v>
      </c>
      <c r="K158" s="7">
        <v>46136</v>
      </c>
      <c r="L158" s="2" t="s">
        <v>246</v>
      </c>
    </row>
    <row r="159" spans="1:12" hidden="1" x14ac:dyDescent="0.25">
      <c r="A159" s="2">
        <f>_xlfn.XLOOKUP(E159,[1]Sheet1!$B:$B,[1]Sheet1!$B:$B)</f>
        <v>92616</v>
      </c>
      <c r="B159" s="2" t="e">
        <f>_xlfn.XLOOKUP(E159,'[2]NOTAS FISCAIS'!$E:$E,'[2]NOTAS FISCAIS'!$E:$E)</f>
        <v>#N/A</v>
      </c>
      <c r="C159" s="2" t="s">
        <v>32</v>
      </c>
      <c r="D159" s="2" t="s">
        <v>247</v>
      </c>
      <c r="E159" s="2">
        <v>92616</v>
      </c>
      <c r="F159" s="2" t="s">
        <v>34</v>
      </c>
      <c r="G159" s="2" t="s">
        <v>16</v>
      </c>
      <c r="H159" s="2" t="s">
        <v>303</v>
      </c>
      <c r="I159" s="2">
        <v>1</v>
      </c>
      <c r="J159" s="3">
        <v>20527831.699999999</v>
      </c>
      <c r="K159" s="7">
        <v>46136</v>
      </c>
      <c r="L159" s="2" t="s">
        <v>157</v>
      </c>
    </row>
    <row r="160" spans="1:12" hidden="1" x14ac:dyDescent="0.25">
      <c r="A160" s="2">
        <f>_xlfn.XLOOKUP(E160,[1]Sheet1!$B:$B,[1]Sheet1!$B:$B)</f>
        <v>92563</v>
      </c>
      <c r="B160" s="2">
        <f>_xlfn.XLOOKUP(E160,'[2]NOTAS FISCAIS'!$E:$E,'[2]NOTAS FISCAIS'!$E:$E)</f>
        <v>92563</v>
      </c>
      <c r="C160" s="2" t="s">
        <v>32</v>
      </c>
      <c r="D160" s="2" t="s">
        <v>248</v>
      </c>
      <c r="E160" s="2">
        <v>92563</v>
      </c>
      <c r="F160" s="2" t="s">
        <v>34</v>
      </c>
      <c r="G160" s="2" t="s">
        <v>16</v>
      </c>
      <c r="H160" s="2" t="s">
        <v>305</v>
      </c>
      <c r="I160" s="2">
        <v>568</v>
      </c>
      <c r="J160" s="3">
        <v>9515</v>
      </c>
      <c r="K160" s="7">
        <v>46147</v>
      </c>
      <c r="L160" s="2" t="s">
        <v>115</v>
      </c>
    </row>
    <row r="161" spans="1:12" hidden="1" x14ac:dyDescent="0.25">
      <c r="A161" s="2">
        <f>_xlfn.XLOOKUP(E161,[1]Sheet1!$B:$B,[1]Sheet1!$B:$B)</f>
        <v>92477</v>
      </c>
      <c r="B161" s="2">
        <f>_xlfn.XLOOKUP(E161,'[2]NOTAS FISCAIS'!$E:$E,'[2]NOTAS FISCAIS'!$E:$E)</f>
        <v>92477</v>
      </c>
      <c r="C161" s="2" t="s">
        <v>32</v>
      </c>
      <c r="D161" s="2" t="s">
        <v>249</v>
      </c>
      <c r="E161" s="2">
        <v>92477</v>
      </c>
      <c r="F161" s="2" t="s">
        <v>167</v>
      </c>
      <c r="G161" s="2" t="s">
        <v>16</v>
      </c>
      <c r="H161" s="2" t="s">
        <v>300</v>
      </c>
      <c r="I161" s="2">
        <v>4807</v>
      </c>
      <c r="J161" s="3">
        <v>4300</v>
      </c>
      <c r="K161" s="7">
        <v>46147</v>
      </c>
      <c r="L161" s="2" t="s">
        <v>122</v>
      </c>
    </row>
    <row r="162" spans="1:12" hidden="1" x14ac:dyDescent="0.25">
      <c r="A162" s="2">
        <f>_xlfn.XLOOKUP(E162,[1]Sheet1!$B:$B,[1]Sheet1!$B:$B)</f>
        <v>92409</v>
      </c>
      <c r="B162" s="2">
        <f>_xlfn.XLOOKUP(E162,'[2]NOTAS FISCAIS'!$E:$E,'[2]NOTAS FISCAIS'!$E:$E)</f>
        <v>92409</v>
      </c>
      <c r="C162" s="2" t="s">
        <v>32</v>
      </c>
      <c r="D162" s="2" t="s">
        <v>250</v>
      </c>
      <c r="E162" s="2">
        <v>92409</v>
      </c>
      <c r="F162" s="2" t="s">
        <v>167</v>
      </c>
      <c r="G162" s="2" t="s">
        <v>16</v>
      </c>
      <c r="H162" s="2" t="s">
        <v>305</v>
      </c>
      <c r="I162" s="2">
        <v>1947471</v>
      </c>
      <c r="J162" s="3">
        <v>10619</v>
      </c>
      <c r="K162" s="7">
        <v>46147</v>
      </c>
      <c r="L162" s="2" t="s">
        <v>251</v>
      </c>
    </row>
    <row r="163" spans="1:12" hidden="1" x14ac:dyDescent="0.25">
      <c r="A163" s="2">
        <f>_xlfn.XLOOKUP(E163,[1]Sheet1!$B:$B,[1]Sheet1!$B:$B)</f>
        <v>92407</v>
      </c>
      <c r="B163" s="2">
        <f>_xlfn.XLOOKUP(E163,'[2]NOTAS FISCAIS'!$E:$E,'[2]NOTAS FISCAIS'!$E:$E)</f>
        <v>92407</v>
      </c>
      <c r="C163" s="2" t="s">
        <v>32</v>
      </c>
      <c r="D163" s="2" t="s">
        <v>252</v>
      </c>
      <c r="E163" s="2">
        <v>92407</v>
      </c>
      <c r="F163" s="2" t="s">
        <v>167</v>
      </c>
      <c r="G163" s="2" t="s">
        <v>16</v>
      </c>
      <c r="H163" s="2" t="s">
        <v>305</v>
      </c>
      <c r="I163" s="2">
        <v>2445</v>
      </c>
      <c r="J163" s="3">
        <v>16500</v>
      </c>
      <c r="K163" s="7">
        <v>46149</v>
      </c>
      <c r="L163" s="2" t="s">
        <v>130</v>
      </c>
    </row>
    <row r="164" spans="1:12" s="5" customFormat="1" hidden="1" x14ac:dyDescent="0.25">
      <c r="A164" s="5">
        <f>_xlfn.XLOOKUP(E164,[1]Sheet1!$B:$B,[1]Sheet1!$B:$B)</f>
        <v>92402</v>
      </c>
      <c r="B164" s="5">
        <f>_xlfn.XLOOKUP(E164,'[2]NOTAS FISCAIS'!$E:$E,'[2]NOTAS FISCAIS'!$E:$E)</f>
        <v>92402</v>
      </c>
      <c r="C164" s="5" t="s">
        <v>32</v>
      </c>
      <c r="D164" s="5" t="s">
        <v>253</v>
      </c>
      <c r="E164" s="5">
        <v>92402</v>
      </c>
      <c r="F164" s="2" t="s">
        <v>167</v>
      </c>
      <c r="G164" s="2" t="s">
        <v>16</v>
      </c>
      <c r="H164" s="2" t="s">
        <v>305</v>
      </c>
      <c r="I164" s="5">
        <v>3266</v>
      </c>
      <c r="J164" s="6">
        <v>4972</v>
      </c>
      <c r="K164" s="8">
        <v>46148</v>
      </c>
      <c r="L164" s="5" t="s">
        <v>72</v>
      </c>
    </row>
    <row r="165" spans="1:12" hidden="1" x14ac:dyDescent="0.25">
      <c r="A165" s="2">
        <f>_xlfn.XLOOKUP(E165,[1]Sheet1!$B:$B,[1]Sheet1!$B:$B)</f>
        <v>92400</v>
      </c>
      <c r="B165" s="2">
        <f>_xlfn.XLOOKUP(E165,'[2]NOTAS FISCAIS'!$E:$E,'[2]NOTAS FISCAIS'!$E:$E)</f>
        <v>92400</v>
      </c>
      <c r="C165" s="2" t="s">
        <v>32</v>
      </c>
      <c r="D165" s="2" t="s">
        <v>254</v>
      </c>
      <c r="E165" s="2">
        <v>92400</v>
      </c>
      <c r="F165" s="2" t="s">
        <v>167</v>
      </c>
      <c r="G165" s="2" t="s">
        <v>16</v>
      </c>
      <c r="H165" s="2" t="s">
        <v>305</v>
      </c>
      <c r="I165" s="2">
        <v>4852</v>
      </c>
      <c r="J165" s="3">
        <v>7099.2</v>
      </c>
      <c r="K165" s="7">
        <v>46146</v>
      </c>
      <c r="L165" s="2" t="s">
        <v>255</v>
      </c>
    </row>
    <row r="166" spans="1:12" hidden="1" x14ac:dyDescent="0.25">
      <c r="A166" s="2">
        <f>_xlfn.XLOOKUP(E166,[1]Sheet1!$B:$B,[1]Sheet1!$B:$B)</f>
        <v>92059</v>
      </c>
      <c r="B166" s="2">
        <f>_xlfn.XLOOKUP(E166,'[2]NOTAS FISCAIS'!$E:$E,'[2]NOTAS FISCAIS'!$E:$E)</f>
        <v>92059</v>
      </c>
      <c r="C166" s="2" t="s">
        <v>32</v>
      </c>
      <c r="D166" s="2" t="s">
        <v>256</v>
      </c>
      <c r="E166" s="2">
        <v>92059</v>
      </c>
      <c r="F166" s="2" t="s">
        <v>167</v>
      </c>
      <c r="G166" s="2" t="s">
        <v>16</v>
      </c>
      <c r="H166" s="2" t="s">
        <v>305</v>
      </c>
      <c r="I166" s="2">
        <v>728</v>
      </c>
      <c r="J166" s="3">
        <v>32280</v>
      </c>
      <c r="K166" s="7">
        <v>46142</v>
      </c>
      <c r="L166" s="2" t="s">
        <v>92</v>
      </c>
    </row>
    <row r="167" spans="1:12" hidden="1" x14ac:dyDescent="0.25">
      <c r="A167" s="2">
        <f>_xlfn.XLOOKUP(E167,[1]Sheet1!$B:$B,[1]Sheet1!$B:$B)</f>
        <v>92031</v>
      </c>
      <c r="B167" s="2">
        <f>_xlfn.XLOOKUP(E167,'[2]NOTAS FISCAIS'!$E:$E,'[2]NOTAS FISCAIS'!$E:$E)</f>
        <v>92031</v>
      </c>
      <c r="C167" s="2" t="s">
        <v>32</v>
      </c>
      <c r="D167" s="2" t="s">
        <v>257</v>
      </c>
      <c r="E167" s="2">
        <v>92031</v>
      </c>
      <c r="F167" s="2" t="s">
        <v>167</v>
      </c>
      <c r="G167" s="2" t="s">
        <v>16</v>
      </c>
      <c r="H167" s="2" t="s">
        <v>305</v>
      </c>
      <c r="I167" s="2">
        <v>5975</v>
      </c>
      <c r="J167" s="3">
        <v>6635</v>
      </c>
      <c r="K167" s="7">
        <v>46142</v>
      </c>
      <c r="L167" s="2" t="s">
        <v>238</v>
      </c>
    </row>
    <row r="168" spans="1:12" hidden="1" x14ac:dyDescent="0.25">
      <c r="A168" s="2">
        <f>_xlfn.XLOOKUP(E168,[1]Sheet1!$B:$B,[1]Sheet1!$B:$B)</f>
        <v>92019</v>
      </c>
      <c r="B168" s="2">
        <f>_xlfn.XLOOKUP(E168,'[2]NOTAS FISCAIS'!$E:$E,'[2]NOTAS FISCAIS'!$E:$E)</f>
        <v>92019</v>
      </c>
      <c r="C168" s="2" t="s">
        <v>32</v>
      </c>
      <c r="D168" s="2" t="s">
        <v>258</v>
      </c>
      <c r="E168" s="2">
        <v>92019</v>
      </c>
      <c r="F168" s="2" t="s">
        <v>167</v>
      </c>
      <c r="G168" s="2" t="s">
        <v>16</v>
      </c>
      <c r="H168" s="2" t="s">
        <v>305</v>
      </c>
      <c r="I168" s="2">
        <v>368600</v>
      </c>
      <c r="J168" s="3">
        <v>1367.37</v>
      </c>
      <c r="K168" s="7">
        <v>46139</v>
      </c>
      <c r="L168" s="2" t="s">
        <v>124</v>
      </c>
    </row>
    <row r="169" spans="1:12" hidden="1" x14ac:dyDescent="0.25">
      <c r="A169" s="2">
        <f>_xlfn.XLOOKUP(E169,[1]Sheet1!$B:$B,[1]Sheet1!$B:$B)</f>
        <v>92011</v>
      </c>
      <c r="B169" s="2">
        <f>_xlfn.XLOOKUP(E169,'[2]NOTAS FISCAIS'!$E:$E,'[2]NOTAS FISCAIS'!$E:$E)</f>
        <v>92011</v>
      </c>
      <c r="C169" s="2" t="s">
        <v>32</v>
      </c>
      <c r="D169" s="2" t="s">
        <v>259</v>
      </c>
      <c r="E169" s="2">
        <v>92011</v>
      </c>
      <c r="F169" s="2" t="s">
        <v>167</v>
      </c>
      <c r="G169" s="2" t="s">
        <v>16</v>
      </c>
      <c r="H169" s="2" t="s">
        <v>305</v>
      </c>
      <c r="I169" s="2">
        <v>5045</v>
      </c>
      <c r="J169" s="3">
        <v>795</v>
      </c>
      <c r="K169" s="7">
        <v>46143</v>
      </c>
      <c r="L169" s="2" t="s">
        <v>63</v>
      </c>
    </row>
    <row r="170" spans="1:12" hidden="1" x14ac:dyDescent="0.25">
      <c r="A170" s="2">
        <f>_xlfn.XLOOKUP(E170,[1]Sheet1!$B:$B,[1]Sheet1!$B:$B)</f>
        <v>92009</v>
      </c>
      <c r="B170" s="2">
        <f>_xlfn.XLOOKUP(E170,'[2]NOTAS FISCAIS'!$E:$E,'[2]NOTAS FISCAIS'!$E:$E)</f>
        <v>92009</v>
      </c>
      <c r="C170" s="2" t="s">
        <v>32</v>
      </c>
      <c r="D170" s="2" t="s">
        <v>260</v>
      </c>
      <c r="E170" s="2">
        <v>92009</v>
      </c>
      <c r="F170" s="2" t="s">
        <v>167</v>
      </c>
      <c r="G170" s="2" t="s">
        <v>16</v>
      </c>
      <c r="H170" s="2" t="s">
        <v>305</v>
      </c>
      <c r="I170" s="2">
        <v>15180</v>
      </c>
      <c r="J170" s="3">
        <v>183.06</v>
      </c>
      <c r="K170" s="7">
        <v>46141</v>
      </c>
      <c r="L170" s="2" t="s">
        <v>35</v>
      </c>
    </row>
    <row r="171" spans="1:12" hidden="1" x14ac:dyDescent="0.25">
      <c r="A171" s="2">
        <f>_xlfn.XLOOKUP(E171,[1]Sheet1!$B:$B,[1]Sheet1!$B:$B)</f>
        <v>91945</v>
      </c>
      <c r="B171" s="2" t="e">
        <f>_xlfn.XLOOKUP(E171,'[2]NOTAS FISCAIS'!$E:$E,'[2]NOTAS FISCAIS'!$E:$E)</f>
        <v>#N/A</v>
      </c>
      <c r="C171" s="2" t="s">
        <v>10</v>
      </c>
      <c r="D171" s="2" t="s">
        <v>261</v>
      </c>
      <c r="E171" s="2">
        <v>91945</v>
      </c>
      <c r="F171" s="2" t="s">
        <v>34</v>
      </c>
      <c r="G171" s="2" t="s">
        <v>16</v>
      </c>
      <c r="H171" s="2" t="s">
        <v>303</v>
      </c>
      <c r="I171" s="2">
        <v>7</v>
      </c>
      <c r="J171" s="3">
        <v>327.64</v>
      </c>
      <c r="K171" s="7">
        <v>46315</v>
      </c>
      <c r="L171" s="2" t="s">
        <v>117</v>
      </c>
    </row>
    <row r="172" spans="1:12" hidden="1" x14ac:dyDescent="0.25">
      <c r="A172" s="2">
        <f>_xlfn.XLOOKUP(E172,[1]Sheet1!$B:$B,[1]Sheet1!$B:$B)</f>
        <v>91944</v>
      </c>
      <c r="B172" s="2" t="e">
        <f>_xlfn.XLOOKUP(E172,'[2]NOTAS FISCAIS'!$E:$E,'[2]NOTAS FISCAIS'!$E:$E)</f>
        <v>#N/A</v>
      </c>
      <c r="C172" s="2" t="s">
        <v>10</v>
      </c>
      <c r="D172" s="2" t="s">
        <v>262</v>
      </c>
      <c r="E172" s="2">
        <v>91944</v>
      </c>
      <c r="F172" s="2" t="s">
        <v>34</v>
      </c>
      <c r="G172" s="2" t="s">
        <v>16</v>
      </c>
      <c r="H172" s="2" t="s">
        <v>303</v>
      </c>
      <c r="I172" s="2">
        <v>6</v>
      </c>
      <c r="J172" s="3">
        <v>6412.5</v>
      </c>
      <c r="K172" s="7">
        <v>46285</v>
      </c>
      <c r="L172" s="2" t="s">
        <v>117</v>
      </c>
    </row>
    <row r="173" spans="1:12" hidden="1" x14ac:dyDescent="0.25">
      <c r="A173" s="2">
        <f>_xlfn.XLOOKUP(E173,[1]Sheet1!$B:$B,[1]Sheet1!$B:$B)</f>
        <v>91943</v>
      </c>
      <c r="B173" s="2" t="e">
        <f>_xlfn.XLOOKUP(E173,'[2]NOTAS FISCAIS'!$E:$E,'[2]NOTAS FISCAIS'!$E:$E)</f>
        <v>#N/A</v>
      </c>
      <c r="C173" s="2" t="s">
        <v>10</v>
      </c>
      <c r="D173" s="2" t="s">
        <v>263</v>
      </c>
      <c r="E173" s="2">
        <v>91943</v>
      </c>
      <c r="F173" s="2" t="s">
        <v>34</v>
      </c>
      <c r="G173" s="2" t="s">
        <v>16</v>
      </c>
      <c r="H173" s="2" t="s">
        <v>303</v>
      </c>
      <c r="I173" s="2">
        <v>5</v>
      </c>
      <c r="J173" s="3">
        <v>6412.5</v>
      </c>
      <c r="K173" s="7">
        <v>46254</v>
      </c>
      <c r="L173" s="2" t="s">
        <v>117</v>
      </c>
    </row>
    <row r="174" spans="1:12" hidden="1" x14ac:dyDescent="0.25">
      <c r="A174" s="2">
        <f>_xlfn.XLOOKUP(E174,[1]Sheet1!$B:$B,[1]Sheet1!$B:$B)</f>
        <v>91942</v>
      </c>
      <c r="B174" s="2" t="e">
        <f>_xlfn.XLOOKUP(E174,'[2]NOTAS FISCAIS'!$E:$E,'[2]NOTAS FISCAIS'!$E:$E)</f>
        <v>#N/A</v>
      </c>
      <c r="C174" s="2" t="s">
        <v>10</v>
      </c>
      <c r="D174" s="2" t="s">
        <v>264</v>
      </c>
      <c r="E174" s="2">
        <v>91942</v>
      </c>
      <c r="F174" s="2" t="s">
        <v>34</v>
      </c>
      <c r="G174" s="2" t="s">
        <v>16</v>
      </c>
      <c r="H174" s="2" t="s">
        <v>303</v>
      </c>
      <c r="I174" s="2">
        <v>4</v>
      </c>
      <c r="J174" s="3">
        <v>6412.5</v>
      </c>
      <c r="K174" s="7">
        <v>46223</v>
      </c>
      <c r="L174" s="2" t="s">
        <v>117</v>
      </c>
    </row>
    <row r="175" spans="1:12" hidden="1" x14ac:dyDescent="0.25">
      <c r="A175" s="2">
        <f>_xlfn.XLOOKUP(E175,[1]Sheet1!$B:$B,[1]Sheet1!$B:$B)</f>
        <v>91941</v>
      </c>
      <c r="B175" s="2" t="e">
        <f>_xlfn.XLOOKUP(E175,'[2]NOTAS FISCAIS'!$E:$E,'[2]NOTAS FISCAIS'!$E:$E)</f>
        <v>#N/A</v>
      </c>
      <c r="C175" s="2" t="s">
        <v>10</v>
      </c>
      <c r="D175" s="2" t="s">
        <v>265</v>
      </c>
      <c r="E175" s="2">
        <v>91941</v>
      </c>
      <c r="F175" s="2" t="s">
        <v>34</v>
      </c>
      <c r="G175" s="2" t="s">
        <v>16</v>
      </c>
      <c r="H175" s="2" t="s">
        <v>303</v>
      </c>
      <c r="I175" s="2">
        <v>3</v>
      </c>
      <c r="J175" s="3">
        <v>43605</v>
      </c>
      <c r="K175" s="7">
        <v>46193</v>
      </c>
      <c r="L175" s="2" t="s">
        <v>117</v>
      </c>
    </row>
    <row r="176" spans="1:12" hidden="1" x14ac:dyDescent="0.25">
      <c r="A176" s="2">
        <f>_xlfn.XLOOKUP(E176,[1]Sheet1!$B:$B,[1]Sheet1!$B:$B)</f>
        <v>94661</v>
      </c>
      <c r="B176" s="2" t="e">
        <f>_xlfn.XLOOKUP(E176,'[2]NOTAS FISCAIS'!$E:$E,'[2]NOTAS FISCAIS'!$E:$E)</f>
        <v>#N/A</v>
      </c>
      <c r="C176" s="2" t="s">
        <v>32</v>
      </c>
      <c r="D176" s="2" t="s">
        <v>97</v>
      </c>
      <c r="E176" s="10">
        <v>94661</v>
      </c>
      <c r="F176" s="2" t="s">
        <v>34</v>
      </c>
      <c r="G176" s="2" t="s">
        <v>16</v>
      </c>
      <c r="H176" s="2" t="s">
        <v>305</v>
      </c>
      <c r="I176" s="2">
        <v>7370</v>
      </c>
      <c r="J176" s="3">
        <v>2439.6</v>
      </c>
      <c r="K176" s="7">
        <v>46183</v>
      </c>
      <c r="L176" s="2" t="s">
        <v>43</v>
      </c>
    </row>
    <row r="177" spans="1:12" hidden="1" x14ac:dyDescent="0.25">
      <c r="A177" s="2">
        <f>_xlfn.XLOOKUP(E177,[1]Sheet1!$B:$B,[1]Sheet1!$B:$B)</f>
        <v>91938</v>
      </c>
      <c r="B177" s="2" t="e">
        <f>_xlfn.XLOOKUP(E177,'[2]NOTAS FISCAIS'!$E:$E,'[2]NOTAS FISCAIS'!$E:$E)</f>
        <v>#N/A</v>
      </c>
      <c r="C177" s="2" t="s">
        <v>32</v>
      </c>
      <c r="D177" s="2" t="s">
        <v>267</v>
      </c>
      <c r="E177" s="2">
        <v>91938</v>
      </c>
      <c r="F177" s="2" t="s">
        <v>167</v>
      </c>
      <c r="G177" s="2" t="s">
        <v>16</v>
      </c>
      <c r="H177" s="2" t="s">
        <v>303</v>
      </c>
      <c r="I177" s="2">
        <v>1</v>
      </c>
      <c r="J177" s="3">
        <v>58140</v>
      </c>
      <c r="K177" s="7">
        <v>46132</v>
      </c>
      <c r="L177" s="2" t="s">
        <v>117</v>
      </c>
    </row>
    <row r="178" spans="1:12" hidden="1" x14ac:dyDescent="0.25">
      <c r="A178" s="2">
        <f>_xlfn.XLOOKUP(E178,[1]Sheet1!$B:$B,[1]Sheet1!$B:$B)</f>
        <v>91931</v>
      </c>
      <c r="B178" s="2">
        <f>_xlfn.XLOOKUP(E178,'[2]NOTAS FISCAIS'!$E:$E,'[2]NOTAS FISCAIS'!$E:$E)</f>
        <v>91931</v>
      </c>
      <c r="C178" s="2" t="s">
        <v>32</v>
      </c>
      <c r="D178" s="2" t="s">
        <v>268</v>
      </c>
      <c r="E178" s="2">
        <v>91931</v>
      </c>
      <c r="F178" s="2" t="s">
        <v>167</v>
      </c>
      <c r="G178" s="2" t="s">
        <v>16</v>
      </c>
      <c r="H178" s="2" t="s">
        <v>300</v>
      </c>
      <c r="I178" s="2">
        <v>2995</v>
      </c>
      <c r="J178" s="3">
        <v>2300</v>
      </c>
      <c r="K178" s="7">
        <v>46147</v>
      </c>
      <c r="L178" s="2" t="s">
        <v>155</v>
      </c>
    </row>
    <row r="179" spans="1:12" hidden="1" x14ac:dyDescent="0.25">
      <c r="A179" s="2">
        <f>_xlfn.XLOOKUP(E179,[1]Sheet1!$B:$B,[1]Sheet1!$B:$B)</f>
        <v>91908</v>
      </c>
      <c r="B179" s="2">
        <f>_xlfn.XLOOKUP(E179,'[2]NOTAS FISCAIS'!$E:$E,'[2]NOTAS FISCAIS'!$E:$E)</f>
        <v>91908</v>
      </c>
      <c r="C179" s="2" t="s">
        <v>32</v>
      </c>
      <c r="D179" s="2" t="s">
        <v>269</v>
      </c>
      <c r="E179" s="2">
        <v>91908</v>
      </c>
      <c r="F179" s="2" t="s">
        <v>167</v>
      </c>
      <c r="G179" s="2" t="s">
        <v>16</v>
      </c>
      <c r="H179" s="2" t="s">
        <v>305</v>
      </c>
      <c r="I179" s="2">
        <v>254322</v>
      </c>
      <c r="J179" s="3">
        <v>40745.599999999999</v>
      </c>
      <c r="K179" s="7">
        <v>46129</v>
      </c>
      <c r="L179" s="2" t="s">
        <v>47</v>
      </c>
    </row>
    <row r="180" spans="1:12" hidden="1" x14ac:dyDescent="0.25">
      <c r="A180" s="2">
        <f>_xlfn.XLOOKUP(E180,[1]Sheet1!$B:$B,[1]Sheet1!$B:$B)</f>
        <v>91905</v>
      </c>
      <c r="B180" s="2">
        <f>_xlfn.XLOOKUP(E180,'[2]NOTAS FISCAIS'!$E:$E,'[2]NOTAS FISCAIS'!$E:$E)</f>
        <v>91905</v>
      </c>
      <c r="C180" s="2" t="s">
        <v>32</v>
      </c>
      <c r="D180" s="2" t="s">
        <v>270</v>
      </c>
      <c r="E180" s="2">
        <v>91905</v>
      </c>
      <c r="F180" s="2" t="s">
        <v>167</v>
      </c>
      <c r="G180" s="2" t="s">
        <v>16</v>
      </c>
      <c r="H180" s="2" t="s">
        <v>305</v>
      </c>
      <c r="I180" s="2">
        <v>254321</v>
      </c>
      <c r="J180" s="3">
        <v>42224</v>
      </c>
      <c r="K180" s="7">
        <v>46129</v>
      </c>
      <c r="L180" s="2" t="s">
        <v>47</v>
      </c>
    </row>
    <row r="181" spans="1:12" hidden="1" x14ac:dyDescent="0.25">
      <c r="A181" s="2">
        <f>_xlfn.XLOOKUP(E181,[1]Sheet1!$B:$B,[1]Sheet1!$B:$B)</f>
        <v>91903</v>
      </c>
      <c r="B181" s="2">
        <f>_xlfn.XLOOKUP(E181,'[2]NOTAS FISCAIS'!$E:$E,'[2]NOTAS FISCAIS'!$E:$E)</f>
        <v>91903</v>
      </c>
      <c r="C181" s="2" t="s">
        <v>32</v>
      </c>
      <c r="D181" s="2" t="s">
        <v>271</v>
      </c>
      <c r="E181" s="2">
        <v>91903</v>
      </c>
      <c r="F181" s="2" t="s">
        <v>167</v>
      </c>
      <c r="G181" s="2" t="s">
        <v>16</v>
      </c>
      <c r="H181" s="2" t="s">
        <v>305</v>
      </c>
      <c r="I181" s="2">
        <v>254319</v>
      </c>
      <c r="J181" s="3">
        <v>15575</v>
      </c>
      <c r="K181" s="7">
        <v>46129</v>
      </c>
      <c r="L181" s="2" t="s">
        <v>47</v>
      </c>
    </row>
    <row r="182" spans="1:12" hidden="1" x14ac:dyDescent="0.25">
      <c r="A182" s="2">
        <f>_xlfn.XLOOKUP(E182,[1]Sheet1!$B:$B,[1]Sheet1!$B:$B)</f>
        <v>91535</v>
      </c>
      <c r="B182" s="2">
        <f>_xlfn.XLOOKUP(E182,'[2]NOTAS FISCAIS'!$E:$E,'[2]NOTAS FISCAIS'!$E:$E)</f>
        <v>91535</v>
      </c>
      <c r="C182" s="2" t="s">
        <v>32</v>
      </c>
      <c r="D182" s="2" t="s">
        <v>272</v>
      </c>
      <c r="E182" s="2">
        <v>91535</v>
      </c>
      <c r="F182" s="2" t="s">
        <v>167</v>
      </c>
      <c r="G182" s="2" t="s">
        <v>16</v>
      </c>
      <c r="H182" s="2" t="s">
        <v>300</v>
      </c>
      <c r="I182" s="2">
        <v>1441</v>
      </c>
      <c r="J182" s="3">
        <v>2032122.79</v>
      </c>
      <c r="K182" s="7">
        <v>46112</v>
      </c>
      <c r="L182" s="2" t="s">
        <v>236</v>
      </c>
    </row>
    <row r="183" spans="1:12" hidden="1" x14ac:dyDescent="0.25">
      <c r="A183" s="2">
        <f>_xlfn.XLOOKUP(E183,[1]Sheet1!$B:$B,[1]Sheet1!$B:$B)</f>
        <v>91400</v>
      </c>
      <c r="B183" s="2" t="e">
        <f>_xlfn.XLOOKUP(E183,'[2]NOTAS FISCAIS'!$E:$E,'[2]NOTAS FISCAIS'!$E:$E)</f>
        <v>#N/A</v>
      </c>
      <c r="C183" s="2" t="s">
        <v>10</v>
      </c>
      <c r="D183" s="2" t="s">
        <v>273</v>
      </c>
      <c r="E183" s="2">
        <v>91400</v>
      </c>
      <c r="F183" s="2" t="s">
        <v>34</v>
      </c>
      <c r="G183" s="2" t="s">
        <v>16</v>
      </c>
      <c r="H183" s="2" t="s">
        <v>301</v>
      </c>
      <c r="I183" s="2" t="s">
        <v>313</v>
      </c>
      <c r="J183" s="3">
        <v>71744.899999999994</v>
      </c>
      <c r="K183" s="7">
        <v>46541</v>
      </c>
      <c r="L183" s="2" t="s">
        <v>182</v>
      </c>
    </row>
    <row r="184" spans="1:12" hidden="1" x14ac:dyDescent="0.25">
      <c r="A184" s="2">
        <f>_xlfn.XLOOKUP(E184,[1]Sheet1!$B:$B,[1]Sheet1!$B:$B)</f>
        <v>91399</v>
      </c>
      <c r="B184" s="2">
        <f>_xlfn.XLOOKUP(E184,'[2]NOTAS FISCAIS'!$E:$E,'[2]NOTAS FISCAIS'!$E:$E)</f>
        <v>91399</v>
      </c>
      <c r="C184" s="2" t="s">
        <v>32</v>
      </c>
      <c r="D184" s="2" t="s">
        <v>273</v>
      </c>
      <c r="E184" s="2">
        <v>91399</v>
      </c>
      <c r="F184" s="2" t="s">
        <v>167</v>
      </c>
      <c r="G184" s="2" t="s">
        <v>16</v>
      </c>
      <c r="H184" s="2" t="s">
        <v>300</v>
      </c>
      <c r="I184" s="2">
        <v>20261156</v>
      </c>
      <c r="J184" s="3">
        <v>980752.75</v>
      </c>
      <c r="K184" s="7">
        <v>46118</v>
      </c>
      <c r="L184" s="2" t="s">
        <v>182</v>
      </c>
    </row>
    <row r="185" spans="1:12" hidden="1" x14ac:dyDescent="0.25">
      <c r="A185" s="2">
        <f>_xlfn.XLOOKUP(E185,[1]Sheet1!$B:$B,[1]Sheet1!$B:$B)</f>
        <v>91371</v>
      </c>
      <c r="B185" s="2">
        <f>_xlfn.XLOOKUP(E185,'[2]NOTAS FISCAIS'!$E:$E,'[2]NOTAS FISCAIS'!$E:$E)</f>
        <v>91371</v>
      </c>
      <c r="C185" s="2" t="s">
        <v>32</v>
      </c>
      <c r="D185" s="2" t="s">
        <v>274</v>
      </c>
      <c r="E185" s="2">
        <v>91371</v>
      </c>
      <c r="F185" s="2" t="s">
        <v>167</v>
      </c>
      <c r="G185" s="2" t="s">
        <v>16</v>
      </c>
      <c r="H185" s="2" t="s">
        <v>300</v>
      </c>
      <c r="I185" s="2">
        <v>175</v>
      </c>
      <c r="J185" s="3">
        <v>1212238.26</v>
      </c>
      <c r="K185" s="7">
        <v>46108</v>
      </c>
      <c r="L185" s="2" t="s">
        <v>14</v>
      </c>
    </row>
    <row r="186" spans="1:12" hidden="1" x14ac:dyDescent="0.25">
      <c r="A186" s="2">
        <f>_xlfn.XLOOKUP(E186,[1]Sheet1!$B:$B,[1]Sheet1!$B:$B)</f>
        <v>91327</v>
      </c>
      <c r="B186" s="2" t="e">
        <f>_xlfn.XLOOKUP(E186,'[2]NOTAS FISCAIS'!$E:$E,'[2]NOTAS FISCAIS'!$E:$E)</f>
        <v>#N/A</v>
      </c>
      <c r="C186" s="2" t="s">
        <v>32</v>
      </c>
      <c r="D186" s="2" t="s">
        <v>275</v>
      </c>
      <c r="E186" s="2">
        <v>91327</v>
      </c>
      <c r="F186" s="2" t="s">
        <v>34</v>
      </c>
      <c r="G186" s="2" t="s">
        <v>16</v>
      </c>
      <c r="H186" s="2" t="s">
        <v>301</v>
      </c>
      <c r="I186" s="2" t="s">
        <v>302</v>
      </c>
      <c r="J186" s="3">
        <v>1828.82</v>
      </c>
      <c r="K186" s="7">
        <v>46477</v>
      </c>
      <c r="L186" s="2" t="s">
        <v>17</v>
      </c>
    </row>
    <row r="187" spans="1:12" hidden="1" x14ac:dyDescent="0.25">
      <c r="A187" s="2">
        <f>_xlfn.XLOOKUP(E187,[1]Sheet1!$B:$B,[1]Sheet1!$B:$B)</f>
        <v>91326</v>
      </c>
      <c r="B187" s="2">
        <f>_xlfn.XLOOKUP(E187,'[2]NOTAS FISCAIS'!$E:$E,'[2]NOTAS FISCAIS'!$E:$E)</f>
        <v>91326</v>
      </c>
      <c r="C187" s="2" t="s">
        <v>32</v>
      </c>
      <c r="D187" s="2" t="s">
        <v>275</v>
      </c>
      <c r="E187" s="2">
        <v>91326</v>
      </c>
      <c r="F187" s="2" t="s">
        <v>167</v>
      </c>
      <c r="G187" s="2" t="s">
        <v>16</v>
      </c>
      <c r="H187" s="2" t="s">
        <v>300</v>
      </c>
      <c r="I187" s="2">
        <v>2026376</v>
      </c>
      <c r="J187" s="3">
        <v>32918.71</v>
      </c>
      <c r="K187" s="7">
        <v>46117</v>
      </c>
      <c r="L187" s="2" t="s">
        <v>17</v>
      </c>
    </row>
    <row r="188" spans="1:12" hidden="1" x14ac:dyDescent="0.25">
      <c r="A188" s="2">
        <f>_xlfn.XLOOKUP(E188,[1]Sheet1!$B:$B,[1]Sheet1!$B:$B)</f>
        <v>91298</v>
      </c>
      <c r="B188" s="2" t="e">
        <f>_xlfn.XLOOKUP(E188,'[2]NOTAS FISCAIS'!$E:$E,'[2]NOTAS FISCAIS'!$E:$E)</f>
        <v>#N/A</v>
      </c>
      <c r="C188" s="2" t="s">
        <v>10</v>
      </c>
      <c r="D188" s="2" t="s">
        <v>277</v>
      </c>
      <c r="E188" s="2">
        <v>91298</v>
      </c>
      <c r="F188" s="2" t="s">
        <v>34</v>
      </c>
      <c r="G188" s="2" t="s">
        <v>16</v>
      </c>
      <c r="H188" s="2" t="s">
        <v>301</v>
      </c>
      <c r="I188" s="2" t="s">
        <v>310</v>
      </c>
      <c r="J188" s="3">
        <v>12988.18</v>
      </c>
      <c r="K188" s="7">
        <v>46598</v>
      </c>
      <c r="L188" s="2" t="s">
        <v>14</v>
      </c>
    </row>
    <row r="189" spans="1:12" hidden="1" x14ac:dyDescent="0.25">
      <c r="A189" s="2">
        <f>_xlfn.XLOOKUP(E189,[1]Sheet1!$B:$B,[1]Sheet1!$B:$B)</f>
        <v>91297</v>
      </c>
      <c r="B189" s="2">
        <f>_xlfn.XLOOKUP(E189,'[2]NOTAS FISCAIS'!$E:$E,'[2]NOTAS FISCAIS'!$E:$E)</f>
        <v>91297</v>
      </c>
      <c r="C189" s="2" t="s">
        <v>32</v>
      </c>
      <c r="D189" s="2" t="s">
        <v>276</v>
      </c>
      <c r="E189" s="2">
        <v>91297</v>
      </c>
      <c r="F189" s="2" t="s">
        <v>167</v>
      </c>
      <c r="G189" s="2" t="s">
        <v>16</v>
      </c>
      <c r="H189" s="2" t="s">
        <v>300</v>
      </c>
      <c r="I189" s="2">
        <v>170</v>
      </c>
      <c r="J189" s="3">
        <v>128672.14</v>
      </c>
      <c r="K189" s="7">
        <v>46108</v>
      </c>
      <c r="L189" s="2" t="s">
        <v>14</v>
      </c>
    </row>
    <row r="190" spans="1:12" hidden="1" x14ac:dyDescent="0.25">
      <c r="A190" s="2">
        <f>_xlfn.XLOOKUP(E190,[1]Sheet1!$B:$B,[1]Sheet1!$B:$B)</f>
        <v>91289</v>
      </c>
      <c r="B190" s="2">
        <f>_xlfn.XLOOKUP(E190,'[2]NOTAS FISCAIS'!$E:$E,'[2]NOTAS FISCAIS'!$E:$E)</f>
        <v>91289</v>
      </c>
      <c r="C190" s="2" t="s">
        <v>32</v>
      </c>
      <c r="D190" s="2" t="s">
        <v>278</v>
      </c>
      <c r="E190" s="2">
        <v>91289</v>
      </c>
      <c r="F190" s="2" t="s">
        <v>167</v>
      </c>
      <c r="G190" s="2" t="s">
        <v>16</v>
      </c>
      <c r="H190" s="2" t="s">
        <v>300</v>
      </c>
      <c r="I190" s="2">
        <v>169</v>
      </c>
      <c r="J190" s="3">
        <v>862284.15</v>
      </c>
      <c r="K190" s="7">
        <v>46108</v>
      </c>
      <c r="L190" s="2" t="s">
        <v>14</v>
      </c>
    </row>
    <row r="191" spans="1:12" hidden="1" x14ac:dyDescent="0.25">
      <c r="A191" s="2">
        <f>_xlfn.XLOOKUP(E191,[1]Sheet1!$B:$B,[1]Sheet1!$B:$B)</f>
        <v>91287</v>
      </c>
      <c r="B191" s="2" t="e">
        <f>_xlfn.XLOOKUP(E191,'[2]NOTAS FISCAIS'!$E:$E,'[2]NOTAS FISCAIS'!$E:$E)</f>
        <v>#N/A</v>
      </c>
      <c r="C191" s="2" t="s">
        <v>10</v>
      </c>
      <c r="D191" s="2" t="s">
        <v>280</v>
      </c>
      <c r="E191" s="2">
        <v>91287</v>
      </c>
      <c r="F191" s="2" t="s">
        <v>34</v>
      </c>
      <c r="G191" s="2" t="s">
        <v>16</v>
      </c>
      <c r="H191" s="2" t="s">
        <v>301</v>
      </c>
      <c r="I191" s="2" t="s">
        <v>310</v>
      </c>
      <c r="J191" s="3">
        <v>3868.43</v>
      </c>
      <c r="K191" s="7">
        <v>46598</v>
      </c>
      <c r="L191" s="2" t="s">
        <v>14</v>
      </c>
    </row>
    <row r="192" spans="1:12" hidden="1" x14ac:dyDescent="0.25">
      <c r="A192" s="2">
        <f>_xlfn.XLOOKUP(E192,[1]Sheet1!$B:$B,[1]Sheet1!$B:$B)</f>
        <v>91286</v>
      </c>
      <c r="B192" s="2">
        <f>_xlfn.XLOOKUP(E192,'[2]NOTAS FISCAIS'!$E:$E,'[2]NOTAS FISCAIS'!$E:$E)</f>
        <v>91286</v>
      </c>
      <c r="C192" s="2" t="s">
        <v>32</v>
      </c>
      <c r="D192" s="2" t="s">
        <v>279</v>
      </c>
      <c r="E192" s="2">
        <v>91286</v>
      </c>
      <c r="F192" s="2" t="s">
        <v>167</v>
      </c>
      <c r="G192" s="2" t="s">
        <v>16</v>
      </c>
      <c r="H192" s="2" t="s">
        <v>300</v>
      </c>
      <c r="I192" s="2">
        <v>168</v>
      </c>
      <c r="J192" s="3">
        <v>51959.6</v>
      </c>
      <c r="K192" s="7">
        <v>46108</v>
      </c>
      <c r="L192" s="2" t="s">
        <v>14</v>
      </c>
    </row>
    <row r="193" spans="1:12" hidden="1" x14ac:dyDescent="0.25">
      <c r="A193" s="2">
        <f>_xlfn.XLOOKUP(E193,[1]Sheet1!$B:$B,[1]Sheet1!$B:$B)</f>
        <v>91283</v>
      </c>
      <c r="B193" s="2" t="e">
        <f>_xlfn.XLOOKUP(E193,'[2]NOTAS FISCAIS'!$E:$E,'[2]NOTAS FISCAIS'!$E:$E)</f>
        <v>#N/A</v>
      </c>
      <c r="C193" s="2" t="s">
        <v>10</v>
      </c>
      <c r="D193" s="2" t="s">
        <v>281</v>
      </c>
      <c r="E193" s="2">
        <v>91283</v>
      </c>
      <c r="F193" s="2" t="s">
        <v>34</v>
      </c>
      <c r="G193" s="2" t="s">
        <v>13</v>
      </c>
      <c r="H193" s="2" t="s">
        <v>301</v>
      </c>
      <c r="I193" s="2" t="s">
        <v>311</v>
      </c>
      <c r="J193" s="3">
        <v>561.72</v>
      </c>
      <c r="K193" s="7">
        <v>46599</v>
      </c>
      <c r="L193" s="2" t="s">
        <v>14</v>
      </c>
    </row>
    <row r="194" spans="1:12" hidden="1" x14ac:dyDescent="0.25">
      <c r="A194" s="2">
        <f>_xlfn.XLOOKUP(E194,[1]Sheet1!$B:$B,[1]Sheet1!$B:$B)</f>
        <v>91280</v>
      </c>
      <c r="B194" s="2" t="e">
        <f>_xlfn.XLOOKUP(E194,'[2]NOTAS FISCAIS'!$E:$E,'[2]NOTAS FISCAIS'!$E:$E)</f>
        <v>#N/A</v>
      </c>
      <c r="C194" s="2" t="s">
        <v>10</v>
      </c>
      <c r="D194" s="2" t="s">
        <v>282</v>
      </c>
      <c r="E194" s="2">
        <v>91280</v>
      </c>
      <c r="F194" s="2" t="s">
        <v>34</v>
      </c>
      <c r="G194" s="2" t="s">
        <v>13</v>
      </c>
      <c r="H194" s="2" t="s">
        <v>301</v>
      </c>
      <c r="I194" s="2" t="s">
        <v>311</v>
      </c>
      <c r="J194" s="3">
        <v>561.72</v>
      </c>
      <c r="K194" s="7">
        <v>46599</v>
      </c>
      <c r="L194" s="2" t="s">
        <v>14</v>
      </c>
    </row>
    <row r="195" spans="1:12" hidden="1" x14ac:dyDescent="0.25">
      <c r="A195" s="2">
        <f>_xlfn.XLOOKUP(E195,[1]Sheet1!$B:$B,[1]Sheet1!$B:$B)</f>
        <v>91268</v>
      </c>
      <c r="B195" s="2">
        <f>_xlfn.XLOOKUP(E195,'[2]NOTAS FISCAIS'!$E:$E,'[2]NOTAS FISCAIS'!$E:$E)</f>
        <v>91268</v>
      </c>
      <c r="C195" s="2" t="s">
        <v>32</v>
      </c>
      <c r="D195" s="2" t="s">
        <v>283</v>
      </c>
      <c r="E195" s="2">
        <v>91268</v>
      </c>
      <c r="F195" s="2" t="s">
        <v>167</v>
      </c>
      <c r="G195" s="2" t="s">
        <v>16</v>
      </c>
      <c r="H195" s="2" t="s">
        <v>300</v>
      </c>
      <c r="I195" s="2">
        <v>47</v>
      </c>
      <c r="J195" s="3">
        <v>9787.5</v>
      </c>
      <c r="K195" s="7">
        <v>46113</v>
      </c>
      <c r="L195" s="2" t="s">
        <v>212</v>
      </c>
    </row>
    <row r="196" spans="1:12" hidden="1" x14ac:dyDescent="0.25">
      <c r="A196" s="2">
        <f>_xlfn.XLOOKUP(E196,[1]Sheet1!$B:$B,[1]Sheet1!$B:$B)</f>
        <v>91165</v>
      </c>
      <c r="B196" s="2">
        <f>_xlfn.XLOOKUP(E196,'[2]NOTAS FISCAIS'!$E:$E,'[2]NOTAS FISCAIS'!$E:$E)</f>
        <v>91165</v>
      </c>
      <c r="C196" s="2" t="s">
        <v>32</v>
      </c>
      <c r="D196" s="2" t="s">
        <v>284</v>
      </c>
      <c r="E196" s="2">
        <v>91165</v>
      </c>
      <c r="F196" s="2" t="s">
        <v>285</v>
      </c>
      <c r="G196" s="2" t="s">
        <v>16</v>
      </c>
      <c r="H196" s="2" t="s">
        <v>316</v>
      </c>
      <c r="I196" s="2">
        <v>31</v>
      </c>
      <c r="J196" s="3">
        <v>7000</v>
      </c>
      <c r="K196" s="7">
        <v>46117</v>
      </c>
      <c r="L196" s="2" t="s">
        <v>286</v>
      </c>
    </row>
    <row r="197" spans="1:12" s="5" customFormat="1" hidden="1" x14ac:dyDescent="0.25">
      <c r="A197" s="5">
        <f>_xlfn.XLOOKUP(E197,[1]Sheet1!$B:$B,[1]Sheet1!$B:$B)</f>
        <v>91079</v>
      </c>
      <c r="B197" s="5">
        <f>_xlfn.XLOOKUP(E197,'[2]NOTAS FISCAIS'!$E:$E,'[2]NOTAS FISCAIS'!$E:$E)</f>
        <v>91079</v>
      </c>
      <c r="C197" s="5" t="s">
        <v>32</v>
      </c>
      <c r="D197" s="5" t="s">
        <v>287</v>
      </c>
      <c r="E197" s="5">
        <v>91079</v>
      </c>
      <c r="F197" s="5" t="s">
        <v>285</v>
      </c>
      <c r="G197" s="5" t="s">
        <v>16</v>
      </c>
      <c r="H197" s="5" t="s">
        <v>316</v>
      </c>
      <c r="I197" s="5">
        <v>6653</v>
      </c>
      <c r="J197" s="6">
        <v>11921</v>
      </c>
      <c r="K197" s="8">
        <v>46134</v>
      </c>
      <c r="L197" s="5" t="s">
        <v>31</v>
      </c>
    </row>
    <row r="198" spans="1:12" hidden="1" x14ac:dyDescent="0.25">
      <c r="A198" s="2">
        <f>_xlfn.XLOOKUP(E198,[1]Sheet1!$B:$B,[1]Sheet1!$B:$B)</f>
        <v>90381</v>
      </c>
      <c r="B198" s="2">
        <f>_xlfn.XLOOKUP(E198,'[2]NOTAS FISCAIS'!$E:$E,'[2]NOTAS FISCAIS'!$E:$E)</f>
        <v>90381</v>
      </c>
      <c r="C198" s="2" t="s">
        <v>32</v>
      </c>
      <c r="D198" s="2" t="s">
        <v>288</v>
      </c>
      <c r="E198" s="2">
        <v>90381</v>
      </c>
      <c r="F198" s="2" t="s">
        <v>167</v>
      </c>
      <c r="G198" s="2" t="s">
        <v>16</v>
      </c>
      <c r="H198" s="2" t="s">
        <v>316</v>
      </c>
      <c r="I198" s="2">
        <v>1309</v>
      </c>
      <c r="J198" s="3">
        <v>5920.95</v>
      </c>
      <c r="K198" s="7">
        <v>46122</v>
      </c>
      <c r="L198" s="2" t="s">
        <v>136</v>
      </c>
    </row>
    <row r="199" spans="1:12" hidden="1" x14ac:dyDescent="0.25">
      <c r="A199" s="2">
        <f>_xlfn.XLOOKUP(E199,[1]Sheet1!$B:$B,[1]Sheet1!$B:$B)</f>
        <v>90348</v>
      </c>
      <c r="B199" s="2">
        <f>_xlfn.XLOOKUP(E199,'[2]NOTAS FISCAIS'!$E:$E,'[2]NOTAS FISCAIS'!$E:$E)</f>
        <v>90348</v>
      </c>
      <c r="C199" s="2" t="s">
        <v>32</v>
      </c>
      <c r="D199" s="2" t="s">
        <v>289</v>
      </c>
      <c r="E199" s="2">
        <v>90348</v>
      </c>
      <c r="F199" s="2" t="s">
        <v>167</v>
      </c>
      <c r="G199" s="2" t="s">
        <v>16</v>
      </c>
      <c r="H199" s="2" t="s">
        <v>316</v>
      </c>
      <c r="I199" s="2">
        <v>20262415</v>
      </c>
      <c r="J199" s="3">
        <v>75000</v>
      </c>
      <c r="K199" s="7">
        <v>46122</v>
      </c>
      <c r="L199" s="2" t="s">
        <v>24</v>
      </c>
    </row>
    <row r="200" spans="1:12" hidden="1" x14ac:dyDescent="0.25">
      <c r="A200" s="2">
        <f>_xlfn.XLOOKUP(E200,[1]Sheet1!$B:$B,[1]Sheet1!$B:$B)</f>
        <v>90338</v>
      </c>
      <c r="B200" s="2">
        <f>_xlfn.XLOOKUP(E200,'[2]NOTAS FISCAIS'!$E:$E,'[2]NOTAS FISCAIS'!$E:$E)</f>
        <v>90338</v>
      </c>
      <c r="C200" s="2" t="s">
        <v>32</v>
      </c>
      <c r="D200" s="2" t="s">
        <v>290</v>
      </c>
      <c r="E200" s="2">
        <v>90338</v>
      </c>
      <c r="F200" s="2" t="s">
        <v>167</v>
      </c>
      <c r="G200" s="2" t="s">
        <v>16</v>
      </c>
      <c r="H200" s="2" t="s">
        <v>316</v>
      </c>
      <c r="I200" s="2">
        <v>8932</v>
      </c>
      <c r="J200" s="3">
        <v>73200</v>
      </c>
      <c r="K200" s="7">
        <v>46122</v>
      </c>
      <c r="L200" s="2" t="s">
        <v>216</v>
      </c>
    </row>
    <row r="201" spans="1:12" hidden="1" x14ac:dyDescent="0.25">
      <c r="A201" s="2">
        <f>_xlfn.XLOOKUP(E201,[1]Sheet1!$B:$B,[1]Sheet1!$B:$B)</f>
        <v>90337</v>
      </c>
      <c r="B201" s="2">
        <f>_xlfn.XLOOKUP(E201,'[2]NOTAS FISCAIS'!$E:$E,'[2]NOTAS FISCAIS'!$E:$E)</f>
        <v>90337</v>
      </c>
      <c r="C201" s="2" t="s">
        <v>32</v>
      </c>
      <c r="D201" s="2" t="s">
        <v>291</v>
      </c>
      <c r="E201" s="2">
        <v>90337</v>
      </c>
      <c r="F201" s="2" t="s">
        <v>167</v>
      </c>
      <c r="G201" s="2" t="s">
        <v>16</v>
      </c>
      <c r="H201" s="2" t="s">
        <v>316</v>
      </c>
      <c r="I201" s="2">
        <v>1322</v>
      </c>
      <c r="J201" s="3">
        <v>90000</v>
      </c>
      <c r="K201" s="7">
        <v>46122</v>
      </c>
      <c r="L201" s="2" t="s">
        <v>186</v>
      </c>
    </row>
    <row r="202" spans="1:12" hidden="1" x14ac:dyDescent="0.25">
      <c r="A202" s="2">
        <f>_xlfn.XLOOKUP(E202,[1]Sheet1!$B:$B,[1]Sheet1!$B:$B)</f>
        <v>90335</v>
      </c>
      <c r="B202" s="2">
        <f>_xlfn.XLOOKUP(E202,'[2]NOTAS FISCAIS'!$E:$E,'[2]NOTAS FISCAIS'!$E:$E)</f>
        <v>90335</v>
      </c>
      <c r="C202" s="2" t="s">
        <v>32</v>
      </c>
      <c r="D202" s="2" t="s">
        <v>292</v>
      </c>
      <c r="E202" s="2">
        <v>90335</v>
      </c>
      <c r="F202" s="2" t="s">
        <v>167</v>
      </c>
      <c r="G202" s="2" t="s">
        <v>16</v>
      </c>
      <c r="H202" s="2" t="s">
        <v>316</v>
      </c>
      <c r="I202" s="2">
        <v>653</v>
      </c>
      <c r="J202" s="3">
        <v>113731.45</v>
      </c>
      <c r="K202" s="7">
        <v>46113</v>
      </c>
      <c r="L202" s="2" t="s">
        <v>218</v>
      </c>
    </row>
    <row r="203" spans="1:12" hidden="1" x14ac:dyDescent="0.25">
      <c r="A203" s="2">
        <f>_xlfn.XLOOKUP(E203,[1]Sheet1!$B:$B,[1]Sheet1!$B:$B)</f>
        <v>90333</v>
      </c>
      <c r="B203" s="2">
        <f>_xlfn.XLOOKUP(E203,'[2]NOTAS FISCAIS'!$E:$E,'[2]NOTAS FISCAIS'!$E:$E)</f>
        <v>90333</v>
      </c>
      <c r="C203" s="2" t="s">
        <v>32</v>
      </c>
      <c r="D203" s="2" t="s">
        <v>293</v>
      </c>
      <c r="E203" s="2">
        <v>90333</v>
      </c>
      <c r="F203" s="2" t="s">
        <v>167</v>
      </c>
      <c r="G203" s="2" t="s">
        <v>16</v>
      </c>
      <c r="H203" s="2" t="s">
        <v>316</v>
      </c>
      <c r="I203" s="2">
        <v>2145</v>
      </c>
      <c r="J203" s="3">
        <v>13500</v>
      </c>
      <c r="K203" s="7">
        <v>46122</v>
      </c>
      <c r="L203" s="2" t="s">
        <v>214</v>
      </c>
    </row>
    <row r="204" spans="1:12" hidden="1" x14ac:dyDescent="0.25">
      <c r="A204" s="2">
        <f>_xlfn.XLOOKUP(E204,[1]Sheet1!$B:$B,[1]Sheet1!$B:$B)</f>
        <v>90332</v>
      </c>
      <c r="B204" s="2">
        <f>_xlfn.XLOOKUP(E204,'[2]NOTAS FISCAIS'!$E:$E,'[2]NOTAS FISCAIS'!$E:$E)</f>
        <v>90332</v>
      </c>
      <c r="C204" s="2" t="s">
        <v>32</v>
      </c>
      <c r="D204" s="2" t="s">
        <v>294</v>
      </c>
      <c r="E204" s="2">
        <v>90332</v>
      </c>
      <c r="F204" s="2" t="s">
        <v>167</v>
      </c>
      <c r="G204" s="2" t="s">
        <v>16</v>
      </c>
      <c r="H204" s="2" t="s">
        <v>316</v>
      </c>
      <c r="I204" s="2">
        <v>830</v>
      </c>
      <c r="J204" s="3">
        <v>43500</v>
      </c>
      <c r="K204" s="7">
        <v>46122</v>
      </c>
      <c r="L204" s="2" t="s">
        <v>28</v>
      </c>
    </row>
    <row r="205" spans="1:12" hidden="1" x14ac:dyDescent="0.25">
      <c r="A205" s="2">
        <f>_xlfn.XLOOKUP(E205,[1]Sheet1!$B:$B,[1]Sheet1!$B:$B)</f>
        <v>90331</v>
      </c>
      <c r="B205" s="2">
        <f>_xlfn.XLOOKUP(E205,'[2]NOTAS FISCAIS'!$E:$E,'[2]NOTAS FISCAIS'!$E:$E)</f>
        <v>90331</v>
      </c>
      <c r="C205" s="2" t="s">
        <v>32</v>
      </c>
      <c r="D205" s="2" t="s">
        <v>295</v>
      </c>
      <c r="E205" s="2">
        <v>90331</v>
      </c>
      <c r="F205" s="2" t="s">
        <v>167</v>
      </c>
      <c r="G205" s="2" t="s">
        <v>16</v>
      </c>
      <c r="H205" s="2" t="s">
        <v>316</v>
      </c>
      <c r="I205" s="2">
        <v>474</v>
      </c>
      <c r="J205" s="3">
        <v>550000</v>
      </c>
      <c r="K205" s="7">
        <v>46113</v>
      </c>
      <c r="L205" s="2" t="s">
        <v>179</v>
      </c>
    </row>
    <row r="206" spans="1:12" hidden="1" x14ac:dyDescent="0.25">
      <c r="A206" s="2">
        <f>_xlfn.XLOOKUP(E206,[1]Sheet1!$B:$B,[1]Sheet1!$B:$B)</f>
        <v>90328</v>
      </c>
      <c r="B206" s="2" t="e">
        <f>_xlfn.XLOOKUP(E206,'[2]NOTAS FISCAIS'!$E:$E,'[2]NOTAS FISCAIS'!$E:$E)</f>
        <v>#N/A</v>
      </c>
      <c r="C206" s="2" t="s">
        <v>32</v>
      </c>
      <c r="D206" s="2" t="s">
        <v>296</v>
      </c>
      <c r="E206" s="2">
        <v>90328</v>
      </c>
      <c r="F206" s="2" t="s">
        <v>167</v>
      </c>
      <c r="G206" s="2" t="s">
        <v>16</v>
      </c>
      <c r="H206" s="2" t="s">
        <v>317</v>
      </c>
      <c r="I206" s="2">
        <v>2</v>
      </c>
      <c r="J206" s="3">
        <v>6713272.4400000004</v>
      </c>
      <c r="K206" s="7">
        <v>46094</v>
      </c>
      <c r="L206" s="2" t="s">
        <v>14</v>
      </c>
    </row>
    <row r="207" spans="1:12" hidden="1" x14ac:dyDescent="0.25">
      <c r="A207" s="2">
        <f>_xlfn.XLOOKUP(E207,[1]Sheet1!$B:$B,[1]Sheet1!$B:$B)</f>
        <v>90326</v>
      </c>
      <c r="B207" s="2" t="e">
        <f>_xlfn.XLOOKUP(E207,'[2]NOTAS FISCAIS'!$E:$E,'[2]NOTAS FISCAIS'!$E:$E)</f>
        <v>#N/A</v>
      </c>
      <c r="C207" s="2" t="s">
        <v>32</v>
      </c>
      <c r="D207" s="2" t="s">
        <v>297</v>
      </c>
      <c r="E207" s="2">
        <v>90326</v>
      </c>
      <c r="F207" s="2" t="s">
        <v>167</v>
      </c>
      <c r="G207" s="2" t="s">
        <v>13</v>
      </c>
      <c r="H207" s="2" t="s">
        <v>317</v>
      </c>
      <c r="I207" s="2">
        <v>1</v>
      </c>
      <c r="J207" s="3">
        <v>876892.93</v>
      </c>
      <c r="K207" s="7">
        <v>46094</v>
      </c>
      <c r="L207" s="2" t="s">
        <v>14</v>
      </c>
    </row>
    <row r="208" spans="1:12" hidden="1" x14ac:dyDescent="0.25">
      <c r="A208" s="2">
        <f>_xlfn.XLOOKUP(E208,[1]Sheet1!$B:$B,[1]Sheet1!$B:$B)</f>
        <v>90185</v>
      </c>
      <c r="B208" s="2" t="e">
        <f>_xlfn.XLOOKUP(E208,'[2]NOTAS FISCAIS'!$E:$E,'[2]NOTAS FISCAIS'!$E:$E)</f>
        <v>#N/A</v>
      </c>
      <c r="C208" s="2" t="s">
        <v>32</v>
      </c>
      <c r="D208" s="2" t="s">
        <v>298</v>
      </c>
      <c r="E208" s="2">
        <v>90185</v>
      </c>
      <c r="F208" s="2" t="s">
        <v>167</v>
      </c>
      <c r="G208" s="2" t="s">
        <v>16</v>
      </c>
      <c r="H208" s="2" t="s">
        <v>317</v>
      </c>
      <c r="I208" s="2" t="s">
        <v>318</v>
      </c>
      <c r="J208" s="3">
        <v>5000000</v>
      </c>
      <c r="K208" s="7">
        <v>46094</v>
      </c>
      <c r="L208" s="2" t="s">
        <v>14</v>
      </c>
    </row>
    <row r="209" spans="1:12" hidden="1" x14ac:dyDescent="0.25">
      <c r="A209" s="2">
        <f>_xlfn.XLOOKUP(E209,[1]Sheet1!$B:$B,[1]Sheet1!$B:$B)</f>
        <v>89426</v>
      </c>
      <c r="B209" s="2" t="e">
        <f>_xlfn.XLOOKUP(E209,'[2]NOTAS FISCAIS'!$E:$E,'[2]NOTAS FISCAIS'!$E:$E)</f>
        <v>#N/A</v>
      </c>
      <c r="C209" s="2" t="s">
        <v>32</v>
      </c>
      <c r="D209" s="2" t="s">
        <v>299</v>
      </c>
      <c r="E209" s="2">
        <v>89426</v>
      </c>
      <c r="F209" s="2" t="s">
        <v>285</v>
      </c>
      <c r="G209" s="2" t="s">
        <v>16</v>
      </c>
      <c r="H209" s="2" t="s">
        <v>317</v>
      </c>
      <c r="I209" s="2">
        <v>1</v>
      </c>
      <c r="J209" s="3">
        <v>3128735.56</v>
      </c>
      <c r="K209" s="7">
        <v>46101</v>
      </c>
      <c r="L209" s="2" t="s">
        <v>182</v>
      </c>
    </row>
  </sheetData>
  <autoFilter ref="A1:L209" xr:uid="{00000000-0001-0000-0000-000000000000}">
    <filterColumn colId="1">
      <filters>
        <filter val="#N/D"/>
      </filters>
    </filterColumn>
    <filterColumn colId="10">
      <filters>
        <dateGroupItem year="2026" month="5" dateTimeGrouping="month"/>
      </filters>
    </filterColumn>
  </autoFilter>
  <conditionalFormatting sqref="A2:A209">
    <cfRule type="duplicateValues" dxfId="1" priority="7"/>
  </conditionalFormatting>
  <conditionalFormatting sqref="B7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568FA2-1AD0-4E9B-9B87-18D7071B34DE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854050F2-3C8A-4F49-96A2-B62C8DC18B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515622-759D-4227-9CE4-7087621C4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2026-05-19T21:08:46Z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