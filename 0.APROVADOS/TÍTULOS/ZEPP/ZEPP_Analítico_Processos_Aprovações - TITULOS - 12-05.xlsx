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ZEPP/"/>
    </mc:Choice>
  </mc:AlternateContent>
  <xr:revisionPtr revIDLastSave="31" documentId="6_{25F9383F-5B05-4A22-870E-03F1E0EB9E9F}" xr6:coauthVersionLast="47" xr6:coauthVersionMax="47" xr10:uidLastSave="{0A607469-4C06-4C1B-BFE5-5C4C949FAC1B}"/>
  <bookViews>
    <workbookView xWindow="-120" yWindow="-120" windowWidth="20730" windowHeight="11040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Data!$A$1:$K$244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" i="1"/>
</calcChain>
</file>

<file path=xl/sharedStrings.xml><?xml version="1.0" encoding="utf-8"?>
<sst xmlns="http://schemas.openxmlformats.org/spreadsheetml/2006/main" count="1499" uniqueCount="387">
  <si>
    <t>Status</t>
  </si>
  <si>
    <t>Dt. Início</t>
  </si>
  <si>
    <t>Código Origem</t>
  </si>
  <si>
    <t>Nome Nível</t>
  </si>
  <si>
    <t>Observação</t>
  </si>
  <si>
    <t>Detalhe Origem</t>
  </si>
  <si>
    <t>Valor Origem</t>
  </si>
  <si>
    <t>Dt. Vencto</t>
  </si>
  <si>
    <t>Credor</t>
  </si>
  <si>
    <t>Em Aprovação</t>
  </si>
  <si>
    <t>12/05/2026 11:16</t>
  </si>
  <si>
    <t>3ª Alçada - CP</t>
  </si>
  <si>
    <t>11/05/2026</t>
  </si>
  <si>
    <t>12/05/2026</t>
  </si>
  <si>
    <t>QPC ENGENHARIA LTDA</t>
  </si>
  <si>
    <t>12/05/2026 11:15</t>
  </si>
  <si>
    <t>12/05/2026 11:07</t>
  </si>
  <si>
    <t>1ª Alçada - CP</t>
  </si>
  <si>
    <t>07/05/2026</t>
  </si>
  <si>
    <t>05/06/2026</t>
  </si>
  <si>
    <t>ELIZABETH CIMENTOS S/A</t>
  </si>
  <si>
    <t>12/05/2026 10:54</t>
  </si>
  <si>
    <t>10/06/2026</t>
  </si>
  <si>
    <t>ANKARI COMERCIAL DE TINTAS LTDA</t>
  </si>
  <si>
    <t>12/05/2026 10:50</t>
  </si>
  <si>
    <t>12/05/2026 10:37</t>
  </si>
  <si>
    <t>12/05/2026 9:17</t>
  </si>
  <si>
    <t>29/04/2026</t>
  </si>
  <si>
    <t>03/06/2026</t>
  </si>
  <si>
    <t>DOCOL METAIS SANITARIOS LTDA</t>
  </si>
  <si>
    <t>12/05/2026 8:47</t>
  </si>
  <si>
    <t>17/04/2026</t>
  </si>
  <si>
    <t>18/05/2026</t>
  </si>
  <si>
    <t>TERWAL MAQUINAS LTDA</t>
  </si>
  <si>
    <t>12/05/2026 8:25</t>
  </si>
  <si>
    <t>22/04/2026</t>
  </si>
  <si>
    <t>22/05/2026</t>
  </si>
  <si>
    <t>COBREMACK INDUSTRIA DE CONDUTORES ELETRICOS EIRELI</t>
  </si>
  <si>
    <t>12/05/2026 8:21</t>
  </si>
  <si>
    <t>12/05/2026 8:13</t>
  </si>
  <si>
    <t>16/05/2026</t>
  </si>
  <si>
    <t>ELETROPOLL ELETRODUTOS METALICOS LTDA</t>
  </si>
  <si>
    <t>11/05/2026 14:56</t>
  </si>
  <si>
    <t>30/04/2026</t>
  </si>
  <si>
    <t>PEDREIRAS CARANGI LTDA</t>
  </si>
  <si>
    <t>11/05/2026 14:17</t>
  </si>
  <si>
    <t>05/05/2026</t>
  </si>
  <si>
    <t>11/05/2026 14:10</t>
  </si>
  <si>
    <t>11/05/2026 14:02</t>
  </si>
  <si>
    <t>11/05/2026 13:51</t>
  </si>
  <si>
    <t>08/05/2026 15:13</t>
  </si>
  <si>
    <t>08/05/2026</t>
  </si>
  <si>
    <t>25/05/2026</t>
  </si>
  <si>
    <t>QUALYSAN LOCACAO DE BENS MOVEIS EIRELI</t>
  </si>
  <si>
    <t>Reprovado</t>
  </si>
  <si>
    <t>07/05/2026 15:07</t>
  </si>
  <si>
    <t>17/05/2026</t>
  </si>
  <si>
    <t>HD MORENO - COMÉRCIO E SERVIÇOS METALURGICOS EIRELI</t>
  </si>
  <si>
    <t>07/05/2026 14:16</t>
  </si>
  <si>
    <t>06/05/2026 16:27</t>
  </si>
  <si>
    <t>23/04/2026</t>
  </si>
  <si>
    <t>Aprovado</t>
  </si>
  <si>
    <t>06/05/2026 10:34</t>
  </si>
  <si>
    <t>GERACAO E ENERGIA SERVICOS E COMERCIO LTDA</t>
  </si>
  <si>
    <t>06/05/2026 8:00</t>
  </si>
  <si>
    <t>27/04/2026</t>
  </si>
  <si>
    <t>05/05/2026 8:46</t>
  </si>
  <si>
    <t>05/05/2026 8:41</t>
  </si>
  <si>
    <t>28/04/2026</t>
  </si>
  <si>
    <t>28/05/2026</t>
  </si>
  <si>
    <t>BEM TE VI COMERCIO DE MADEIRA LTDA</t>
  </si>
  <si>
    <t>04/05/2026 14:34</t>
  </si>
  <si>
    <t>04/05/2026</t>
  </si>
  <si>
    <t>20/05/2026</t>
  </si>
  <si>
    <t>M ANDRADE MAQUINAS E EQUIPAMENTOS EIRELI</t>
  </si>
  <si>
    <t>04/05/2026 14:18</t>
  </si>
  <si>
    <t>04/05/2026 14:02</t>
  </si>
  <si>
    <t>24/04/2026</t>
  </si>
  <si>
    <t>AQUAGEO PROJETOS E PERFURACOES LTDA</t>
  </si>
  <si>
    <t>30/06/2027</t>
  </si>
  <si>
    <t>30/04/2026 10:41</t>
  </si>
  <si>
    <t>15/05/2026</t>
  </si>
  <si>
    <t>30/04/2026 8:49</t>
  </si>
  <si>
    <t>21/05/2026</t>
  </si>
  <si>
    <t>BMD TEXTEIS LTDA</t>
  </si>
  <si>
    <t>30/04/2026 8:45</t>
  </si>
  <si>
    <t>30/04/2026 8:38</t>
  </si>
  <si>
    <t>29/04/2026 16:22</t>
  </si>
  <si>
    <t>MARTINS E SILVA COMERCIO DE MERCADORIAS LTDA</t>
  </si>
  <si>
    <t>29/04/2026 10:27</t>
  </si>
  <si>
    <t>29/04/2026 8:03</t>
  </si>
  <si>
    <t>SOLUCAO TOLDOS EIRELI</t>
  </si>
  <si>
    <t>28/04/2026 8:16</t>
  </si>
  <si>
    <t>ALBERTO JOSE DOS SANTOS</t>
  </si>
  <si>
    <t>27/04/2026 15:05</t>
  </si>
  <si>
    <t>ELETRICA NOVA BAHIA COMERCIO DE MATERIAIS ELETRICOS LTDA</t>
  </si>
  <si>
    <t>27/04/2026 15:01</t>
  </si>
  <si>
    <t>27/04/2026 14:59</t>
  </si>
  <si>
    <t>ANTONIO CARDOSO MARTINS</t>
  </si>
  <si>
    <t>27/04/2026 14:56</t>
  </si>
  <si>
    <t>VEDAMAX INDUSTRIA LTDA</t>
  </si>
  <si>
    <t>27/04/2026 14:50</t>
  </si>
  <si>
    <t>27/04/2026 14:28</t>
  </si>
  <si>
    <t>ARTEMP ENGENHARIA TERMICA LTDA</t>
  </si>
  <si>
    <t>27/04/2026 13:17</t>
  </si>
  <si>
    <t>2ª Alçada - CP</t>
  </si>
  <si>
    <t>27/04/2026 13:08</t>
  </si>
  <si>
    <t>27/04/2026 10:21</t>
  </si>
  <si>
    <t>24/04/2026 19:53</t>
  </si>
  <si>
    <t>24/04/2026 19:47</t>
  </si>
  <si>
    <t>24/04/2026 14:49</t>
  </si>
  <si>
    <t>LC ADIA - LOCACAO DE VEICULOS LTDA</t>
  </si>
  <si>
    <t>24/04/2026 14:28</t>
  </si>
  <si>
    <t>24/04/2026 10:20</t>
  </si>
  <si>
    <t>BOME EMPREENDIMENTOS E SERVICOS LTDA</t>
  </si>
  <si>
    <t>29/07/2027</t>
  </si>
  <si>
    <t>24/04/2026 8:23</t>
  </si>
  <si>
    <t>T &amp; A CONSTRUCAO PRE-FABRICADA S/A</t>
  </si>
  <si>
    <t>23/04/2026 16:19</t>
  </si>
  <si>
    <t>LESSA EVENTOS LTDA</t>
  </si>
  <si>
    <t>23/04/2026 15:59</t>
  </si>
  <si>
    <t>LAEROMEC - SOLUCOES EM ENGENHARIA LTDA</t>
  </si>
  <si>
    <t>23/04/2026 15:49</t>
  </si>
  <si>
    <t>ENTEL COMERCIO E SERVICOS LTDA</t>
  </si>
  <si>
    <t>23/04/2026 15:39</t>
  </si>
  <si>
    <t>23/04/2026 11:19</t>
  </si>
  <si>
    <t>23/04/2026 10:55</t>
  </si>
  <si>
    <t>23/04/2026 10:49</t>
  </si>
  <si>
    <t>23/04/2026 10:44</t>
  </si>
  <si>
    <t>30/07/2027</t>
  </si>
  <si>
    <t>23/04/2026 10:14</t>
  </si>
  <si>
    <t>LCL GEOTECNIA E SONDAGEM LTDA</t>
  </si>
  <si>
    <t>31/03/2027</t>
  </si>
  <si>
    <t>23/04/2026 9:27</t>
  </si>
  <si>
    <t>TRANSPORTADORA DE DIESEL CAVALO MARINHO LTDA</t>
  </si>
  <si>
    <t>23/04/2026 9:24</t>
  </si>
  <si>
    <t>23/04/2026 9:22</t>
  </si>
  <si>
    <t>1ª Alçada - TI</t>
  </si>
  <si>
    <t>23/04/2026 9:14</t>
  </si>
  <si>
    <t>23/04/2026 9:09</t>
  </si>
  <si>
    <t>23/04/2026 9:05</t>
  </si>
  <si>
    <t>23/04/2026 9:01</t>
  </si>
  <si>
    <t>23/04/2026 8:55</t>
  </si>
  <si>
    <t>23/04/2026 8:48</t>
  </si>
  <si>
    <t>23/04/2026 8:27</t>
  </si>
  <si>
    <t>20/05/2025</t>
  </si>
  <si>
    <t>GP SERVICOS TECNICOS LTDA</t>
  </si>
  <si>
    <t>22/04/2026 14:28</t>
  </si>
  <si>
    <t>VENDRAMINI ENGENHARIA LTDA</t>
  </si>
  <si>
    <t>22/04/2026 14:21</t>
  </si>
  <si>
    <t>20/04/2026</t>
  </si>
  <si>
    <t>FF INFRA E ENGENHARIA LTDA</t>
  </si>
  <si>
    <t>16/06/2027</t>
  </si>
  <si>
    <t>22/04/2026 13:34</t>
  </si>
  <si>
    <t>MAGALHAES JUNIOR LOCACAO E SERVICOS LTDA</t>
  </si>
  <si>
    <t>22/04/2026 13:29</t>
  </si>
  <si>
    <t>03/06/2027</t>
  </si>
  <si>
    <t>22/04/2026 13:14</t>
  </si>
  <si>
    <t>22/04/2026 13:13</t>
  </si>
  <si>
    <t>22/04/2026 13:12</t>
  </si>
  <si>
    <t>22/04/2026 11:34</t>
  </si>
  <si>
    <t>TRAPICHE MINERACAO LTDA</t>
  </si>
  <si>
    <t>22/04/2026 11:11</t>
  </si>
  <si>
    <t>DPE ARQUITETURA E ENGENHARIA S/S</t>
  </si>
  <si>
    <t>22/04/2026 11:03</t>
  </si>
  <si>
    <t>GEO2 ENGENHARIA LTDA</t>
  </si>
  <si>
    <t>22/04/2026 10:41</t>
  </si>
  <si>
    <t>14/05/2026</t>
  </si>
  <si>
    <t>LITORAL TINTAS COMERCIO MATERIAIS DE CONSTRUCAO EIRELI</t>
  </si>
  <si>
    <t>22/04/2026 10:39</t>
  </si>
  <si>
    <t>13/05/2026</t>
  </si>
  <si>
    <t>OMEGA FERRAMENTAS E MAQUINAS LTDA</t>
  </si>
  <si>
    <t>22/04/2026 8:38</t>
  </si>
  <si>
    <t>REV1 PROJETOS INTEGRADOS LTDA</t>
  </si>
  <si>
    <t>20/04/2026 17:50</t>
  </si>
  <si>
    <t>BAHIATECH MATERIAIS ELETRICOS LTDA</t>
  </si>
  <si>
    <t>20/04/2026 15:16</t>
  </si>
  <si>
    <t>06/05/2026</t>
  </si>
  <si>
    <t>SAARA LOCACAO DE TENDAS EIRELI</t>
  </si>
  <si>
    <t>20/04/2026 13:09</t>
  </si>
  <si>
    <t>20/04/2026 11:22</t>
  </si>
  <si>
    <t>20/04/2026 10:30</t>
  </si>
  <si>
    <t>18/04/2026 9:58</t>
  </si>
  <si>
    <t>SOLOBAHIA ENGENHARIA E TECNOLOGIA LTDA</t>
  </si>
  <si>
    <t>17/04/2026 15:17</t>
  </si>
  <si>
    <t>FABRICK - FABRICACAO DE PRE MOLDADOS S.A.</t>
  </si>
  <si>
    <t>17/04/2026 15:12</t>
  </si>
  <si>
    <t>10/04/2026</t>
  </si>
  <si>
    <t>CABOS E LAMPADAS COMERCIO DE MATERIAS ELETRICOS DE ALTA E BAIXA TENSAO EIRELI</t>
  </si>
  <si>
    <t>17/04/2026 14:17</t>
  </si>
  <si>
    <t>17/04/2026 13:49</t>
  </si>
  <si>
    <t>KOPRON DO BRASIL COMERCIO E INDUSTRIA DE EQUIPAMENTOS DE LOGISTICA LTDA.</t>
  </si>
  <si>
    <t>17/04/2026 11:08</t>
  </si>
  <si>
    <t>SOTEC FABRICACAO DE ESTRUTURAS METALICAS E SERVICOS LTDA</t>
  </si>
  <si>
    <t>17/04/2026 10:46</t>
  </si>
  <si>
    <t>17/04/2026 8:06</t>
  </si>
  <si>
    <t>DO VAL ENGENHARIA CONSULTIVA SOCIEDADE SIMPLES</t>
  </si>
  <si>
    <t>17/04/2026 7:59</t>
  </si>
  <si>
    <t>16/04/2026 16:30</t>
  </si>
  <si>
    <t>16/04/2026 16:26</t>
  </si>
  <si>
    <t>16/04/2026 16:12</t>
  </si>
  <si>
    <t>LEONARDO SANTOS GONCALVES PRODUCAO E SOLUCOES EM VIDEOS</t>
  </si>
  <si>
    <t>16/04/2026 15:56</t>
  </si>
  <si>
    <t>16/04/2026 15:16</t>
  </si>
  <si>
    <t>FERROPRONTO LTDA</t>
  </si>
  <si>
    <t>16/04/2026 13:59</t>
  </si>
  <si>
    <t>KAIZ ENGENHARIA LTDA</t>
  </si>
  <si>
    <t>16/04/2026 13:41</t>
  </si>
  <si>
    <t>NUCLEORA PLANEJAMENTO, ASSESSORIA E DESENVOLVIMENTO COMERCIAL LTDA</t>
  </si>
  <si>
    <t>16/04/2026 13:18</t>
  </si>
  <si>
    <t>LPE ENGENHARIA E CONSULTORIA LTDA</t>
  </si>
  <si>
    <t>16/04/2026 13:11</t>
  </si>
  <si>
    <t>ARQUITETURA JAPI PROJETOS E CONSULTORIA EIRELI</t>
  </si>
  <si>
    <t>16/04/2026 10:51</t>
  </si>
  <si>
    <t>16/04/2026 9:31</t>
  </si>
  <si>
    <t>15/04/2026 15:05</t>
  </si>
  <si>
    <t>15/04/2026 14:54</t>
  </si>
  <si>
    <t>SOFTCOMP COMERCIO SERVICOS TELECOMUNICACOES E INFORMATICA EIRELI</t>
  </si>
  <si>
    <t>15/04/2026 14:49</t>
  </si>
  <si>
    <t>15/04/2026 14:26</t>
  </si>
  <si>
    <t>SPM ENGENHARIA SOCIEDADE SIMPLES LTDA.</t>
  </si>
  <si>
    <t>15/04/2026 14:09</t>
  </si>
  <si>
    <t>15/04/2026 10:12</t>
  </si>
  <si>
    <t>BIOFUTURO ENGENHARIA E SOLUCOES AMBIENTAIS EIRELI</t>
  </si>
  <si>
    <t>14/04/2026 15:13</t>
  </si>
  <si>
    <t>VOC ENGENHARIA E CONSTRUCAO LTDA</t>
  </si>
  <si>
    <t>14/04/2026 14:14</t>
  </si>
  <si>
    <t>AMARAL GERENCIAMENTO DE RESIDUOS LTDA.</t>
  </si>
  <si>
    <t>14/04/2026 14:11</t>
  </si>
  <si>
    <t>14/04/2026 14:08</t>
  </si>
  <si>
    <t>14/04/2026 13:56</t>
  </si>
  <si>
    <t>14/04/2026 10:42</t>
  </si>
  <si>
    <t>01/04/2026</t>
  </si>
  <si>
    <t>14/04/2026 10:12</t>
  </si>
  <si>
    <t>13/10/2025</t>
  </si>
  <si>
    <t>14/04/2026 10:08</t>
  </si>
  <si>
    <t>14/04/2026 10:03</t>
  </si>
  <si>
    <t>FLORA BAHIA SERVICOS LTDA.</t>
  </si>
  <si>
    <t>14/04/2026 9:48</t>
  </si>
  <si>
    <t>25/03/2026</t>
  </si>
  <si>
    <t>TERRAM ENGENHARIA DE INFRAESTRUTURA LTDA</t>
  </si>
  <si>
    <t>14/04/2026 9:46</t>
  </si>
  <si>
    <t>20/10/2025</t>
  </si>
  <si>
    <t>14/04/2026 9:44</t>
  </si>
  <si>
    <t>14/04/2026 8:04</t>
  </si>
  <si>
    <t>4ª Alçada - TI</t>
  </si>
  <si>
    <t>10/05/2026</t>
  </si>
  <si>
    <t>ATACADAO DO PAPEL LTDA</t>
  </si>
  <si>
    <t>13/04/2026 16:33</t>
  </si>
  <si>
    <t>ARCELORMITTAL BRASIL S.A.</t>
  </si>
  <si>
    <t>13/04/2026 16:21</t>
  </si>
  <si>
    <t>ARTEMP ENGENHARIA DE INSTALAÇÕES LTDA</t>
  </si>
  <si>
    <t>13/04/2026 16:10</t>
  </si>
  <si>
    <t>ROTULA METALURGICA LTDA</t>
  </si>
  <si>
    <t>13/04/2026 16:07</t>
  </si>
  <si>
    <t>13/04/2026 10:09</t>
  </si>
  <si>
    <t>13/04/2026 10:05</t>
  </si>
  <si>
    <t>10/04/2026 9:48</t>
  </si>
  <si>
    <t>10/04/2026 9:47</t>
  </si>
  <si>
    <t>09/04/2026 14:25</t>
  </si>
  <si>
    <t>FORTLEV INDUSTRIA E COMERCIO DE PLASTICOS LTDA</t>
  </si>
  <si>
    <t>09/04/2026 14:18</t>
  </si>
  <si>
    <t>09/04/2026 14:07</t>
  </si>
  <si>
    <t>06/04/2026</t>
  </si>
  <si>
    <t>09/04/2026 14:00</t>
  </si>
  <si>
    <t>ADUANA COMERCIO DE GEOSSINTETICOS LTDA</t>
  </si>
  <si>
    <t>09/04/2026 13:53</t>
  </si>
  <si>
    <t>LIGUE COMERCIO DE GEOSSINTETICOS LTDA</t>
  </si>
  <si>
    <t>09/04/2026 8:09</t>
  </si>
  <si>
    <t>09/04/2026 8:08</t>
  </si>
  <si>
    <t>07/04/2026 14:31</t>
  </si>
  <si>
    <t>07/04/2026 12:41</t>
  </si>
  <si>
    <t>3ª Alçada - TI</t>
  </si>
  <si>
    <t>07/04/2026 8:53</t>
  </si>
  <si>
    <t>06/04/2026 15:20</t>
  </si>
  <si>
    <t>31/03/2026</t>
  </si>
  <si>
    <t>MIX MADEIREIRA LTDA</t>
  </si>
  <si>
    <t>06/04/2026 14:41</t>
  </si>
  <si>
    <t>FORTPEL COMERCIO DE DESCARTAVEIS LTDA</t>
  </si>
  <si>
    <t>06/04/2026 14:15</t>
  </si>
  <si>
    <t>01/05/2026</t>
  </si>
  <si>
    <t>06/04/2026 14:02</t>
  </si>
  <si>
    <t>06/04/2026 8:56</t>
  </si>
  <si>
    <t>06/04/2026 8:44</t>
  </si>
  <si>
    <t>20/10/2026</t>
  </si>
  <si>
    <t>THYSSENKRUPP ELEVADORES SA</t>
  </si>
  <si>
    <t>06/04/2026 8:43</t>
  </si>
  <si>
    <t>20/09/2026</t>
  </si>
  <si>
    <t>06/04/2026 8:41</t>
  </si>
  <si>
    <t>20/08/2026</t>
  </si>
  <si>
    <t>06/04/2026 8:40</t>
  </si>
  <si>
    <t>20/07/2026</t>
  </si>
  <si>
    <t>06/04/2026 8:38</t>
  </si>
  <si>
    <t>20/06/2026</t>
  </si>
  <si>
    <t>06/04/2026 8:36</t>
  </si>
  <si>
    <t>06/04/2026 8:32</t>
  </si>
  <si>
    <t>06/04/2026 8:17</t>
  </si>
  <si>
    <t>02/04/2026 16:57</t>
  </si>
  <si>
    <t>02/04/2026 16:54</t>
  </si>
  <si>
    <t>02/04/2026 16:50</t>
  </si>
  <si>
    <t>02/04/2026 16:48</t>
  </si>
  <si>
    <t>02/04/2026 16:42</t>
  </si>
  <si>
    <t>02/04/2026 11:22</t>
  </si>
  <si>
    <t>02/04/2026 11:11</t>
  </si>
  <si>
    <t>02/04/2026 11:03</t>
  </si>
  <si>
    <t>31/03/2026 9:11</t>
  </si>
  <si>
    <t>30/03/2026 15:57</t>
  </si>
  <si>
    <t>27/03/2026</t>
  </si>
  <si>
    <t>30/03/2026 15:56</t>
  </si>
  <si>
    <t>30/03/2026 15:55</t>
  </si>
  <si>
    <t>27/03/2026 20:05</t>
  </si>
  <si>
    <t>26/03/2026 10:22</t>
  </si>
  <si>
    <t>26/03/2026 7:31</t>
  </si>
  <si>
    <t>26/03/2026 7:30</t>
  </si>
  <si>
    <t>26/03/2026 7:28</t>
  </si>
  <si>
    <t>25/03/2026 18:56</t>
  </si>
  <si>
    <t>25/03/2026 17:36</t>
  </si>
  <si>
    <t>25/03/2026 17:32</t>
  </si>
  <si>
    <t>25/03/2026 17:22</t>
  </si>
  <si>
    <t>05/04/2026</t>
  </si>
  <si>
    <t>25/03/2026 16:35</t>
  </si>
  <si>
    <t>25/03/2026 16:30</t>
  </si>
  <si>
    <t>25/03/2026 16:28</t>
  </si>
  <si>
    <t>25/03/2026 16:26</t>
  </si>
  <si>
    <t>25/03/2026 16:24</t>
  </si>
  <si>
    <t>25/03/2026 16:21</t>
  </si>
  <si>
    <t>25/03/2026 16:17</t>
  </si>
  <si>
    <t>25/03/2026 16:16</t>
  </si>
  <si>
    <t>25/03/2026 15:20</t>
  </si>
  <si>
    <t>25/03/2026 13:51</t>
  </si>
  <si>
    <t>25/03/2026 13:46</t>
  </si>
  <si>
    <t>25/03/2026 13:24</t>
  </si>
  <si>
    <t>25/03/2026 12:18</t>
  </si>
  <si>
    <t>25/03/2026 12:09</t>
  </si>
  <si>
    <t>25/03/2026 12:06</t>
  </si>
  <si>
    <t>25/03/2026 11:58</t>
  </si>
  <si>
    <t>25/03/2026 11:54</t>
  </si>
  <si>
    <t>25/03/2026 11:49</t>
  </si>
  <si>
    <t>25/03/2026 11:46</t>
  </si>
  <si>
    <t>25/03/2026 11:43</t>
  </si>
  <si>
    <t>25/03/2026 7:49</t>
  </si>
  <si>
    <t>5ª Alçada - TI</t>
  </si>
  <si>
    <t>HIDRO LOGICA CONSULTORIA E TREINAMENTO LTDA</t>
  </si>
  <si>
    <t>24/03/2026 10:50</t>
  </si>
  <si>
    <t>A J S SOUZA SERVICOS GRAFICOS</t>
  </si>
  <si>
    <t>21/03/2026 10:04</t>
  </si>
  <si>
    <t>21/03/2026 10:03</t>
  </si>
  <si>
    <t>21/03/2026 9:59</t>
  </si>
  <si>
    <t>21/03/2026 9:57</t>
  </si>
  <si>
    <t>21/03/2026 9:46</t>
  </si>
  <si>
    <t>21/03/2026 9:42</t>
  </si>
  <si>
    <t>13/03/2026 14:05</t>
  </si>
  <si>
    <t>13/03/2026</t>
  </si>
  <si>
    <t>13/03/2026 9:49</t>
  </si>
  <si>
    <t>GEOTECHNIQUE CONSULTORIA E ENGENHARIA LTDA</t>
  </si>
  <si>
    <t>13/03/2026 9:24</t>
  </si>
  <si>
    <t>13/03/2026 9:07</t>
  </si>
  <si>
    <t>13/03/2026 8:59</t>
  </si>
  <si>
    <t>13/03/2026 8:54</t>
  </si>
  <si>
    <t>13/03/2026 8:45</t>
  </si>
  <si>
    <t>13/03/2026 8:39</t>
  </si>
  <si>
    <t>13/03/2026 8:30</t>
  </si>
  <si>
    <t>13/03/2026 8:18</t>
  </si>
  <si>
    <t>13/03/2026 8:16</t>
  </si>
  <si>
    <t>11/03/2026 13:53</t>
  </si>
  <si>
    <t>02/03/2026 11:52</t>
  </si>
  <si>
    <t>20/03/2026</t>
  </si>
  <si>
    <t>NFSC</t>
  </si>
  <si>
    <t>NFC</t>
  </si>
  <si>
    <t>NEFC</t>
  </si>
  <si>
    <t>NF</t>
  </si>
  <si>
    <t>FATC</t>
  </si>
  <si>
    <t>CAU</t>
  </si>
  <si>
    <t xml:space="preserve">200-3-019 </t>
  </si>
  <si>
    <t>ADV</t>
  </si>
  <si>
    <t>ADVC</t>
  </si>
  <si>
    <t>CFC</t>
  </si>
  <si>
    <t xml:space="preserve">200-3-024 </t>
  </si>
  <si>
    <t xml:space="preserve">200-3-000 </t>
  </si>
  <si>
    <t xml:space="preserve">200-3-014 </t>
  </si>
  <si>
    <t xml:space="preserve">200-3-018 </t>
  </si>
  <si>
    <t xml:space="preserve">200-3-015 </t>
  </si>
  <si>
    <t xml:space="preserve">200-3-016 </t>
  </si>
  <si>
    <t xml:space="preserve">200-3-022 </t>
  </si>
  <si>
    <t>NCT</t>
  </si>
  <si>
    <t>NFS</t>
  </si>
  <si>
    <t xml:space="preserve">2026.01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</si>
</sst>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2"/>
      <name val="Calibri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8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brgerenciamento.sharepoint.com/sites/LYO004SIMOESFILHOG200/Documentos%20Compartilhados/03.%20CUSTOS/3.0%20MEDI&#199;&#213;ES%20APROVADAS%20E%20NF'S/1.%20ROMANEIOS/0.APROVADOS%20NO%20ZEPP/ZEPP/T&#205;TULOS%20ZEPP%20-%2012-05.xlsx" TargetMode="External"/><Relationship Id="rId1" Type="http://schemas.openxmlformats.org/officeDocument/2006/relationships/externalLinkPath" Target="T&#205;TULOS%20ZEPP%20-%2012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A1" t="str">
            <v>Status</v>
          </cell>
          <cell r="D1" t="str">
            <v>Título - Código Origem</v>
          </cell>
        </row>
        <row r="2">
          <cell r="A2" t="str">
            <v>Aprovado</v>
          </cell>
          <cell r="D2">
            <v>93384</v>
          </cell>
        </row>
        <row r="3">
          <cell r="A3" t="str">
            <v>Aprovado</v>
          </cell>
          <cell r="D3">
            <v>93299</v>
          </cell>
        </row>
        <row r="4">
          <cell r="A4" t="str">
            <v>Aprovado</v>
          </cell>
          <cell r="D4">
            <v>92960</v>
          </cell>
        </row>
        <row r="5">
          <cell r="A5" t="str">
            <v>Aprovado</v>
          </cell>
          <cell r="D5">
            <v>91327</v>
          </cell>
        </row>
        <row r="6">
          <cell r="A6" t="str">
            <v>Aprovado</v>
          </cell>
          <cell r="D6">
            <v>91535</v>
          </cell>
        </row>
        <row r="7">
          <cell r="A7" t="str">
            <v>Reprovado</v>
          </cell>
          <cell r="D7">
            <v>91294</v>
          </cell>
        </row>
        <row r="8">
          <cell r="A8" t="str">
            <v>Em Aprovação</v>
          </cell>
          <cell r="D8">
            <v>93397</v>
          </cell>
        </row>
        <row r="9">
          <cell r="A9" t="str">
            <v>Em Aprovação</v>
          </cell>
          <cell r="D9">
            <v>91298</v>
          </cell>
        </row>
        <row r="10">
          <cell r="A10" t="str">
            <v>Reprovado</v>
          </cell>
          <cell r="D10">
            <v>91293</v>
          </cell>
        </row>
        <row r="11">
          <cell r="A11" t="str">
            <v>Em Aprovação</v>
          </cell>
          <cell r="D11">
            <v>91287</v>
          </cell>
        </row>
        <row r="12">
          <cell r="A12" t="str">
            <v>Reprovado</v>
          </cell>
          <cell r="D12">
            <v>91251</v>
          </cell>
        </row>
        <row r="13">
          <cell r="A13" t="str">
            <v>Reprovado</v>
          </cell>
          <cell r="D13">
            <v>91230</v>
          </cell>
        </row>
        <row r="14">
          <cell r="A14" t="str">
            <v>Reprovado</v>
          </cell>
          <cell r="D14">
            <v>91225</v>
          </cell>
        </row>
        <row r="15">
          <cell r="A15" t="str">
            <v>Reprovado</v>
          </cell>
          <cell r="D15">
            <v>91222</v>
          </cell>
        </row>
        <row r="16">
          <cell r="A16" t="str">
            <v>Reprovado</v>
          </cell>
          <cell r="D16">
            <v>91218</v>
          </cell>
        </row>
        <row r="17">
          <cell r="A17" t="str">
            <v>Reprovado</v>
          </cell>
          <cell r="D17">
            <v>90947</v>
          </cell>
        </row>
        <row r="18">
          <cell r="A18" t="str">
            <v>Reprovado</v>
          </cell>
          <cell r="D18">
            <v>90944</v>
          </cell>
        </row>
        <row r="19">
          <cell r="A19" t="str">
            <v>Em Aprovação</v>
          </cell>
          <cell r="D19">
            <v>94051</v>
          </cell>
        </row>
        <row r="20">
          <cell r="A20" t="str">
            <v>Reprovado</v>
          </cell>
          <cell r="D20">
            <v>93615</v>
          </cell>
        </row>
        <row r="21">
          <cell r="A21" t="str">
            <v>Em Aprovação</v>
          </cell>
          <cell r="D21">
            <v>93160</v>
          </cell>
        </row>
        <row r="22">
          <cell r="A22" t="str">
            <v>Reprovado</v>
          </cell>
          <cell r="D22">
            <v>93034</v>
          </cell>
        </row>
        <row r="23">
          <cell r="A23" t="str">
            <v>Em Aprovação</v>
          </cell>
          <cell r="D23">
            <v>92978</v>
          </cell>
        </row>
        <row r="24">
          <cell r="A24" t="str">
            <v>Aprovado</v>
          </cell>
          <cell r="D24">
            <v>93631</v>
          </cell>
        </row>
        <row r="25">
          <cell r="A25" t="str">
            <v>Aprovado</v>
          </cell>
          <cell r="D25">
            <v>93106</v>
          </cell>
        </row>
        <row r="26">
          <cell r="A26" t="str">
            <v>Aprovado</v>
          </cell>
          <cell r="D26">
            <v>93091</v>
          </cell>
        </row>
        <row r="27">
          <cell r="A27" t="str">
            <v>Aprovado</v>
          </cell>
          <cell r="D27">
            <v>93048</v>
          </cell>
        </row>
        <row r="28">
          <cell r="A28" t="str">
            <v>Aprovado</v>
          </cell>
          <cell r="D28">
            <v>93045</v>
          </cell>
        </row>
        <row r="29">
          <cell r="A29" t="str">
            <v>Aprovado</v>
          </cell>
          <cell r="D29">
            <v>92869</v>
          </cell>
        </row>
        <row r="30">
          <cell r="A30" t="str">
            <v>Reprovado</v>
          </cell>
          <cell r="D30">
            <v>92124</v>
          </cell>
        </row>
        <row r="31">
          <cell r="A31" t="str">
            <v>Aprovado</v>
          </cell>
          <cell r="D31">
            <v>92059</v>
          </cell>
        </row>
        <row r="32">
          <cell r="A32" t="str">
            <v>Aprovado</v>
          </cell>
          <cell r="D32">
            <v>92031</v>
          </cell>
        </row>
        <row r="33">
          <cell r="A33" t="str">
            <v>Em Aprovação</v>
          </cell>
          <cell r="D33">
            <v>93505</v>
          </cell>
        </row>
        <row r="34">
          <cell r="A34" t="str">
            <v>Em Aprovação</v>
          </cell>
          <cell r="D34">
            <v>93205</v>
          </cell>
        </row>
        <row r="35">
          <cell r="A35" t="str">
            <v>Reprovado</v>
          </cell>
          <cell r="D35">
            <v>92892</v>
          </cell>
        </row>
        <row r="36">
          <cell r="A36" t="str">
            <v>Reprovado</v>
          </cell>
          <cell r="D36">
            <v>92333</v>
          </cell>
        </row>
        <row r="37">
          <cell r="A37" t="str">
            <v>Reprovado</v>
          </cell>
          <cell r="D37">
            <v>92153</v>
          </cell>
        </row>
        <row r="38">
          <cell r="A38" t="str">
            <v>Aprovado</v>
          </cell>
          <cell r="D38">
            <v>92798</v>
          </cell>
        </row>
        <row r="39">
          <cell r="A39" t="str">
            <v>Aprovado</v>
          </cell>
          <cell r="D39">
            <v>92009</v>
          </cell>
        </row>
        <row r="40">
          <cell r="A40" t="str">
            <v>Aprovado</v>
          </cell>
          <cell r="D40">
            <v>94120</v>
          </cell>
        </row>
        <row r="41">
          <cell r="A41" t="str">
            <v>Aprovado</v>
          </cell>
          <cell r="D41">
            <v>93818</v>
          </cell>
        </row>
        <row r="42">
          <cell r="A42" t="str">
            <v>Aprovado</v>
          </cell>
          <cell r="D42">
            <v>93764</v>
          </cell>
        </row>
        <row r="43">
          <cell r="A43" t="str">
            <v>Reprovado</v>
          </cell>
          <cell r="D43">
            <v>92562</v>
          </cell>
        </row>
        <row r="44">
          <cell r="A44" t="str">
            <v>Aprovado</v>
          </cell>
          <cell r="D44">
            <v>92019</v>
          </cell>
        </row>
        <row r="45">
          <cell r="A45" t="str">
            <v>Reprovado</v>
          </cell>
          <cell r="D45">
            <v>91371</v>
          </cell>
        </row>
        <row r="46">
          <cell r="A46" t="str">
            <v>Reprovado</v>
          </cell>
          <cell r="D46">
            <v>91370</v>
          </cell>
        </row>
        <row r="47">
          <cell r="A47" t="str">
            <v>Reprovado</v>
          </cell>
          <cell r="D47">
            <v>91370</v>
          </cell>
        </row>
        <row r="48">
          <cell r="A48" t="str">
            <v>Reprovado</v>
          </cell>
          <cell r="D48">
            <v>91297</v>
          </cell>
        </row>
        <row r="49">
          <cell r="A49" t="str">
            <v>Reprovado</v>
          </cell>
          <cell r="D49">
            <v>91371</v>
          </cell>
        </row>
        <row r="50">
          <cell r="A50" t="str">
            <v>Reprovado</v>
          </cell>
          <cell r="D50">
            <v>91370</v>
          </cell>
        </row>
        <row r="51">
          <cell r="A51" t="str">
            <v>Reprovado</v>
          </cell>
          <cell r="D51">
            <v>91370</v>
          </cell>
        </row>
        <row r="52">
          <cell r="A52" t="str">
            <v>Aprovado</v>
          </cell>
          <cell r="D52">
            <v>91371</v>
          </cell>
        </row>
        <row r="53">
          <cell r="A53" t="str">
            <v>Reprovado</v>
          </cell>
          <cell r="D53">
            <v>91301</v>
          </cell>
        </row>
        <row r="54">
          <cell r="A54" t="str">
            <v>Reprovado</v>
          </cell>
          <cell r="D54">
            <v>91301</v>
          </cell>
        </row>
        <row r="55">
          <cell r="A55" t="str">
            <v>Reprovado</v>
          </cell>
          <cell r="D55">
            <v>91301</v>
          </cell>
        </row>
        <row r="56">
          <cell r="A56" t="str">
            <v>Aprovado</v>
          </cell>
          <cell r="D56">
            <v>91297</v>
          </cell>
        </row>
        <row r="57">
          <cell r="A57" t="str">
            <v>Aprovado</v>
          </cell>
          <cell r="D57">
            <v>91289</v>
          </cell>
        </row>
        <row r="58">
          <cell r="A58" t="str">
            <v>Aprovado</v>
          </cell>
          <cell r="D58">
            <v>91286</v>
          </cell>
        </row>
        <row r="59">
          <cell r="A59" t="str">
            <v>Reprovado</v>
          </cell>
          <cell r="D59">
            <v>91250</v>
          </cell>
        </row>
        <row r="60">
          <cell r="A60" t="str">
            <v>Reprovado</v>
          </cell>
          <cell r="D60">
            <v>91229</v>
          </cell>
        </row>
        <row r="61">
          <cell r="A61" t="str">
            <v>Reprovado</v>
          </cell>
          <cell r="D61">
            <v>91229</v>
          </cell>
        </row>
        <row r="62">
          <cell r="A62" t="str">
            <v>Reprovado</v>
          </cell>
          <cell r="D62">
            <v>91227</v>
          </cell>
        </row>
        <row r="63">
          <cell r="A63" t="str">
            <v>Reprovado</v>
          </cell>
          <cell r="D63">
            <v>91213</v>
          </cell>
        </row>
        <row r="64">
          <cell r="A64" t="str">
            <v>Reprovado</v>
          </cell>
          <cell r="D64">
            <v>90946</v>
          </cell>
        </row>
        <row r="65">
          <cell r="A65" t="str">
            <v>Reprovado</v>
          </cell>
          <cell r="D65">
            <v>90946</v>
          </cell>
        </row>
        <row r="66">
          <cell r="A66" t="str">
            <v>Reprovado</v>
          </cell>
          <cell r="D66">
            <v>90945</v>
          </cell>
        </row>
        <row r="67">
          <cell r="A67" t="str">
            <v>Reprovado</v>
          </cell>
          <cell r="D67">
            <v>90945</v>
          </cell>
        </row>
        <row r="68">
          <cell r="A68" t="str">
            <v>Reprovado</v>
          </cell>
          <cell r="D68">
            <v>90943</v>
          </cell>
        </row>
        <row r="69">
          <cell r="A69" t="str">
            <v>Reprovado</v>
          </cell>
          <cell r="D69">
            <v>90942</v>
          </cell>
        </row>
        <row r="70">
          <cell r="A70" t="str">
            <v>Reprovado</v>
          </cell>
          <cell r="D70">
            <v>94122</v>
          </cell>
        </row>
        <row r="71">
          <cell r="A71" t="str">
            <v>Aprovado</v>
          </cell>
          <cell r="D71">
            <v>92708</v>
          </cell>
        </row>
        <row r="72">
          <cell r="A72" t="str">
            <v>Reprovado</v>
          </cell>
          <cell r="D72">
            <v>91292</v>
          </cell>
        </row>
        <row r="73">
          <cell r="A73" t="str">
            <v>Aprovado</v>
          </cell>
          <cell r="D73">
            <v>93025</v>
          </cell>
        </row>
        <row r="74">
          <cell r="A74" t="str">
            <v>Aprovado</v>
          </cell>
          <cell r="D74">
            <v>92627</v>
          </cell>
        </row>
        <row r="75">
          <cell r="A75" t="str">
            <v>Aprovado</v>
          </cell>
          <cell r="D75">
            <v>92620</v>
          </cell>
        </row>
        <row r="76">
          <cell r="A76" t="str">
            <v>Aprovado</v>
          </cell>
          <cell r="D76">
            <v>92618</v>
          </cell>
        </row>
        <row r="77">
          <cell r="A77" t="str">
            <v>Aprovado</v>
          </cell>
          <cell r="D77">
            <v>92616</v>
          </cell>
        </row>
        <row r="78">
          <cell r="A78" t="str">
            <v>Aprovado</v>
          </cell>
          <cell r="D78">
            <v>94335</v>
          </cell>
        </row>
        <row r="79">
          <cell r="A79" t="str">
            <v>Reprovado</v>
          </cell>
          <cell r="D79">
            <v>91949</v>
          </cell>
        </row>
        <row r="80">
          <cell r="A80" t="str">
            <v>Aprovado</v>
          </cell>
          <cell r="D80">
            <v>93650</v>
          </cell>
        </row>
        <row r="81">
          <cell r="A81" t="str">
            <v>Aprovado</v>
          </cell>
          <cell r="D81">
            <v>93240</v>
          </cell>
        </row>
        <row r="82">
          <cell r="A82" t="str">
            <v>Reprovado</v>
          </cell>
          <cell r="D82">
            <v>92476</v>
          </cell>
        </row>
        <row r="83">
          <cell r="A83" t="str">
            <v>Reprovado</v>
          </cell>
          <cell r="D83">
            <v>91628</v>
          </cell>
        </row>
        <row r="84">
          <cell r="A84" t="str">
            <v>Aprovado</v>
          </cell>
          <cell r="D84">
            <v>91079</v>
          </cell>
        </row>
        <row r="85">
          <cell r="A85" t="str">
            <v>Aprovado</v>
          </cell>
          <cell r="D85">
            <v>93834</v>
          </cell>
        </row>
        <row r="86">
          <cell r="A86" t="str">
            <v>Em Aprovação</v>
          </cell>
          <cell r="D86">
            <v>91945</v>
          </cell>
        </row>
        <row r="87">
          <cell r="A87" t="str">
            <v>Aguardando Cancelamento</v>
          </cell>
          <cell r="D87">
            <v>92707</v>
          </cell>
        </row>
        <row r="88">
          <cell r="A88" t="str">
            <v>Em Aprovação</v>
          </cell>
          <cell r="D88">
            <v>92706</v>
          </cell>
        </row>
        <row r="89">
          <cell r="A89" t="str">
            <v>Em Aprovação</v>
          </cell>
          <cell r="D89">
            <v>91944</v>
          </cell>
        </row>
        <row r="90">
          <cell r="A90" t="str">
            <v>Em Aprovação</v>
          </cell>
          <cell r="D90">
            <v>91943</v>
          </cell>
        </row>
        <row r="91">
          <cell r="A91" t="str">
            <v>Em Aprovação</v>
          </cell>
          <cell r="D91">
            <v>91942</v>
          </cell>
        </row>
        <row r="92">
          <cell r="A92" t="str">
            <v>Em Aprovação</v>
          </cell>
          <cell r="D92">
            <v>91941</v>
          </cell>
        </row>
        <row r="93">
          <cell r="A93" t="str">
            <v>Aprovado</v>
          </cell>
          <cell r="D93">
            <v>94058</v>
          </cell>
        </row>
        <row r="94">
          <cell r="A94" t="str">
            <v>Aprovado</v>
          </cell>
          <cell r="D94">
            <v>94054</v>
          </cell>
        </row>
        <row r="95">
          <cell r="A95" t="str">
            <v>Aprovado</v>
          </cell>
          <cell r="D95">
            <v>93832</v>
          </cell>
        </row>
        <row r="96">
          <cell r="A96" t="str">
            <v>Aprovado</v>
          </cell>
          <cell r="D96">
            <v>93830</v>
          </cell>
        </row>
        <row r="97">
          <cell r="A97" t="str">
            <v>Aprovado</v>
          </cell>
          <cell r="D97">
            <v>93311</v>
          </cell>
        </row>
        <row r="98">
          <cell r="A98" t="str">
            <v>Aprovado</v>
          </cell>
          <cell r="D98">
            <v>91939</v>
          </cell>
        </row>
        <row r="99">
          <cell r="A99" t="str">
            <v>Reprovado</v>
          </cell>
          <cell r="D99">
            <v>93365</v>
          </cell>
        </row>
        <row r="100">
          <cell r="A100" t="str">
            <v>Reprovado</v>
          </cell>
          <cell r="D100">
            <v>92716</v>
          </cell>
        </row>
        <row r="101">
          <cell r="A101" t="str">
            <v>Reprovado</v>
          </cell>
          <cell r="D101">
            <v>92713</v>
          </cell>
        </row>
        <row r="102">
          <cell r="A102" t="str">
            <v>Aprovado</v>
          </cell>
          <cell r="D102">
            <v>91938</v>
          </cell>
        </row>
        <row r="103">
          <cell r="A103" t="str">
            <v>Aprovado</v>
          </cell>
          <cell r="D103">
            <v>89426</v>
          </cell>
        </row>
        <row r="104">
          <cell r="A104" t="str">
            <v>Aprovado</v>
          </cell>
          <cell r="D104">
            <v>94050</v>
          </cell>
        </row>
        <row r="105">
          <cell r="A105" t="str">
            <v>Reprovado</v>
          </cell>
          <cell r="D105">
            <v>92152</v>
          </cell>
        </row>
        <row r="106">
          <cell r="A106" t="str">
            <v>Aprovado</v>
          </cell>
          <cell r="D106">
            <v>91908</v>
          </cell>
        </row>
        <row r="107">
          <cell r="A107" t="str">
            <v>Aprovado</v>
          </cell>
          <cell r="D107">
            <v>91905</v>
          </cell>
        </row>
        <row r="108">
          <cell r="A108" t="str">
            <v>Aprovado</v>
          </cell>
          <cell r="D108">
            <v>91903</v>
          </cell>
        </row>
        <row r="109">
          <cell r="A109" t="str">
            <v>Reprovado</v>
          </cell>
          <cell r="D109">
            <v>91900</v>
          </cell>
        </row>
        <row r="110">
          <cell r="A110" t="str">
            <v>Reprovado</v>
          </cell>
          <cell r="D110">
            <v>91847</v>
          </cell>
        </row>
        <row r="111">
          <cell r="A111" t="str">
            <v>Reprovado</v>
          </cell>
          <cell r="D111">
            <v>91844</v>
          </cell>
        </row>
        <row r="112">
          <cell r="A112" t="str">
            <v>Reprovado</v>
          </cell>
          <cell r="D112">
            <v>91841</v>
          </cell>
        </row>
        <row r="113">
          <cell r="A113" t="str">
            <v>Aprovado</v>
          </cell>
          <cell r="D113">
            <v>93328</v>
          </cell>
        </row>
        <row r="114">
          <cell r="A114" t="str">
            <v>Aprovado</v>
          </cell>
          <cell r="D114">
            <v>93647</v>
          </cell>
        </row>
        <row r="115">
          <cell r="A115" t="str">
            <v>Reprovado</v>
          </cell>
          <cell r="D115">
            <v>93852</v>
          </cell>
        </row>
        <row r="116">
          <cell r="A116" t="str">
            <v>Aprovado</v>
          </cell>
          <cell r="D116">
            <v>93654</v>
          </cell>
        </row>
        <row r="117">
          <cell r="A117" t="str">
            <v>Aprovado</v>
          </cell>
          <cell r="D117">
            <v>93646</v>
          </cell>
        </row>
        <row r="118">
          <cell r="A118" t="str">
            <v>Reprovado</v>
          </cell>
          <cell r="D118">
            <v>93614</v>
          </cell>
        </row>
        <row r="119">
          <cell r="A119" t="str">
            <v>Aprovado</v>
          </cell>
          <cell r="D119">
            <v>93379</v>
          </cell>
        </row>
        <row r="120">
          <cell r="A120" t="str">
            <v>Aprovado</v>
          </cell>
          <cell r="D120">
            <v>93378</v>
          </cell>
        </row>
        <row r="121">
          <cell r="A121" t="str">
            <v>Reprovado</v>
          </cell>
          <cell r="D121">
            <v>93374</v>
          </cell>
        </row>
        <row r="122">
          <cell r="A122" t="str">
            <v>Aprovado</v>
          </cell>
          <cell r="D122">
            <v>93372</v>
          </cell>
        </row>
        <row r="123">
          <cell r="A123" t="str">
            <v>Aprovado</v>
          </cell>
          <cell r="D123">
            <v>93371</v>
          </cell>
        </row>
        <row r="124">
          <cell r="A124" t="str">
            <v>Aprovado</v>
          </cell>
          <cell r="D124">
            <v>93370</v>
          </cell>
        </row>
        <row r="125">
          <cell r="A125" t="str">
            <v>Aprovado</v>
          </cell>
          <cell r="D125">
            <v>93369</v>
          </cell>
        </row>
        <row r="126">
          <cell r="A126" t="str">
            <v>Aprovado</v>
          </cell>
          <cell r="D126">
            <v>93368</v>
          </cell>
        </row>
        <row r="127">
          <cell r="A127" t="str">
            <v>Aprovado</v>
          </cell>
          <cell r="D127">
            <v>93367</v>
          </cell>
        </row>
        <row r="128">
          <cell r="A128" t="str">
            <v>Aprovado</v>
          </cell>
          <cell r="D128">
            <v>93295</v>
          </cell>
        </row>
        <row r="129">
          <cell r="A129" t="str">
            <v>Aprovado</v>
          </cell>
          <cell r="D129">
            <v>92717</v>
          </cell>
        </row>
        <row r="130">
          <cell r="A130" t="str">
            <v>Aprovado</v>
          </cell>
          <cell r="D130">
            <v>93294</v>
          </cell>
        </row>
        <row r="131">
          <cell r="A131" t="str">
            <v>Aprovado</v>
          </cell>
          <cell r="D131">
            <v>90328</v>
          </cell>
        </row>
        <row r="132">
          <cell r="A132" t="str">
            <v>Aprovado</v>
          </cell>
          <cell r="D132">
            <v>90185</v>
          </cell>
        </row>
        <row r="133">
          <cell r="A133" t="str">
            <v>Aprovado</v>
          </cell>
          <cell r="D133">
            <v>93649</v>
          </cell>
        </row>
        <row r="134">
          <cell r="A134" t="str">
            <v>Aprovado</v>
          </cell>
          <cell r="D134">
            <v>93188</v>
          </cell>
        </row>
        <row r="135">
          <cell r="A135" t="str">
            <v>Aprovado</v>
          </cell>
          <cell r="D135">
            <v>92655</v>
          </cell>
        </row>
        <row r="136">
          <cell r="A136" t="str">
            <v>Aprovado</v>
          </cell>
          <cell r="D136">
            <v>90381</v>
          </cell>
        </row>
        <row r="137">
          <cell r="A137" t="str">
            <v>Aprovado</v>
          </cell>
          <cell r="D137">
            <v>90348</v>
          </cell>
        </row>
        <row r="138">
          <cell r="A138" t="str">
            <v>Aprovado</v>
          </cell>
          <cell r="D138">
            <v>90338</v>
          </cell>
        </row>
        <row r="139">
          <cell r="A139" t="str">
            <v>Aprovado</v>
          </cell>
          <cell r="D139">
            <v>90337</v>
          </cell>
        </row>
        <row r="140">
          <cell r="A140" t="str">
            <v>Reprovado</v>
          </cell>
          <cell r="D140">
            <v>90336</v>
          </cell>
        </row>
        <row r="141">
          <cell r="A141" t="str">
            <v>Aprovado</v>
          </cell>
          <cell r="D141">
            <v>90333</v>
          </cell>
        </row>
        <row r="142">
          <cell r="A142" t="str">
            <v>Aprovado</v>
          </cell>
          <cell r="D142">
            <v>90332</v>
          </cell>
        </row>
        <row r="143">
          <cell r="A143" t="str">
            <v>Aprovado</v>
          </cell>
          <cell r="D143">
            <v>93126</v>
          </cell>
        </row>
        <row r="144">
          <cell r="A144" t="str">
            <v>Aprovado</v>
          </cell>
          <cell r="D144">
            <v>93675</v>
          </cell>
        </row>
        <row r="145">
          <cell r="A145" t="str">
            <v>Aprovado</v>
          </cell>
          <cell r="D145">
            <v>92721</v>
          </cell>
        </row>
        <row r="146">
          <cell r="A146" t="str">
            <v>Aprovado</v>
          </cell>
          <cell r="D146">
            <v>92407</v>
          </cell>
        </row>
        <row r="147">
          <cell r="A147" t="str">
            <v>Aprovado</v>
          </cell>
          <cell r="D147">
            <v>93225</v>
          </cell>
        </row>
        <row r="148">
          <cell r="A148" t="str">
            <v>EXCLUÍDO - DESCONSIDERAR</v>
          </cell>
          <cell r="D148">
            <v>92404</v>
          </cell>
        </row>
        <row r="149">
          <cell r="A149" t="str">
            <v>Aprovado</v>
          </cell>
          <cell r="D149">
            <v>92402</v>
          </cell>
        </row>
        <row r="150">
          <cell r="A150" t="str">
            <v>Aprovado</v>
          </cell>
          <cell r="D150">
            <v>91399</v>
          </cell>
        </row>
        <row r="151">
          <cell r="A151" t="str">
            <v>Reprovado</v>
          </cell>
          <cell r="D151">
            <v>91362</v>
          </cell>
        </row>
        <row r="152">
          <cell r="A152" t="str">
            <v>Aprovado</v>
          </cell>
          <cell r="D152">
            <v>93776</v>
          </cell>
        </row>
        <row r="153">
          <cell r="A153" t="str">
            <v>Aprovado</v>
          </cell>
          <cell r="D153">
            <v>93642</v>
          </cell>
        </row>
        <row r="154">
          <cell r="A154" t="str">
            <v>Reprovado</v>
          </cell>
          <cell r="D154">
            <v>93638</v>
          </cell>
        </row>
        <row r="155">
          <cell r="A155" t="str">
            <v>Aprovado</v>
          </cell>
          <cell r="D155">
            <v>93637</v>
          </cell>
        </row>
        <row r="156">
          <cell r="A156" t="str">
            <v>Aprovado</v>
          </cell>
          <cell r="D156">
            <v>93557</v>
          </cell>
        </row>
        <row r="157">
          <cell r="A157" t="str">
            <v>Aprovado</v>
          </cell>
          <cell r="D157">
            <v>93550</v>
          </cell>
        </row>
        <row r="158">
          <cell r="A158" t="str">
            <v>Aprovado</v>
          </cell>
          <cell r="D158">
            <v>93504</v>
          </cell>
        </row>
        <row r="159">
          <cell r="A159" t="str">
            <v>Aprovado</v>
          </cell>
          <cell r="D159">
            <v>93475</v>
          </cell>
        </row>
        <row r="160">
          <cell r="A160" t="str">
            <v>Aprovado</v>
          </cell>
          <cell r="D160">
            <v>93451</v>
          </cell>
        </row>
        <row r="161">
          <cell r="A161" t="str">
            <v>Aprovado</v>
          </cell>
          <cell r="D161">
            <v>93443</v>
          </cell>
        </row>
        <row r="162">
          <cell r="A162" t="str">
            <v>Aprovado</v>
          </cell>
          <cell r="D162">
            <v>93433</v>
          </cell>
        </row>
        <row r="163">
          <cell r="A163" t="str">
            <v>Aprovado</v>
          </cell>
          <cell r="D163">
            <v>93431</v>
          </cell>
        </row>
        <row r="164">
          <cell r="A164" t="str">
            <v>Reprovado</v>
          </cell>
          <cell r="D164">
            <v>93407</v>
          </cell>
        </row>
        <row r="165">
          <cell r="A165" t="str">
            <v>Aprovado</v>
          </cell>
          <cell r="D165">
            <v>93402</v>
          </cell>
        </row>
        <row r="166">
          <cell r="A166" t="str">
            <v>Aprovado</v>
          </cell>
          <cell r="D166">
            <v>93400</v>
          </cell>
        </row>
        <row r="167">
          <cell r="A167" t="str">
            <v>Aprovado</v>
          </cell>
          <cell r="D167">
            <v>93396</v>
          </cell>
        </row>
        <row r="168">
          <cell r="A168" t="str">
            <v>Aprovado</v>
          </cell>
          <cell r="D168">
            <v>93383</v>
          </cell>
        </row>
        <row r="169">
          <cell r="A169" t="str">
            <v>Aprovado</v>
          </cell>
          <cell r="D169">
            <v>93330</v>
          </cell>
        </row>
        <row r="170">
          <cell r="A170" t="str">
            <v>Aprovado</v>
          </cell>
          <cell r="D170">
            <v>93327</v>
          </cell>
        </row>
        <row r="171">
          <cell r="A171" t="str">
            <v>Aprovado</v>
          </cell>
          <cell r="D171">
            <v>93320</v>
          </cell>
        </row>
        <row r="172">
          <cell r="A172" t="str">
            <v>Reprovado</v>
          </cell>
          <cell r="D172">
            <v>93317</v>
          </cell>
        </row>
        <row r="173">
          <cell r="A173" t="str">
            <v>Reprovado</v>
          </cell>
          <cell r="D173">
            <v>93315</v>
          </cell>
        </row>
        <row r="174">
          <cell r="A174" t="str">
            <v>Aprovado</v>
          </cell>
          <cell r="D174">
            <v>93300</v>
          </cell>
        </row>
        <row r="175">
          <cell r="A175" t="str">
            <v>Aprovado</v>
          </cell>
          <cell r="D175">
            <v>93298</v>
          </cell>
        </row>
        <row r="176">
          <cell r="A176" t="str">
            <v>Aprovado</v>
          </cell>
          <cell r="D176">
            <v>93248</v>
          </cell>
        </row>
        <row r="177">
          <cell r="A177" t="str">
            <v>Aprovado</v>
          </cell>
          <cell r="D177">
            <v>93204</v>
          </cell>
        </row>
        <row r="178">
          <cell r="A178" t="str">
            <v>Reprovado</v>
          </cell>
          <cell r="D178">
            <v>93195</v>
          </cell>
        </row>
        <row r="179">
          <cell r="A179" t="str">
            <v>Aprovado</v>
          </cell>
          <cell r="D179">
            <v>93159</v>
          </cell>
        </row>
        <row r="180">
          <cell r="A180" t="str">
            <v>Aprovado</v>
          </cell>
          <cell r="D180">
            <v>93130</v>
          </cell>
        </row>
        <row r="181">
          <cell r="A181" t="str">
            <v>Aprovado</v>
          </cell>
          <cell r="D181">
            <v>93116</v>
          </cell>
        </row>
        <row r="182">
          <cell r="A182" t="str">
            <v>Reprovado</v>
          </cell>
          <cell r="D182">
            <v>93085</v>
          </cell>
        </row>
        <row r="183">
          <cell r="A183" t="str">
            <v>Aprovado</v>
          </cell>
          <cell r="D183">
            <v>93058</v>
          </cell>
        </row>
        <row r="184">
          <cell r="A184" t="str">
            <v>Aprovado</v>
          </cell>
          <cell r="D184">
            <v>93057</v>
          </cell>
        </row>
        <row r="185">
          <cell r="A185" t="str">
            <v>Aprovado</v>
          </cell>
          <cell r="D185">
            <v>93039</v>
          </cell>
        </row>
        <row r="186">
          <cell r="A186" t="str">
            <v>Reprovado</v>
          </cell>
          <cell r="D186">
            <v>93033</v>
          </cell>
        </row>
        <row r="187">
          <cell r="A187" t="str">
            <v>Aprovado</v>
          </cell>
          <cell r="D187">
            <v>93004</v>
          </cell>
        </row>
        <row r="188">
          <cell r="A188" t="str">
            <v>Aprovado</v>
          </cell>
          <cell r="D188">
            <v>93001</v>
          </cell>
        </row>
        <row r="189">
          <cell r="A189" t="str">
            <v>Aprovado</v>
          </cell>
          <cell r="D189">
            <v>92997</v>
          </cell>
        </row>
        <row r="190">
          <cell r="A190" t="str">
            <v>Aprovado</v>
          </cell>
          <cell r="D190">
            <v>92996</v>
          </cell>
        </row>
        <row r="191">
          <cell r="A191" t="str">
            <v>Aprovado</v>
          </cell>
          <cell r="D191">
            <v>92977</v>
          </cell>
        </row>
        <row r="192">
          <cell r="A192" t="str">
            <v>Aprovado</v>
          </cell>
          <cell r="D192">
            <v>92959</v>
          </cell>
        </row>
        <row r="193">
          <cell r="A193" t="str">
            <v>Aprovado</v>
          </cell>
          <cell r="D193">
            <v>92905</v>
          </cell>
        </row>
        <row r="194">
          <cell r="A194" t="str">
            <v>Aprovado</v>
          </cell>
          <cell r="D194">
            <v>92903</v>
          </cell>
        </row>
        <row r="195">
          <cell r="A195" t="str">
            <v>Aprovado</v>
          </cell>
          <cell r="D195">
            <v>92902</v>
          </cell>
        </row>
        <row r="196">
          <cell r="A196" t="str">
            <v>Aprovado</v>
          </cell>
          <cell r="D196">
            <v>92895</v>
          </cell>
        </row>
        <row r="197">
          <cell r="A197" t="str">
            <v>Reprovado</v>
          </cell>
          <cell r="D197">
            <v>92891</v>
          </cell>
        </row>
        <row r="198">
          <cell r="A198" t="str">
            <v>Aprovado</v>
          </cell>
          <cell r="D198">
            <v>92791</v>
          </cell>
        </row>
        <row r="199">
          <cell r="A199" t="str">
            <v>Reprovado</v>
          </cell>
          <cell r="D199">
            <v>92788</v>
          </cell>
        </row>
        <row r="200">
          <cell r="A200" t="str">
            <v>Aprovado</v>
          </cell>
          <cell r="D200">
            <v>92789</v>
          </cell>
        </row>
        <row r="201">
          <cell r="A201" t="str">
            <v>Aprovado</v>
          </cell>
          <cell r="D201">
            <v>92787</v>
          </cell>
        </row>
        <row r="202">
          <cell r="A202" t="str">
            <v>Reprovado</v>
          </cell>
          <cell r="D202">
            <v>92786</v>
          </cell>
        </row>
        <row r="203">
          <cell r="A203" t="str">
            <v>Reprovado</v>
          </cell>
          <cell r="D203">
            <v>92785</v>
          </cell>
        </row>
        <row r="204">
          <cell r="A204" t="str">
            <v>Aprovado</v>
          </cell>
          <cell r="D204">
            <v>92563</v>
          </cell>
        </row>
        <row r="205">
          <cell r="A205" t="str">
            <v>Aprovado</v>
          </cell>
          <cell r="D205">
            <v>92477</v>
          </cell>
        </row>
        <row r="206">
          <cell r="A206" t="str">
            <v>Aprovado</v>
          </cell>
          <cell r="D206">
            <v>92409</v>
          </cell>
        </row>
        <row r="207">
          <cell r="A207" t="str">
            <v>Reprovado</v>
          </cell>
          <cell r="D207">
            <v>92332</v>
          </cell>
        </row>
        <row r="208">
          <cell r="A208" t="str">
            <v>Aprovado</v>
          </cell>
          <cell r="D208">
            <v>91931</v>
          </cell>
        </row>
        <row r="209">
          <cell r="A209" t="str">
            <v>Aprovado</v>
          </cell>
          <cell r="D209">
            <v>91326</v>
          </cell>
        </row>
        <row r="210">
          <cell r="A210" t="str">
            <v>Aprovado</v>
          </cell>
          <cell r="D210">
            <v>91165</v>
          </cell>
        </row>
        <row r="211">
          <cell r="A211" t="str">
            <v>Aprovado</v>
          </cell>
          <cell r="D211">
            <v>92400</v>
          </cell>
        </row>
        <row r="212">
          <cell r="A212" t="str">
            <v>Em Aprovação</v>
          </cell>
          <cell r="D212">
            <v>93321</v>
          </cell>
        </row>
        <row r="213">
          <cell r="A213" t="str">
            <v>Reprovado</v>
          </cell>
          <cell r="D213">
            <v>93318</v>
          </cell>
        </row>
        <row r="214">
          <cell r="A214" t="str">
            <v>Reprovado</v>
          </cell>
          <cell r="D214">
            <v>93316</v>
          </cell>
        </row>
        <row r="215">
          <cell r="A215" t="str">
            <v>Em Aprovação</v>
          </cell>
          <cell r="D215">
            <v>91400</v>
          </cell>
        </row>
        <row r="216">
          <cell r="A216" t="str">
            <v>Reprovado</v>
          </cell>
          <cell r="D216">
            <v>91363</v>
          </cell>
        </row>
        <row r="217">
          <cell r="A217" t="str">
            <v>Aprovado</v>
          </cell>
          <cell r="D217">
            <v>92011</v>
          </cell>
        </row>
        <row r="218">
          <cell r="A218" t="str">
            <v>Reprovado</v>
          </cell>
          <cell r="D218">
            <v>91902</v>
          </cell>
        </row>
        <row r="219">
          <cell r="A219" t="str">
            <v>Aprovado</v>
          </cell>
          <cell r="D219">
            <v>91268</v>
          </cell>
        </row>
        <row r="220">
          <cell r="A220" t="str">
            <v>Reprovado</v>
          </cell>
          <cell r="D220">
            <v>91223</v>
          </cell>
        </row>
        <row r="221">
          <cell r="A221" t="str">
            <v>Aprovado</v>
          </cell>
          <cell r="D221">
            <v>90335</v>
          </cell>
        </row>
        <row r="222">
          <cell r="A222" t="str">
            <v>Aprovado</v>
          </cell>
          <cell r="D222">
            <v>90331</v>
          </cell>
        </row>
        <row r="223">
          <cell r="A223" t="str">
            <v>Reprovado</v>
          </cell>
          <cell r="D223">
            <v>90329</v>
          </cell>
        </row>
        <row r="224">
          <cell r="A224" t="str">
            <v>Em Aprovação</v>
          </cell>
          <cell r="D224">
            <v>94640</v>
          </cell>
        </row>
        <row r="225">
          <cell r="A225" t="str">
            <v>Em Aprovação</v>
          </cell>
          <cell r="D225">
            <v>94639</v>
          </cell>
        </row>
        <row r="226">
          <cell r="A226" t="str">
            <v>Em Aprovação</v>
          </cell>
          <cell r="D226">
            <v>94638</v>
          </cell>
        </row>
        <row r="227">
          <cell r="A227" t="str">
            <v>Em Aprovação</v>
          </cell>
          <cell r="D227">
            <v>94637</v>
          </cell>
        </row>
        <row r="228">
          <cell r="A228" t="str">
            <v>Em Aprovação</v>
          </cell>
          <cell r="D228">
            <v>94609</v>
          </cell>
        </row>
        <row r="229">
          <cell r="A229" t="str">
            <v>Em Aprovação</v>
          </cell>
          <cell r="D229">
            <v>94602</v>
          </cell>
        </row>
        <row r="230">
          <cell r="A230" t="str">
            <v>Em Aprovação</v>
          </cell>
          <cell r="D230">
            <v>94600</v>
          </cell>
        </row>
        <row r="231">
          <cell r="A231" t="str">
            <v>Em Aprovação</v>
          </cell>
          <cell r="D231">
            <v>94597</v>
          </cell>
        </row>
        <row r="232">
          <cell r="A232" t="str">
            <v>Em Aprovação</v>
          </cell>
          <cell r="D232">
            <v>94596</v>
          </cell>
        </row>
        <row r="233">
          <cell r="A233" t="str">
            <v>Em Aprovação</v>
          </cell>
          <cell r="D233">
            <v>94514</v>
          </cell>
        </row>
        <row r="234">
          <cell r="A234" t="str">
            <v>Reprovado</v>
          </cell>
          <cell r="D234">
            <v>94438</v>
          </cell>
        </row>
        <row r="235">
          <cell r="A235" t="str">
            <v>Reprovado</v>
          </cell>
          <cell r="D235">
            <v>94419</v>
          </cell>
        </row>
        <row r="236">
          <cell r="A236" t="str">
            <v>Aprovado</v>
          </cell>
          <cell r="D236">
            <v>94242</v>
          </cell>
        </row>
        <row r="237">
          <cell r="A237" t="str">
            <v>Aprovado</v>
          </cell>
          <cell r="D237">
            <v>94218</v>
          </cell>
        </row>
        <row r="238">
          <cell r="A238" t="str">
            <v>Em Aprovação</v>
          </cell>
          <cell r="D238">
            <v>94662</v>
          </cell>
        </row>
        <row r="239">
          <cell r="A239" t="str">
            <v>Em Aprovação</v>
          </cell>
          <cell r="D239">
            <v>94660</v>
          </cell>
        </row>
        <row r="240">
          <cell r="A240" t="str">
            <v>Em Aprovação</v>
          </cell>
          <cell r="D240">
            <v>94659</v>
          </cell>
        </row>
        <row r="241">
          <cell r="A241" t="str">
            <v>Em Aprovação</v>
          </cell>
          <cell r="D241">
            <v>94661</v>
          </cell>
        </row>
        <row r="242">
          <cell r="A242" t="str">
            <v>Em Aprovação</v>
          </cell>
          <cell r="D242">
            <v>94658</v>
          </cell>
        </row>
        <row r="243">
          <cell r="A243" t="str">
            <v>Em Aprovação</v>
          </cell>
          <cell r="D243">
            <v>94656</v>
          </cell>
        </row>
        <row r="244">
          <cell r="A244" t="str">
            <v>Em Aprovação</v>
          </cell>
          <cell r="D244">
            <v>94644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"/>
  <sheetViews>
    <sheetView tabSelected="1" workbookViewId="0">
      <pane ySplit="1" topLeftCell="A16" activePane="bottomLeft" state="frozen"/>
      <selection pane="bottomLeft" activeCell="E2" sqref="E2:E209"/>
    </sheetView>
  </sheetViews>
  <sheetFormatPr defaultRowHeight="15.75" x14ac:dyDescent="0.25"/>
  <cols>
    <col min="1" max="1" width="12.375" style="1" bestFit="1" customWidth="1"/>
    <col min="2" max="2" width="12.375" style="1" customWidth="1"/>
    <col min="3" max="3" width="15.5" style="1" bestFit="1" customWidth="1"/>
    <col min="4" max="4" width="15.125" style="1" bestFit="1" customWidth="1"/>
    <col min="5" max="5" width="15.125" style="1" customWidth="1"/>
    <col min="6" max="6" width="12.375" style="1" bestFit="1" customWidth="1"/>
    <col min="7" max="7" width="12.5" style="1" bestFit="1" customWidth="1"/>
    <col min="8" max="8" width="15.875" style="1" bestFit="1" customWidth="1"/>
    <col min="9" max="9" width="15.125" style="1" bestFit="1" customWidth="1"/>
    <col min="10" max="10" width="11.375" style="1" bestFit="1" customWidth="1"/>
    <col min="11" max="11" width="77.125" style="1" bestFit="1" customWidth="1"/>
    <col min="12" max="16384" width="9" style="1"/>
  </cols>
  <sheetData>
    <row r="1" spans="1:11" ht="21" customHeight="1" x14ac:dyDescent="0.25">
      <c r="A1" s="3" t="s">
        <v>0</v>
      </c>
      <c r="B1" s="3"/>
      <c r="C1" s="3" t="s">
        <v>1</v>
      </c>
      <c r="D1" s="3" t="s">
        <v>2</v>
      </c>
      <c r="E1" s="3"/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s="1" t="s">
        <v>9</v>
      </c>
      <c r="B2" s="1" t="str">
        <f>_xlfn.XLOOKUP(D2,[1]Data!$D:$D,[1]Data!$A:$A)</f>
        <v>Em Aprovação</v>
      </c>
      <c r="C2" s="1" t="s">
        <v>10</v>
      </c>
      <c r="D2" s="1">
        <v>94662</v>
      </c>
      <c r="E2" s="1">
        <f>_xlfn.XLOOKUP(D2,[1]Data!$D:$D,[1]Data!$D:$D)</f>
        <v>94662</v>
      </c>
      <c r="F2" s="1" t="s">
        <v>11</v>
      </c>
      <c r="G2" s="2" t="s">
        <v>367</v>
      </c>
      <c r="H2" s="1">
        <v>195</v>
      </c>
      <c r="I2" s="4">
        <v>505834.37</v>
      </c>
      <c r="J2" s="1" t="s">
        <v>13</v>
      </c>
      <c r="K2" s="1" t="s">
        <v>14</v>
      </c>
    </row>
    <row r="3" spans="1:11" x14ac:dyDescent="0.25">
      <c r="A3" s="1" t="s">
        <v>9</v>
      </c>
      <c r="B3" s="1" t="str">
        <f>_xlfn.XLOOKUP(D3,[1]Data!$D:$D,[1]Data!$A:$A)</f>
        <v>Em Aprovação</v>
      </c>
      <c r="C3" s="1" t="s">
        <v>15</v>
      </c>
      <c r="D3" s="1">
        <v>94660</v>
      </c>
      <c r="E3" s="1">
        <f>_xlfn.XLOOKUP(D3,[1]Data!$D:$D,[1]Data!$D:$D)</f>
        <v>94660</v>
      </c>
      <c r="F3" s="1" t="s">
        <v>11</v>
      </c>
      <c r="G3" s="1" t="s">
        <v>367</v>
      </c>
      <c r="H3" s="1">
        <v>194</v>
      </c>
      <c r="I3" s="4">
        <v>196736.36</v>
      </c>
      <c r="J3" s="1" t="s">
        <v>13</v>
      </c>
      <c r="K3" s="1" t="s">
        <v>14</v>
      </c>
    </row>
    <row r="4" spans="1:11" x14ac:dyDescent="0.25">
      <c r="A4" s="1" t="s">
        <v>9</v>
      </c>
      <c r="B4" s="1" t="str">
        <f>_xlfn.XLOOKUP(D4,[1]Data!$D:$D,[1]Data!$A:$A)</f>
        <v>Em Aprovação</v>
      </c>
      <c r="C4" s="1" t="s">
        <v>16</v>
      </c>
      <c r="D4" s="1">
        <v>94659</v>
      </c>
      <c r="E4" s="1">
        <f>_xlfn.XLOOKUP(D4,[1]Data!$D:$D,[1]Data!$D:$D)</f>
        <v>94659</v>
      </c>
      <c r="F4" s="1" t="s">
        <v>17</v>
      </c>
      <c r="G4" s="1" t="s">
        <v>368</v>
      </c>
      <c r="H4" s="1">
        <v>15695</v>
      </c>
      <c r="I4" s="4">
        <v>11984</v>
      </c>
      <c r="J4" s="1" t="s">
        <v>19</v>
      </c>
      <c r="K4" s="1" t="s">
        <v>20</v>
      </c>
    </row>
    <row r="5" spans="1:11" x14ac:dyDescent="0.25">
      <c r="A5" s="1" t="s">
        <v>9</v>
      </c>
      <c r="B5" s="1" t="str">
        <f>_xlfn.XLOOKUP(D5,[1]Data!$D:$D,[1]Data!$A:$A)</f>
        <v>Em Aprovação</v>
      </c>
      <c r="C5" s="1" t="s">
        <v>21</v>
      </c>
      <c r="D5" s="1">
        <v>94661</v>
      </c>
      <c r="E5" s="1">
        <f>_xlfn.XLOOKUP(D5,[1]Data!$D:$D,[1]Data!$D:$D)</f>
        <v>94661</v>
      </c>
      <c r="F5" s="1" t="s">
        <v>17</v>
      </c>
      <c r="G5" s="1" t="s">
        <v>368</v>
      </c>
      <c r="H5" s="1">
        <v>7370</v>
      </c>
      <c r="I5" s="4">
        <v>2439.6</v>
      </c>
      <c r="J5" s="1" t="s">
        <v>22</v>
      </c>
      <c r="K5" s="1" t="s">
        <v>23</v>
      </c>
    </row>
    <row r="6" spans="1:11" x14ac:dyDescent="0.25">
      <c r="A6" s="1" t="s">
        <v>9</v>
      </c>
      <c r="B6" s="1" t="str">
        <f>_xlfn.XLOOKUP(D6,[1]Data!$D:$D,[1]Data!$A:$A)</f>
        <v>Em Aprovação</v>
      </c>
      <c r="C6" s="1" t="s">
        <v>24</v>
      </c>
      <c r="D6" s="1">
        <v>94658</v>
      </c>
      <c r="E6" s="1">
        <f>_xlfn.XLOOKUP(D6,[1]Data!$D:$D,[1]Data!$D:$D)</f>
        <v>94658</v>
      </c>
      <c r="F6" s="1" t="s">
        <v>11</v>
      </c>
      <c r="G6" s="1" t="s">
        <v>367</v>
      </c>
      <c r="H6" s="1">
        <v>193</v>
      </c>
      <c r="I6" s="4">
        <v>430497.34</v>
      </c>
      <c r="J6" s="1" t="s">
        <v>13</v>
      </c>
      <c r="K6" s="1" t="s">
        <v>14</v>
      </c>
    </row>
    <row r="7" spans="1:11" x14ac:dyDescent="0.25">
      <c r="A7" s="1" t="s">
        <v>9</v>
      </c>
      <c r="B7" s="1" t="str">
        <f>_xlfn.XLOOKUP(D7,[1]Data!$D:$D,[1]Data!$A:$A)</f>
        <v>Em Aprovação</v>
      </c>
      <c r="C7" s="1" t="s">
        <v>25</v>
      </c>
      <c r="D7" s="1">
        <v>94656</v>
      </c>
      <c r="E7" s="1">
        <f>_xlfn.XLOOKUP(D7,[1]Data!$D:$D,[1]Data!$D:$D)</f>
        <v>94656</v>
      </c>
      <c r="F7" s="1" t="s">
        <v>17</v>
      </c>
      <c r="G7" s="1" t="s">
        <v>368</v>
      </c>
      <c r="H7" s="1">
        <v>15692</v>
      </c>
      <c r="I7" s="4">
        <v>11984</v>
      </c>
      <c r="J7" s="1" t="s">
        <v>19</v>
      </c>
      <c r="K7" s="1" t="s">
        <v>20</v>
      </c>
    </row>
    <row r="8" spans="1:11" x14ac:dyDescent="0.25">
      <c r="A8" s="1" t="s">
        <v>9</v>
      </c>
      <c r="B8" s="1" t="str">
        <f>_xlfn.XLOOKUP(D8,[1]Data!$D:$D,[1]Data!$A:$A)</f>
        <v>Em Aprovação</v>
      </c>
      <c r="C8" s="1" t="s">
        <v>26</v>
      </c>
      <c r="D8" s="1">
        <v>94644</v>
      </c>
      <c r="E8" s="1">
        <f>_xlfn.XLOOKUP(D8,[1]Data!$D:$D,[1]Data!$D:$D)</f>
        <v>94644</v>
      </c>
      <c r="F8" s="1" t="s">
        <v>17</v>
      </c>
      <c r="G8" s="1" t="s">
        <v>369</v>
      </c>
      <c r="H8" s="1">
        <v>628930</v>
      </c>
      <c r="I8" s="4">
        <v>145400.09</v>
      </c>
      <c r="J8" s="1" t="s">
        <v>28</v>
      </c>
      <c r="K8" s="1" t="s">
        <v>29</v>
      </c>
    </row>
    <row r="9" spans="1:11" x14ac:dyDescent="0.25">
      <c r="A9" s="1" t="s">
        <v>9</v>
      </c>
      <c r="B9" s="1" t="str">
        <f>_xlfn.XLOOKUP(D9,[1]Data!$D:$D,[1]Data!$A:$A)</f>
        <v>Em Aprovação</v>
      </c>
      <c r="C9" s="1" t="s">
        <v>30</v>
      </c>
      <c r="D9" s="1">
        <v>94640</v>
      </c>
      <c r="E9" s="1">
        <f>_xlfn.XLOOKUP(D9,[1]Data!$D:$D,[1]Data!$D:$D)</f>
        <v>94640</v>
      </c>
      <c r="F9" s="1" t="s">
        <v>17</v>
      </c>
      <c r="G9" s="1" t="s">
        <v>369</v>
      </c>
      <c r="H9" s="1">
        <v>332542</v>
      </c>
      <c r="I9" s="4">
        <v>184216</v>
      </c>
      <c r="J9" s="1" t="s">
        <v>32</v>
      </c>
      <c r="K9" s="1" t="s">
        <v>33</v>
      </c>
    </row>
    <row r="10" spans="1:11" x14ac:dyDescent="0.25">
      <c r="A10" s="1" t="s">
        <v>9</v>
      </c>
      <c r="B10" s="1" t="str">
        <f>_xlfn.XLOOKUP(D10,[1]Data!$D:$D,[1]Data!$A:$A)</f>
        <v>Em Aprovação</v>
      </c>
      <c r="C10" s="1" t="s">
        <v>34</v>
      </c>
      <c r="D10" s="1">
        <v>94639</v>
      </c>
      <c r="E10" s="1">
        <f>_xlfn.XLOOKUP(D10,[1]Data!$D:$D,[1]Data!$D:$D)</f>
        <v>94639</v>
      </c>
      <c r="F10" s="1" t="s">
        <v>17</v>
      </c>
      <c r="G10" s="1" t="s">
        <v>369</v>
      </c>
      <c r="H10" s="1">
        <v>45800</v>
      </c>
      <c r="I10" s="4">
        <v>61746.03</v>
      </c>
      <c r="J10" s="1" t="s">
        <v>36</v>
      </c>
      <c r="K10" s="1" t="s">
        <v>37</v>
      </c>
    </row>
    <row r="11" spans="1:11" x14ac:dyDescent="0.25">
      <c r="A11" s="1" t="s">
        <v>9</v>
      </c>
      <c r="B11" s="1" t="str">
        <f>_xlfn.XLOOKUP(D11,[1]Data!$D:$D,[1]Data!$A:$A)</f>
        <v>Em Aprovação</v>
      </c>
      <c r="C11" s="1" t="s">
        <v>38</v>
      </c>
      <c r="D11" s="1">
        <v>94638</v>
      </c>
      <c r="E11" s="1">
        <f>_xlfn.XLOOKUP(D11,[1]Data!$D:$D,[1]Data!$D:$D)</f>
        <v>94638</v>
      </c>
      <c r="F11" s="1" t="s">
        <v>17</v>
      </c>
      <c r="G11" s="1" t="s">
        <v>369</v>
      </c>
      <c r="H11" s="1">
        <v>45799</v>
      </c>
      <c r="I11" s="4">
        <v>145790.66</v>
      </c>
      <c r="J11" s="1" t="s">
        <v>36</v>
      </c>
      <c r="K11" s="1" t="s">
        <v>37</v>
      </c>
    </row>
    <row r="12" spans="1:11" x14ac:dyDescent="0.25">
      <c r="A12" s="1" t="s">
        <v>9</v>
      </c>
      <c r="B12" s="1" t="str">
        <f>_xlfn.XLOOKUP(D12,[1]Data!$D:$D,[1]Data!$A:$A)</f>
        <v>Em Aprovação</v>
      </c>
      <c r="C12" s="1" t="s">
        <v>39</v>
      </c>
      <c r="D12" s="1">
        <v>94637</v>
      </c>
      <c r="E12" s="1">
        <f>_xlfn.XLOOKUP(D12,[1]Data!$D:$D,[1]Data!$D:$D)</f>
        <v>94637</v>
      </c>
      <c r="F12" s="1" t="s">
        <v>17</v>
      </c>
      <c r="G12" s="1" t="s">
        <v>369</v>
      </c>
      <c r="H12" s="1">
        <v>121771</v>
      </c>
      <c r="I12" s="4">
        <v>1070985.47</v>
      </c>
      <c r="J12" s="1" t="s">
        <v>40</v>
      </c>
      <c r="K12" s="1" t="s">
        <v>41</v>
      </c>
    </row>
    <row r="13" spans="1:11" x14ac:dyDescent="0.25">
      <c r="A13" s="1" t="s">
        <v>9</v>
      </c>
      <c r="B13" s="1" t="str">
        <f>_xlfn.XLOOKUP(D13,[1]Data!$D:$D,[1]Data!$A:$A)</f>
        <v>Em Aprovação</v>
      </c>
      <c r="C13" s="1" t="s">
        <v>42</v>
      </c>
      <c r="D13" s="1">
        <v>94609</v>
      </c>
      <c r="E13" s="1">
        <f>_xlfn.XLOOKUP(D13,[1]Data!$D:$D,[1]Data!$D:$D)</f>
        <v>94609</v>
      </c>
      <c r="F13" s="1" t="s">
        <v>17</v>
      </c>
      <c r="G13" s="1" t="s">
        <v>368</v>
      </c>
      <c r="H13" s="1">
        <v>348051</v>
      </c>
      <c r="I13" s="4">
        <v>4096.3100000000004</v>
      </c>
      <c r="J13" s="1" t="s">
        <v>28</v>
      </c>
      <c r="K13" s="1" t="s">
        <v>44</v>
      </c>
    </row>
    <row r="14" spans="1:11" x14ac:dyDescent="0.25">
      <c r="A14" s="1" t="s">
        <v>9</v>
      </c>
      <c r="B14" s="1" t="str">
        <f>_xlfn.XLOOKUP(D14,[1]Data!$D:$D,[1]Data!$A:$A)</f>
        <v>Em Aprovação</v>
      </c>
      <c r="C14" s="1" t="s">
        <v>45</v>
      </c>
      <c r="D14" s="1">
        <v>94602</v>
      </c>
      <c r="E14" s="1">
        <f>_xlfn.XLOOKUP(D14,[1]Data!$D:$D,[1]Data!$D:$D)</f>
        <v>94602</v>
      </c>
      <c r="F14" s="1" t="s">
        <v>17</v>
      </c>
      <c r="G14" s="1" t="s">
        <v>368</v>
      </c>
      <c r="H14" s="1">
        <v>348354</v>
      </c>
      <c r="I14" s="4">
        <v>4252.4799999999996</v>
      </c>
      <c r="J14" s="1" t="s">
        <v>22</v>
      </c>
      <c r="K14" s="1" t="s">
        <v>44</v>
      </c>
    </row>
    <row r="15" spans="1:11" x14ac:dyDescent="0.25">
      <c r="A15" s="1" t="s">
        <v>9</v>
      </c>
      <c r="B15" s="1" t="str">
        <f>_xlfn.XLOOKUP(D15,[1]Data!$D:$D,[1]Data!$A:$A)</f>
        <v>Em Aprovação</v>
      </c>
      <c r="C15" s="1" t="s">
        <v>47</v>
      </c>
      <c r="D15" s="1">
        <v>94600</v>
      </c>
      <c r="E15" s="1">
        <f>_xlfn.XLOOKUP(D15,[1]Data!$D:$D,[1]Data!$D:$D)</f>
        <v>94600</v>
      </c>
      <c r="F15" s="1" t="s">
        <v>17</v>
      </c>
      <c r="G15" s="1" t="s">
        <v>368</v>
      </c>
      <c r="H15" s="1">
        <v>348359</v>
      </c>
      <c r="I15" s="4">
        <v>4320.38</v>
      </c>
      <c r="J15" s="1" t="s">
        <v>22</v>
      </c>
      <c r="K15" s="1" t="s">
        <v>44</v>
      </c>
    </row>
    <row r="16" spans="1:11" x14ac:dyDescent="0.25">
      <c r="A16" s="1" t="s">
        <v>9</v>
      </c>
      <c r="B16" s="1" t="str">
        <f>_xlfn.XLOOKUP(D16,[1]Data!$D:$D,[1]Data!$A:$A)</f>
        <v>Em Aprovação</v>
      </c>
      <c r="C16" s="1" t="s">
        <v>48</v>
      </c>
      <c r="D16" s="1">
        <v>94597</v>
      </c>
      <c r="E16" s="1">
        <f>_xlfn.XLOOKUP(D16,[1]Data!$D:$D,[1]Data!$D:$D)</f>
        <v>94597</v>
      </c>
      <c r="F16" s="1" t="s">
        <v>17</v>
      </c>
      <c r="G16" s="1" t="s">
        <v>368</v>
      </c>
      <c r="H16" s="1">
        <v>348385</v>
      </c>
      <c r="I16" s="4">
        <v>4268</v>
      </c>
      <c r="J16" s="1" t="s">
        <v>22</v>
      </c>
      <c r="K16" s="1" t="s">
        <v>44</v>
      </c>
    </row>
    <row r="17" spans="1:11" x14ac:dyDescent="0.25">
      <c r="A17" s="1" t="s">
        <v>9</v>
      </c>
      <c r="B17" s="1" t="str">
        <f>_xlfn.XLOOKUP(D17,[1]Data!$D:$D,[1]Data!$A:$A)</f>
        <v>Em Aprovação</v>
      </c>
      <c r="C17" s="1" t="s">
        <v>49</v>
      </c>
      <c r="D17" s="1">
        <v>94596</v>
      </c>
      <c r="E17" s="1">
        <f>_xlfn.XLOOKUP(D17,[1]Data!$D:$D,[1]Data!$D:$D)</f>
        <v>94596</v>
      </c>
      <c r="F17" s="1" t="s">
        <v>17</v>
      </c>
      <c r="G17" s="1" t="s">
        <v>368</v>
      </c>
      <c r="H17" s="1">
        <v>348086</v>
      </c>
      <c r="I17" s="4">
        <v>4074</v>
      </c>
      <c r="J17" s="1" t="s">
        <v>28</v>
      </c>
      <c r="K17" s="1" t="s">
        <v>44</v>
      </c>
    </row>
    <row r="18" spans="1:11" x14ac:dyDescent="0.25">
      <c r="A18" s="1" t="s">
        <v>9</v>
      </c>
      <c r="B18" s="1" t="str">
        <f>_xlfn.XLOOKUP(D18,[1]Data!$D:$D,[1]Data!$A:$A)</f>
        <v>Em Aprovação</v>
      </c>
      <c r="C18" s="1" t="s">
        <v>50</v>
      </c>
      <c r="D18" s="1">
        <v>94514</v>
      </c>
      <c r="E18" s="1">
        <f>_xlfn.XLOOKUP(D18,[1]Data!$D:$D,[1]Data!$D:$D)</f>
        <v>94514</v>
      </c>
      <c r="F18" s="1" t="s">
        <v>17</v>
      </c>
      <c r="G18" s="1" t="s">
        <v>367</v>
      </c>
      <c r="H18" s="1">
        <v>14155</v>
      </c>
      <c r="I18" s="4">
        <v>56410</v>
      </c>
      <c r="J18" s="1" t="s">
        <v>52</v>
      </c>
      <c r="K18" s="1" t="s">
        <v>53</v>
      </c>
    </row>
    <row r="19" spans="1:11" x14ac:dyDescent="0.25">
      <c r="A19" s="1" t="s">
        <v>54</v>
      </c>
      <c r="B19" s="1" t="str">
        <f>_xlfn.XLOOKUP(D19,[1]Data!$D:$D,[1]Data!$A:$A)</f>
        <v>Reprovado</v>
      </c>
      <c r="C19" s="1" t="s">
        <v>55</v>
      </c>
      <c r="D19" s="1">
        <v>94438</v>
      </c>
      <c r="E19" s="1">
        <f>_xlfn.XLOOKUP(D19,[1]Data!$D:$D,[1]Data!$D:$D)</f>
        <v>94438</v>
      </c>
      <c r="F19" s="1" t="s">
        <v>17</v>
      </c>
      <c r="G19" s="1" t="s">
        <v>367</v>
      </c>
      <c r="H19" s="1">
        <v>174</v>
      </c>
      <c r="I19" s="4">
        <v>3350</v>
      </c>
      <c r="J19" s="1" t="s">
        <v>56</v>
      </c>
      <c r="K19" s="1" t="s">
        <v>57</v>
      </c>
    </row>
    <row r="20" spans="1:11" x14ac:dyDescent="0.25">
      <c r="A20" s="1" t="s">
        <v>54</v>
      </c>
      <c r="B20" s="1" t="str">
        <f>_xlfn.XLOOKUP(D20,[1]Data!$D:$D,[1]Data!$A:$A)</f>
        <v>Reprovado</v>
      </c>
      <c r="C20" s="1" t="s">
        <v>58</v>
      </c>
      <c r="D20" s="1">
        <v>94419</v>
      </c>
      <c r="E20" s="1">
        <f>_xlfn.XLOOKUP(D20,[1]Data!$D:$D,[1]Data!$D:$D)</f>
        <v>94419</v>
      </c>
      <c r="F20" s="1" t="s">
        <v>17</v>
      </c>
      <c r="G20" s="1" t="s">
        <v>367</v>
      </c>
      <c r="H20" s="1">
        <v>173</v>
      </c>
      <c r="I20" s="4">
        <v>3350</v>
      </c>
      <c r="J20" s="1" t="s">
        <v>56</v>
      </c>
      <c r="K20" s="1" t="s">
        <v>57</v>
      </c>
    </row>
    <row r="21" spans="1:11" x14ac:dyDescent="0.25">
      <c r="A21" s="1" t="s">
        <v>9</v>
      </c>
      <c r="B21" s="1" t="str">
        <f>_xlfn.XLOOKUP(D21,[1]Data!$D:$D,[1]Data!$A:$A)</f>
        <v>Aprovado</v>
      </c>
      <c r="C21" s="1" t="s">
        <v>59</v>
      </c>
      <c r="D21" s="1">
        <v>94335</v>
      </c>
      <c r="E21" s="1">
        <f>_xlfn.XLOOKUP(D21,[1]Data!$D:$D,[1]Data!$D:$D)</f>
        <v>94335</v>
      </c>
      <c r="F21" s="1" t="s">
        <v>11</v>
      </c>
      <c r="G21" s="1" t="s">
        <v>369</v>
      </c>
      <c r="H21" s="1">
        <v>345943</v>
      </c>
      <c r="I21" s="4">
        <v>93280</v>
      </c>
      <c r="J21" s="1" t="s">
        <v>60</v>
      </c>
      <c r="K21" s="1" t="s">
        <v>44</v>
      </c>
    </row>
    <row r="22" spans="1:11" x14ac:dyDescent="0.25">
      <c r="A22" s="1" t="s">
        <v>61</v>
      </c>
      <c r="B22" s="1" t="str">
        <f>_xlfn.XLOOKUP(D22,[1]Data!$D:$D,[1]Data!$A:$A)</f>
        <v>Aprovado</v>
      </c>
      <c r="C22" s="1" t="s">
        <v>62</v>
      </c>
      <c r="D22" s="1">
        <v>94242</v>
      </c>
      <c r="E22" s="1">
        <f>_xlfn.XLOOKUP(D22,[1]Data!$D:$D,[1]Data!$D:$D)</f>
        <v>94242</v>
      </c>
      <c r="F22" s="1" t="s">
        <v>11</v>
      </c>
      <c r="G22" s="1" t="s">
        <v>367</v>
      </c>
      <c r="H22" s="1">
        <v>4862</v>
      </c>
      <c r="I22" s="4">
        <v>4300</v>
      </c>
      <c r="J22" s="1" t="s">
        <v>19</v>
      </c>
      <c r="K22" s="1" t="s">
        <v>63</v>
      </c>
    </row>
    <row r="23" spans="1:11" x14ac:dyDescent="0.25">
      <c r="A23" s="1" t="s">
        <v>61</v>
      </c>
      <c r="B23" s="1" t="str">
        <f>_xlfn.XLOOKUP(D23,[1]Data!$D:$D,[1]Data!$A:$A)</f>
        <v>Aprovado</v>
      </c>
      <c r="C23" s="1" t="s">
        <v>64</v>
      </c>
      <c r="D23" s="1">
        <v>94218</v>
      </c>
      <c r="E23" s="1">
        <f>_xlfn.XLOOKUP(D23,[1]Data!$D:$D,[1]Data!$D:$D)</f>
        <v>94218</v>
      </c>
      <c r="F23" s="1" t="s">
        <v>11</v>
      </c>
      <c r="G23" s="1" t="s">
        <v>368</v>
      </c>
      <c r="H23" s="1">
        <v>15572</v>
      </c>
      <c r="I23" s="4">
        <v>11564</v>
      </c>
      <c r="J23" s="1" t="s">
        <v>52</v>
      </c>
      <c r="K23" s="1" t="s">
        <v>20</v>
      </c>
    </row>
    <row r="24" spans="1:11" x14ac:dyDescent="0.25">
      <c r="A24" s="1" t="s">
        <v>54</v>
      </c>
      <c r="B24" s="1" t="str">
        <f>_xlfn.XLOOKUP(D24,[1]Data!$D:$D,[1]Data!$A:$A)</f>
        <v>Reprovado</v>
      </c>
      <c r="C24" s="1" t="s">
        <v>66</v>
      </c>
      <c r="D24" s="1">
        <v>94122</v>
      </c>
      <c r="E24" s="1">
        <f>_xlfn.XLOOKUP(D24,[1]Data!$D:$D,[1]Data!$D:$D)</f>
        <v>94122</v>
      </c>
      <c r="F24" s="1" t="s">
        <v>17</v>
      </c>
      <c r="G24" s="1" t="s">
        <v>370</v>
      </c>
      <c r="H24" s="1">
        <v>15572</v>
      </c>
      <c r="I24" s="4">
        <v>11564</v>
      </c>
      <c r="J24" s="1" t="s">
        <v>52</v>
      </c>
      <c r="K24" s="1" t="s">
        <v>20</v>
      </c>
    </row>
    <row r="25" spans="1:11" x14ac:dyDescent="0.25">
      <c r="A25" s="1" t="s">
        <v>61</v>
      </c>
      <c r="B25" s="1" t="str">
        <f>_xlfn.XLOOKUP(D25,[1]Data!$D:$D,[1]Data!$A:$A)</f>
        <v>Aprovado</v>
      </c>
      <c r="C25" s="1" t="s">
        <v>67</v>
      </c>
      <c r="D25" s="1">
        <v>94120</v>
      </c>
      <c r="E25" s="1">
        <f>_xlfn.XLOOKUP(D25,[1]Data!$D:$D,[1]Data!$D:$D)</f>
        <v>94120</v>
      </c>
      <c r="F25" s="1" t="s">
        <v>11</v>
      </c>
      <c r="G25" s="1" t="s">
        <v>368</v>
      </c>
      <c r="H25" s="1">
        <v>58</v>
      </c>
      <c r="I25" s="4">
        <v>11747.5</v>
      </c>
      <c r="J25" s="1" t="s">
        <v>69</v>
      </c>
      <c r="K25" s="1" t="s">
        <v>70</v>
      </c>
    </row>
    <row r="26" spans="1:11" x14ac:dyDescent="0.25">
      <c r="A26" s="1" t="s">
        <v>61</v>
      </c>
      <c r="B26" s="1" t="str">
        <f>_xlfn.XLOOKUP(D26,[1]Data!$D:$D,[1]Data!$A:$A)</f>
        <v>Aprovado</v>
      </c>
      <c r="C26" s="1" t="s">
        <v>71</v>
      </c>
      <c r="D26" s="1">
        <v>94058</v>
      </c>
      <c r="E26" s="1">
        <f>_xlfn.XLOOKUP(D26,[1]Data!$D:$D,[1]Data!$D:$D)</f>
        <v>94058</v>
      </c>
      <c r="F26" s="1" t="s">
        <v>11</v>
      </c>
      <c r="G26" s="1" t="s">
        <v>371</v>
      </c>
      <c r="H26" s="1">
        <v>208</v>
      </c>
      <c r="I26" s="4">
        <v>10115</v>
      </c>
      <c r="J26" s="1" t="s">
        <v>73</v>
      </c>
      <c r="K26" s="1" t="s">
        <v>74</v>
      </c>
    </row>
    <row r="27" spans="1:11" x14ac:dyDescent="0.25">
      <c r="A27" s="1" t="s">
        <v>61</v>
      </c>
      <c r="B27" s="1" t="str">
        <f>_xlfn.XLOOKUP(D27,[1]Data!$D:$D,[1]Data!$A:$A)</f>
        <v>Aprovado</v>
      </c>
      <c r="C27" s="1" t="s">
        <v>75</v>
      </c>
      <c r="D27" s="1">
        <v>94054</v>
      </c>
      <c r="E27" s="1">
        <f>_xlfn.XLOOKUP(D27,[1]Data!$D:$D,[1]Data!$D:$D)</f>
        <v>94054</v>
      </c>
      <c r="F27" s="1" t="s">
        <v>11</v>
      </c>
      <c r="G27" s="1" t="s">
        <v>367</v>
      </c>
      <c r="H27" s="1">
        <v>1072</v>
      </c>
      <c r="I27" s="4">
        <v>1666.3</v>
      </c>
      <c r="J27" s="1" t="s">
        <v>73</v>
      </c>
      <c r="K27" s="1" t="s">
        <v>74</v>
      </c>
    </row>
    <row r="28" spans="1:11" x14ac:dyDescent="0.25">
      <c r="A28" s="1" t="s">
        <v>61</v>
      </c>
      <c r="B28" s="1" t="str">
        <f>_xlfn.XLOOKUP(D28,[1]Data!$D:$D,[1]Data!$A:$A)</f>
        <v>Aprovado</v>
      </c>
      <c r="C28" s="1" t="s">
        <v>76</v>
      </c>
      <c r="D28" s="1">
        <v>94050</v>
      </c>
      <c r="E28" s="1">
        <f>_xlfn.XLOOKUP(D28,[1]Data!$D:$D,[1]Data!$D:$D)</f>
        <v>94050</v>
      </c>
      <c r="F28" s="1" t="s">
        <v>11</v>
      </c>
      <c r="G28" s="1" t="s">
        <v>367</v>
      </c>
      <c r="H28" s="1">
        <v>69</v>
      </c>
      <c r="I28" s="4">
        <v>128905.33</v>
      </c>
      <c r="J28" s="1" t="s">
        <v>32</v>
      </c>
      <c r="K28" s="1" t="s">
        <v>78</v>
      </c>
    </row>
    <row r="29" spans="1:11" x14ac:dyDescent="0.25">
      <c r="A29" s="1" t="s">
        <v>9</v>
      </c>
      <c r="B29" s="1" t="str">
        <f>_xlfn.XLOOKUP(D29,[1]Data!$D:$D,[1]Data!$A:$A)</f>
        <v>Em Aprovação</v>
      </c>
      <c r="C29" s="1" t="s">
        <v>76</v>
      </c>
      <c r="D29" s="1">
        <v>94051</v>
      </c>
      <c r="E29" s="1">
        <f>_xlfn.XLOOKUP(D29,[1]Data!$D:$D,[1]Data!$D:$D)</f>
        <v>94051</v>
      </c>
      <c r="F29" s="1" t="s">
        <v>11</v>
      </c>
      <c r="G29" s="1" t="s">
        <v>372</v>
      </c>
      <c r="H29" s="1" t="s">
        <v>373</v>
      </c>
      <c r="I29" s="4">
        <v>7161.41</v>
      </c>
      <c r="J29" s="1" t="s">
        <v>79</v>
      </c>
      <c r="K29" s="1" t="s">
        <v>78</v>
      </c>
    </row>
    <row r="30" spans="1:11" x14ac:dyDescent="0.25">
      <c r="A30" s="1" t="s">
        <v>54</v>
      </c>
      <c r="B30" s="1" t="str">
        <f>_xlfn.XLOOKUP(D30,[1]Data!$D:$D,[1]Data!$A:$A)</f>
        <v>Reprovado</v>
      </c>
      <c r="C30" s="1" t="s">
        <v>80</v>
      </c>
      <c r="D30" s="1">
        <v>93852</v>
      </c>
      <c r="E30" s="1">
        <f>_xlfn.XLOOKUP(D30,[1]Data!$D:$D,[1]Data!$D:$D)</f>
        <v>93852</v>
      </c>
      <c r="F30" s="1" t="s">
        <v>17</v>
      </c>
      <c r="G30" s="1" t="s">
        <v>374</v>
      </c>
      <c r="H30" s="1">
        <v>61</v>
      </c>
      <c r="I30" s="4">
        <v>3350</v>
      </c>
      <c r="J30" s="1" t="s">
        <v>81</v>
      </c>
      <c r="K30" s="1" t="s">
        <v>57</v>
      </c>
    </row>
    <row r="31" spans="1:11" x14ac:dyDescent="0.25">
      <c r="A31" s="1" t="s">
        <v>61</v>
      </c>
      <c r="B31" s="1" t="str">
        <f>_xlfn.XLOOKUP(D31,[1]Data!$D:$D,[1]Data!$A:$A)</f>
        <v>Aprovado</v>
      </c>
      <c r="C31" s="1" t="s">
        <v>82</v>
      </c>
      <c r="D31" s="1">
        <v>93834</v>
      </c>
      <c r="E31" s="1">
        <f>_xlfn.XLOOKUP(D31,[1]Data!$D:$D,[1]Data!$D:$D)</f>
        <v>93834</v>
      </c>
      <c r="F31" s="1" t="s">
        <v>11</v>
      </c>
      <c r="G31" s="1" t="s">
        <v>368</v>
      </c>
      <c r="H31" s="1">
        <v>64643</v>
      </c>
      <c r="I31" s="4">
        <v>423560.41</v>
      </c>
      <c r="J31" s="1" t="s">
        <v>83</v>
      </c>
      <c r="K31" s="1" t="s">
        <v>84</v>
      </c>
    </row>
    <row r="32" spans="1:11" x14ac:dyDescent="0.25">
      <c r="A32" s="1" t="s">
        <v>61</v>
      </c>
      <c r="B32" s="1" t="str">
        <f>_xlfn.XLOOKUP(D32,[1]Data!$D:$D,[1]Data!$A:$A)</f>
        <v>Aprovado</v>
      </c>
      <c r="C32" s="1" t="s">
        <v>85</v>
      </c>
      <c r="D32" s="1">
        <v>93832</v>
      </c>
      <c r="E32" s="1">
        <f>_xlfn.XLOOKUP(D32,[1]Data!$D:$D,[1]Data!$D:$D)</f>
        <v>93832</v>
      </c>
      <c r="F32" s="1" t="s">
        <v>11</v>
      </c>
      <c r="G32" s="1" t="s">
        <v>368</v>
      </c>
      <c r="H32" s="1">
        <v>64619</v>
      </c>
      <c r="I32" s="4">
        <v>45858.69</v>
      </c>
      <c r="J32" s="1" t="s">
        <v>73</v>
      </c>
      <c r="K32" s="1" t="s">
        <v>84</v>
      </c>
    </row>
    <row r="33" spans="1:11" x14ac:dyDescent="0.25">
      <c r="A33" s="1" t="s">
        <v>61</v>
      </c>
      <c r="B33" s="1" t="str">
        <f>_xlfn.XLOOKUP(D33,[1]Data!$D:$D,[1]Data!$A:$A)</f>
        <v>Aprovado</v>
      </c>
      <c r="C33" s="1" t="s">
        <v>86</v>
      </c>
      <c r="D33" s="1">
        <v>93830</v>
      </c>
      <c r="E33" s="1">
        <f>_xlfn.XLOOKUP(D33,[1]Data!$D:$D,[1]Data!$D:$D)</f>
        <v>93830</v>
      </c>
      <c r="F33" s="1" t="s">
        <v>11</v>
      </c>
      <c r="G33" s="1" t="s">
        <v>368</v>
      </c>
      <c r="H33" s="1">
        <v>64618</v>
      </c>
      <c r="I33" s="4">
        <v>512122.89</v>
      </c>
      <c r="J33" s="1" t="s">
        <v>73</v>
      </c>
      <c r="K33" s="1" t="s">
        <v>84</v>
      </c>
    </row>
    <row r="34" spans="1:11" x14ac:dyDescent="0.25">
      <c r="A34" s="1" t="s">
        <v>61</v>
      </c>
      <c r="B34" s="1" t="str">
        <f>_xlfn.XLOOKUP(D34,[1]Data!$D:$D,[1]Data!$A:$A)</f>
        <v>Aprovado</v>
      </c>
      <c r="C34" s="1" t="s">
        <v>87</v>
      </c>
      <c r="D34" s="1">
        <v>93818</v>
      </c>
      <c r="E34" s="1">
        <f>_xlfn.XLOOKUP(D34,[1]Data!$D:$D,[1]Data!$D:$D)</f>
        <v>93818</v>
      </c>
      <c r="F34" s="1" t="s">
        <v>11</v>
      </c>
      <c r="G34" s="1" t="s">
        <v>368</v>
      </c>
      <c r="H34" s="1">
        <v>3212</v>
      </c>
      <c r="I34" s="4">
        <v>3114.11</v>
      </c>
      <c r="J34" s="1" t="s">
        <v>69</v>
      </c>
      <c r="K34" s="1" t="s">
        <v>88</v>
      </c>
    </row>
    <row r="35" spans="1:11" x14ac:dyDescent="0.25">
      <c r="A35" s="1" t="s">
        <v>61</v>
      </c>
      <c r="B35" s="1" t="str">
        <f>_xlfn.XLOOKUP(D35,[1]Data!$D:$D,[1]Data!$A:$A)</f>
        <v>Aprovado</v>
      </c>
      <c r="C35" s="1" t="s">
        <v>89</v>
      </c>
      <c r="D35" s="1">
        <v>93776</v>
      </c>
      <c r="E35" s="1">
        <f>_xlfn.XLOOKUP(D35,[1]Data!$D:$D,[1]Data!$D:$D)</f>
        <v>93776</v>
      </c>
      <c r="F35" s="1" t="s">
        <v>11</v>
      </c>
      <c r="G35" s="1" t="s">
        <v>367</v>
      </c>
      <c r="H35" s="1">
        <v>14113</v>
      </c>
      <c r="I35" s="4">
        <v>41123.129999999997</v>
      </c>
      <c r="J35" s="1" t="s">
        <v>46</v>
      </c>
      <c r="K35" s="1" t="s">
        <v>53</v>
      </c>
    </row>
    <row r="36" spans="1:11" x14ac:dyDescent="0.25">
      <c r="A36" s="1" t="s">
        <v>61</v>
      </c>
      <c r="B36" s="1" t="str">
        <f>_xlfn.XLOOKUP(D36,[1]Data!$D:$D,[1]Data!$A:$A)</f>
        <v>Aprovado</v>
      </c>
      <c r="C36" s="1" t="s">
        <v>90</v>
      </c>
      <c r="D36" s="1">
        <v>93764</v>
      </c>
      <c r="E36" s="1">
        <f>_xlfn.XLOOKUP(D36,[1]Data!$D:$D,[1]Data!$D:$D)</f>
        <v>93764</v>
      </c>
      <c r="F36" s="1" t="s">
        <v>11</v>
      </c>
      <c r="G36" s="1" t="s">
        <v>368</v>
      </c>
      <c r="H36" s="1">
        <v>734</v>
      </c>
      <c r="I36" s="4">
        <v>3150</v>
      </c>
      <c r="J36" s="1" t="s">
        <v>69</v>
      </c>
      <c r="K36" s="1" t="s">
        <v>91</v>
      </c>
    </row>
    <row r="37" spans="1:11" x14ac:dyDescent="0.25">
      <c r="A37" s="1" t="s">
        <v>61</v>
      </c>
      <c r="B37" s="1" t="str">
        <f>_xlfn.XLOOKUP(D37,[1]Data!$D:$D,[1]Data!$A:$A)</f>
        <v>Aprovado</v>
      </c>
      <c r="C37" s="1" t="s">
        <v>92</v>
      </c>
      <c r="D37" s="1">
        <v>93675</v>
      </c>
      <c r="E37" s="1">
        <f>_xlfn.XLOOKUP(D37,[1]Data!$D:$D,[1]Data!$D:$D)</f>
        <v>93675</v>
      </c>
      <c r="F37" s="1" t="s">
        <v>11</v>
      </c>
      <c r="G37" s="1" t="s">
        <v>371</v>
      </c>
      <c r="H37" s="1">
        <v>1489</v>
      </c>
      <c r="I37" s="4">
        <v>36042.800000000003</v>
      </c>
      <c r="J37" s="1" t="s">
        <v>12</v>
      </c>
      <c r="K37" s="1" t="s">
        <v>93</v>
      </c>
    </row>
    <row r="38" spans="1:11" x14ac:dyDescent="0.25">
      <c r="A38" s="1" t="s">
        <v>61</v>
      </c>
      <c r="B38" s="1" t="str">
        <f>_xlfn.XLOOKUP(D38,[1]Data!$D:$D,[1]Data!$A:$A)</f>
        <v>Aprovado</v>
      </c>
      <c r="C38" s="1" t="s">
        <v>94</v>
      </c>
      <c r="D38" s="1">
        <v>93654</v>
      </c>
      <c r="E38" s="1">
        <f>_xlfn.XLOOKUP(D38,[1]Data!$D:$D,[1]Data!$D:$D)</f>
        <v>93654</v>
      </c>
      <c r="F38" s="1" t="s">
        <v>11</v>
      </c>
      <c r="G38" s="1" t="s">
        <v>368</v>
      </c>
      <c r="H38" s="1">
        <v>79221</v>
      </c>
      <c r="I38" s="4">
        <v>35287.019999999997</v>
      </c>
      <c r="J38" s="1" t="s">
        <v>81</v>
      </c>
      <c r="K38" s="1" t="s">
        <v>95</v>
      </c>
    </row>
    <row r="39" spans="1:11" x14ac:dyDescent="0.25">
      <c r="A39" s="1" t="s">
        <v>61</v>
      </c>
      <c r="B39" s="1" t="str">
        <f>_xlfn.XLOOKUP(D39,[1]Data!$D:$D,[1]Data!$A:$A)</f>
        <v>Aprovado</v>
      </c>
      <c r="C39" s="1" t="s">
        <v>96</v>
      </c>
      <c r="D39" s="1">
        <v>93650</v>
      </c>
      <c r="E39" s="1">
        <f>_xlfn.XLOOKUP(D39,[1]Data!$D:$D,[1]Data!$D:$D)</f>
        <v>93650</v>
      </c>
      <c r="F39" s="1" t="s">
        <v>11</v>
      </c>
      <c r="G39" s="1" t="s">
        <v>368</v>
      </c>
      <c r="H39" s="1">
        <v>3170</v>
      </c>
      <c r="I39" s="4">
        <v>390</v>
      </c>
      <c r="J39" s="1" t="s">
        <v>36</v>
      </c>
      <c r="K39" s="1" t="s">
        <v>88</v>
      </c>
    </row>
    <row r="40" spans="1:11" x14ac:dyDescent="0.25">
      <c r="A40" s="1" t="s">
        <v>61</v>
      </c>
      <c r="B40" s="1" t="str">
        <f>_xlfn.XLOOKUP(D40,[1]Data!$D:$D,[1]Data!$A:$A)</f>
        <v>Aprovado</v>
      </c>
      <c r="C40" s="1" t="s">
        <v>97</v>
      </c>
      <c r="D40" s="1">
        <v>93649</v>
      </c>
      <c r="E40" s="1">
        <f>_xlfn.XLOOKUP(D40,[1]Data!$D:$D,[1]Data!$D:$D)</f>
        <v>93649</v>
      </c>
      <c r="F40" s="1" t="s">
        <v>11</v>
      </c>
      <c r="G40" s="1" t="s">
        <v>368</v>
      </c>
      <c r="H40" s="1">
        <v>2448</v>
      </c>
      <c r="I40" s="4">
        <v>18150</v>
      </c>
      <c r="J40" s="1" t="s">
        <v>12</v>
      </c>
      <c r="K40" s="1" t="s">
        <v>98</v>
      </c>
    </row>
    <row r="41" spans="1:11" x14ac:dyDescent="0.25">
      <c r="A41" s="1" t="s">
        <v>61</v>
      </c>
      <c r="B41" s="1" t="str">
        <f>_xlfn.XLOOKUP(D41,[1]Data!$D:$D,[1]Data!$A:$A)</f>
        <v>Aprovado</v>
      </c>
      <c r="C41" s="1" t="s">
        <v>99</v>
      </c>
      <c r="D41" s="1">
        <v>93647</v>
      </c>
      <c r="E41" s="1">
        <f>_xlfn.XLOOKUP(D41,[1]Data!$D:$D,[1]Data!$D:$D)</f>
        <v>93647</v>
      </c>
      <c r="F41" s="1" t="s">
        <v>11</v>
      </c>
      <c r="G41" s="1" t="s">
        <v>368</v>
      </c>
      <c r="H41" s="1">
        <v>1569</v>
      </c>
      <c r="I41" s="4">
        <v>330</v>
      </c>
      <c r="J41" s="1" t="s">
        <v>40</v>
      </c>
      <c r="K41" s="1" t="s">
        <v>100</v>
      </c>
    </row>
    <row r="42" spans="1:11" x14ac:dyDescent="0.25">
      <c r="A42" s="1" t="s">
        <v>61</v>
      </c>
      <c r="B42" s="1" t="str">
        <f>_xlfn.XLOOKUP(D42,[1]Data!$D:$D,[1]Data!$A:$A)</f>
        <v>Aprovado</v>
      </c>
      <c r="C42" s="1" t="s">
        <v>101</v>
      </c>
      <c r="D42" s="1">
        <v>93646</v>
      </c>
      <c r="E42" s="1">
        <f>_xlfn.XLOOKUP(D42,[1]Data!$D:$D,[1]Data!$D:$D)</f>
        <v>93646</v>
      </c>
      <c r="F42" s="1" t="s">
        <v>11</v>
      </c>
      <c r="G42" s="1" t="s">
        <v>368</v>
      </c>
      <c r="H42" s="1">
        <v>79237</v>
      </c>
      <c r="I42" s="4">
        <v>8493.1200000000008</v>
      </c>
      <c r="J42" s="1" t="s">
        <v>81</v>
      </c>
      <c r="K42" s="1" t="s">
        <v>95</v>
      </c>
    </row>
    <row r="43" spans="1:11" x14ac:dyDescent="0.25">
      <c r="A43" s="1" t="s">
        <v>61</v>
      </c>
      <c r="B43" s="1" t="str">
        <f>_xlfn.XLOOKUP(D43,[1]Data!$D:$D,[1]Data!$A:$A)</f>
        <v>Aprovado</v>
      </c>
      <c r="C43" s="1" t="s">
        <v>102</v>
      </c>
      <c r="D43" s="1">
        <v>93642</v>
      </c>
      <c r="E43" s="1">
        <f>_xlfn.XLOOKUP(D43,[1]Data!$D:$D,[1]Data!$D:$D)</f>
        <v>93642</v>
      </c>
      <c r="F43" s="1" t="s">
        <v>11</v>
      </c>
      <c r="G43" s="1" t="s">
        <v>375</v>
      </c>
      <c r="H43" s="1">
        <v>2</v>
      </c>
      <c r="I43" s="4">
        <v>3972742.35</v>
      </c>
      <c r="J43" s="1" t="s">
        <v>46</v>
      </c>
      <c r="K43" s="1" t="s">
        <v>103</v>
      </c>
    </row>
    <row r="44" spans="1:11" x14ac:dyDescent="0.25">
      <c r="A44" s="1" t="s">
        <v>54</v>
      </c>
      <c r="B44" s="1" t="str">
        <f>_xlfn.XLOOKUP(D44,[1]Data!$D:$D,[1]Data!$A:$A)</f>
        <v>Reprovado</v>
      </c>
      <c r="C44" s="1" t="s">
        <v>104</v>
      </c>
      <c r="D44" s="1">
        <v>93638</v>
      </c>
      <c r="E44" s="1">
        <f>_xlfn.XLOOKUP(D44,[1]Data!$D:$D,[1]Data!$D:$D)</f>
        <v>93638</v>
      </c>
      <c r="F44" s="1" t="s">
        <v>105</v>
      </c>
      <c r="G44" s="1" t="s">
        <v>367</v>
      </c>
      <c r="H44" s="1">
        <v>14094</v>
      </c>
      <c r="I44" s="4">
        <v>41123.129999999997</v>
      </c>
      <c r="J44" s="1" t="s">
        <v>46</v>
      </c>
      <c r="K44" s="1" t="s">
        <v>53</v>
      </c>
    </row>
    <row r="45" spans="1:11" x14ac:dyDescent="0.25">
      <c r="A45" s="1" t="s">
        <v>61</v>
      </c>
      <c r="B45" s="1" t="str">
        <f>_xlfn.XLOOKUP(D45,[1]Data!$D:$D,[1]Data!$A:$A)</f>
        <v>Aprovado</v>
      </c>
      <c r="C45" s="1" t="s">
        <v>106</v>
      </c>
      <c r="D45" s="1">
        <v>93637</v>
      </c>
      <c r="E45" s="1">
        <f>_xlfn.XLOOKUP(D45,[1]Data!$D:$D,[1]Data!$D:$D)</f>
        <v>93637</v>
      </c>
      <c r="F45" s="1" t="s">
        <v>11</v>
      </c>
      <c r="G45" s="1" t="s">
        <v>367</v>
      </c>
      <c r="H45" s="1">
        <v>14112</v>
      </c>
      <c r="I45" s="4">
        <v>623.54999999999995</v>
      </c>
      <c r="J45" s="1" t="s">
        <v>46</v>
      </c>
      <c r="K45" s="1" t="s">
        <v>53</v>
      </c>
    </row>
    <row r="46" spans="1:11" x14ac:dyDescent="0.25">
      <c r="A46" s="1" t="s">
        <v>61</v>
      </c>
      <c r="B46" s="1" t="str">
        <f>_xlfn.XLOOKUP(D46,[1]Data!$D:$D,[1]Data!$A:$A)</f>
        <v>Aprovado</v>
      </c>
      <c r="C46" s="1" t="s">
        <v>107</v>
      </c>
      <c r="D46" s="1">
        <v>93631</v>
      </c>
      <c r="E46" s="1">
        <f>_xlfn.XLOOKUP(D46,[1]Data!$D:$D,[1]Data!$D:$D)</f>
        <v>93631</v>
      </c>
      <c r="F46" s="1" t="s">
        <v>11</v>
      </c>
      <c r="G46" s="1" t="s">
        <v>375</v>
      </c>
      <c r="H46" s="1">
        <v>1</v>
      </c>
      <c r="I46" s="4">
        <v>5000000</v>
      </c>
      <c r="J46" s="1" t="s">
        <v>43</v>
      </c>
      <c r="K46" s="1" t="s">
        <v>103</v>
      </c>
    </row>
    <row r="47" spans="1:11" x14ac:dyDescent="0.25">
      <c r="A47" s="1" t="s">
        <v>54</v>
      </c>
      <c r="B47" s="1" t="str">
        <f>_xlfn.XLOOKUP(D47,[1]Data!$D:$D,[1]Data!$A:$A)</f>
        <v>Reprovado</v>
      </c>
      <c r="C47" s="1" t="s">
        <v>108</v>
      </c>
      <c r="D47" s="1">
        <v>93614</v>
      </c>
      <c r="E47" s="1">
        <f>_xlfn.XLOOKUP(D47,[1]Data!$D:$D,[1]Data!$D:$D)</f>
        <v>93614</v>
      </c>
      <c r="F47" s="1" t="s">
        <v>11</v>
      </c>
      <c r="G47" s="1" t="s">
        <v>367</v>
      </c>
      <c r="H47" s="1">
        <v>69</v>
      </c>
      <c r="I47" s="4">
        <v>136066.73000000001</v>
      </c>
      <c r="J47" s="1" t="s">
        <v>81</v>
      </c>
      <c r="K47" s="1" t="s">
        <v>78</v>
      </c>
    </row>
    <row r="48" spans="1:11" x14ac:dyDescent="0.25">
      <c r="A48" s="1" t="s">
        <v>54</v>
      </c>
      <c r="B48" s="1" t="str">
        <f>_xlfn.XLOOKUP(D48,[1]Data!$D:$D,[1]Data!$A:$A)</f>
        <v>Reprovado</v>
      </c>
      <c r="C48" s="1" t="s">
        <v>109</v>
      </c>
      <c r="D48" s="1">
        <v>93615</v>
      </c>
      <c r="E48" s="1">
        <f>_xlfn.XLOOKUP(D48,[1]Data!$D:$D,[1]Data!$D:$D)</f>
        <v>93615</v>
      </c>
      <c r="F48" s="1" t="s">
        <v>11</v>
      </c>
      <c r="G48" s="1" t="s">
        <v>372</v>
      </c>
      <c r="H48" s="1" t="s">
        <v>373</v>
      </c>
      <c r="I48" s="4">
        <v>7161.41</v>
      </c>
      <c r="J48" s="1" t="s">
        <v>79</v>
      </c>
      <c r="K48" s="1" t="s">
        <v>78</v>
      </c>
    </row>
    <row r="49" spans="1:11" x14ac:dyDescent="0.25">
      <c r="A49" s="1" t="s">
        <v>61</v>
      </c>
      <c r="B49" s="1" t="str">
        <f>_xlfn.XLOOKUP(D49,[1]Data!$D:$D,[1]Data!$A:$A)</f>
        <v>Aprovado</v>
      </c>
      <c r="C49" s="1" t="s">
        <v>110</v>
      </c>
      <c r="D49" s="1">
        <v>93557</v>
      </c>
      <c r="E49" s="1">
        <f>_xlfn.XLOOKUP(D49,[1]Data!$D:$D,[1]Data!$D:$D)</f>
        <v>93557</v>
      </c>
      <c r="F49" s="1" t="s">
        <v>11</v>
      </c>
      <c r="G49" s="1" t="s">
        <v>376</v>
      </c>
      <c r="H49" s="1">
        <v>208</v>
      </c>
      <c r="I49" s="4">
        <v>46165.38</v>
      </c>
      <c r="J49" s="1" t="s">
        <v>46</v>
      </c>
      <c r="K49" s="1" t="s">
        <v>111</v>
      </c>
    </row>
    <row r="50" spans="1:11" x14ac:dyDescent="0.25">
      <c r="A50" s="1" t="s">
        <v>61</v>
      </c>
      <c r="B50" s="1" t="str">
        <f>_xlfn.XLOOKUP(D50,[1]Data!$D:$D,[1]Data!$A:$A)</f>
        <v>Aprovado</v>
      </c>
      <c r="C50" s="1" t="s">
        <v>112</v>
      </c>
      <c r="D50" s="1">
        <v>93550</v>
      </c>
      <c r="E50" s="1">
        <f>_xlfn.XLOOKUP(D50,[1]Data!$D:$D,[1]Data!$D:$D)</f>
        <v>93550</v>
      </c>
      <c r="F50" s="1" t="s">
        <v>11</v>
      </c>
      <c r="G50" s="1" t="s">
        <v>367</v>
      </c>
      <c r="H50" s="1">
        <v>14107</v>
      </c>
      <c r="I50" s="4">
        <v>521.04999999999995</v>
      </c>
      <c r="J50" s="1" t="s">
        <v>46</v>
      </c>
      <c r="K50" s="1" t="s">
        <v>53</v>
      </c>
    </row>
    <row r="51" spans="1:11" x14ac:dyDescent="0.25">
      <c r="A51" s="1" t="s">
        <v>61</v>
      </c>
      <c r="B51" s="1" t="str">
        <f>_xlfn.XLOOKUP(D51,[1]Data!$D:$D,[1]Data!$A:$A)</f>
        <v>Aprovado</v>
      </c>
      <c r="C51" s="1" t="s">
        <v>113</v>
      </c>
      <c r="D51" s="1">
        <v>93504</v>
      </c>
      <c r="E51" s="1">
        <f>_xlfn.XLOOKUP(D51,[1]Data!$D:$D,[1]Data!$D:$D)</f>
        <v>93504</v>
      </c>
      <c r="F51" s="1" t="s">
        <v>11</v>
      </c>
      <c r="G51" s="1" t="s">
        <v>367</v>
      </c>
      <c r="H51" s="1">
        <v>63</v>
      </c>
      <c r="I51" s="4">
        <v>26075.32</v>
      </c>
      <c r="J51" s="1" t="s">
        <v>46</v>
      </c>
      <c r="K51" s="1" t="s">
        <v>114</v>
      </c>
    </row>
    <row r="52" spans="1:11" x14ac:dyDescent="0.25">
      <c r="A52" s="1" t="s">
        <v>9</v>
      </c>
      <c r="B52" s="1" t="str">
        <f>_xlfn.XLOOKUP(D52,[1]Data!$D:$D,[1]Data!$A:$A)</f>
        <v>Em Aprovação</v>
      </c>
      <c r="C52" s="1" t="s">
        <v>113</v>
      </c>
      <c r="D52" s="1">
        <v>93505</v>
      </c>
      <c r="E52" s="1">
        <f>_xlfn.XLOOKUP(D52,[1]Data!$D:$D,[1]Data!$D:$D)</f>
        <v>93505</v>
      </c>
      <c r="F52" s="1" t="s">
        <v>11</v>
      </c>
      <c r="G52" s="1" t="s">
        <v>372</v>
      </c>
      <c r="H52" s="1" t="s">
        <v>377</v>
      </c>
      <c r="I52" s="4">
        <v>1552.1</v>
      </c>
      <c r="J52" s="1" t="s">
        <v>115</v>
      </c>
      <c r="K52" s="1" t="s">
        <v>114</v>
      </c>
    </row>
    <row r="53" spans="1:11" x14ac:dyDescent="0.25">
      <c r="A53" s="1" t="s">
        <v>61</v>
      </c>
      <c r="B53" s="1" t="str">
        <f>_xlfn.XLOOKUP(D53,[1]Data!$D:$D,[1]Data!$A:$A)</f>
        <v>Aprovado</v>
      </c>
      <c r="C53" s="1" t="s">
        <v>116</v>
      </c>
      <c r="D53" s="1">
        <v>93475</v>
      </c>
      <c r="E53" s="1">
        <f>_xlfn.XLOOKUP(D53,[1]Data!$D:$D,[1]Data!$D:$D)</f>
        <v>93475</v>
      </c>
      <c r="F53" s="1" t="s">
        <v>11</v>
      </c>
      <c r="G53" s="1" t="s">
        <v>369</v>
      </c>
      <c r="H53" s="1">
        <v>51658</v>
      </c>
      <c r="I53" s="4">
        <v>1214293.93</v>
      </c>
      <c r="J53" s="1" t="s">
        <v>46</v>
      </c>
      <c r="K53" s="1" t="s">
        <v>117</v>
      </c>
    </row>
    <row r="54" spans="1:11" x14ac:dyDescent="0.25">
      <c r="A54" s="1" t="s">
        <v>61</v>
      </c>
      <c r="B54" s="1" t="str">
        <f>_xlfn.XLOOKUP(D54,[1]Data!$D:$D,[1]Data!$A:$A)</f>
        <v>Aprovado</v>
      </c>
      <c r="C54" s="1" t="s">
        <v>118</v>
      </c>
      <c r="D54" s="1">
        <v>93451</v>
      </c>
      <c r="E54" s="1">
        <f>_xlfn.XLOOKUP(D54,[1]Data!$D:$D,[1]Data!$D:$D)</f>
        <v>93451</v>
      </c>
      <c r="F54" s="1" t="s">
        <v>11</v>
      </c>
      <c r="G54" s="1" t="s">
        <v>368</v>
      </c>
      <c r="H54" s="1">
        <v>585</v>
      </c>
      <c r="I54" s="4">
        <v>19607.2</v>
      </c>
      <c r="J54" s="1" t="s">
        <v>46</v>
      </c>
      <c r="K54" s="1" t="s">
        <v>119</v>
      </c>
    </row>
    <row r="55" spans="1:11" x14ac:dyDescent="0.25">
      <c r="A55" s="1" t="s">
        <v>61</v>
      </c>
      <c r="B55" s="1" t="str">
        <f>_xlfn.XLOOKUP(D55,[1]Data!$D:$D,[1]Data!$A:$A)</f>
        <v>Aprovado</v>
      </c>
      <c r="C55" s="1" t="s">
        <v>120</v>
      </c>
      <c r="D55" s="1">
        <v>93443</v>
      </c>
      <c r="E55" s="1">
        <f>_xlfn.XLOOKUP(D55,[1]Data!$D:$D,[1]Data!$D:$D)</f>
        <v>93443</v>
      </c>
      <c r="F55" s="1" t="s">
        <v>11</v>
      </c>
      <c r="G55" s="1" t="s">
        <v>367</v>
      </c>
      <c r="H55" s="1">
        <v>283</v>
      </c>
      <c r="I55" s="4">
        <v>15650</v>
      </c>
      <c r="J55" s="1" t="s">
        <v>46</v>
      </c>
      <c r="K55" s="1" t="s">
        <v>121</v>
      </c>
    </row>
    <row r="56" spans="1:11" x14ac:dyDescent="0.25">
      <c r="A56" s="1" t="s">
        <v>61</v>
      </c>
      <c r="B56" s="1" t="str">
        <f>_xlfn.XLOOKUP(D56,[1]Data!$D:$D,[1]Data!$A:$A)</f>
        <v>Aprovado</v>
      </c>
      <c r="C56" s="1" t="s">
        <v>122</v>
      </c>
      <c r="D56" s="1">
        <v>93433</v>
      </c>
      <c r="E56" s="1">
        <f>_xlfn.XLOOKUP(D56,[1]Data!$D:$D,[1]Data!$D:$D)</f>
        <v>93433</v>
      </c>
      <c r="F56" s="1" t="s">
        <v>11</v>
      </c>
      <c r="G56" s="1" t="s">
        <v>367</v>
      </c>
      <c r="H56" s="1">
        <v>10716</v>
      </c>
      <c r="I56" s="4">
        <v>2046.2</v>
      </c>
      <c r="J56" s="1" t="s">
        <v>46</v>
      </c>
      <c r="K56" s="1" t="s">
        <v>123</v>
      </c>
    </row>
    <row r="57" spans="1:11" x14ac:dyDescent="0.25">
      <c r="A57" s="1" t="s">
        <v>61</v>
      </c>
      <c r="B57" s="1" t="str">
        <f>_xlfn.XLOOKUP(D57,[1]Data!$D:$D,[1]Data!$A:$A)</f>
        <v>Aprovado</v>
      </c>
      <c r="C57" s="1" t="s">
        <v>124</v>
      </c>
      <c r="D57" s="1">
        <v>93431</v>
      </c>
      <c r="E57" s="1">
        <f>_xlfn.XLOOKUP(D57,[1]Data!$D:$D,[1]Data!$D:$D)</f>
        <v>93431</v>
      </c>
      <c r="F57" s="1" t="s">
        <v>11</v>
      </c>
      <c r="G57" s="1" t="s">
        <v>367</v>
      </c>
      <c r="H57" s="1">
        <v>10714</v>
      </c>
      <c r="I57" s="4">
        <v>1576.4</v>
      </c>
      <c r="J57" s="1" t="s">
        <v>46</v>
      </c>
      <c r="K57" s="1" t="s">
        <v>123</v>
      </c>
    </row>
    <row r="58" spans="1:11" x14ac:dyDescent="0.25">
      <c r="A58" s="1" t="s">
        <v>61</v>
      </c>
      <c r="B58" s="1" t="str">
        <f>_xlfn.XLOOKUP(D58,[1]Data!$D:$D,[1]Data!$A:$A)</f>
        <v>Reprovado</v>
      </c>
      <c r="C58" s="1" t="s">
        <v>125</v>
      </c>
      <c r="D58" s="1">
        <v>93407</v>
      </c>
      <c r="E58" s="1">
        <f>_xlfn.XLOOKUP(D58,[1]Data!$D:$D,[1]Data!$D:$D)</f>
        <v>93407</v>
      </c>
      <c r="F58" s="1" t="s">
        <v>11</v>
      </c>
      <c r="G58" s="1" t="s">
        <v>367</v>
      </c>
      <c r="H58" s="1">
        <v>14106</v>
      </c>
      <c r="I58" s="4">
        <v>659.18</v>
      </c>
      <c r="J58" s="1" t="s">
        <v>46</v>
      </c>
      <c r="K58" s="1" t="s">
        <v>53</v>
      </c>
    </row>
    <row r="59" spans="1:11" x14ac:dyDescent="0.25">
      <c r="A59" s="1" t="s">
        <v>61</v>
      </c>
      <c r="B59" s="1" t="str">
        <f>_xlfn.XLOOKUP(D59,[1]Data!$D:$D,[1]Data!$A:$A)</f>
        <v>Aprovado</v>
      </c>
      <c r="C59" s="1" t="s">
        <v>126</v>
      </c>
      <c r="D59" s="1">
        <v>93402</v>
      </c>
      <c r="E59" s="1">
        <f>_xlfn.XLOOKUP(D59,[1]Data!$D:$D,[1]Data!$D:$D)</f>
        <v>93402</v>
      </c>
      <c r="F59" s="1" t="s">
        <v>11</v>
      </c>
      <c r="G59" s="1" t="s">
        <v>367</v>
      </c>
      <c r="H59" s="1">
        <v>183</v>
      </c>
      <c r="I59" s="4">
        <v>1939428.65</v>
      </c>
      <c r="J59" s="1" t="s">
        <v>46</v>
      </c>
      <c r="K59" s="1" t="s">
        <v>14</v>
      </c>
    </row>
    <row r="60" spans="1:11" x14ac:dyDescent="0.25">
      <c r="A60" s="1" t="s">
        <v>61</v>
      </c>
      <c r="B60" s="1" t="str">
        <f>_xlfn.XLOOKUP(D60,[1]Data!$D:$D,[1]Data!$A:$A)</f>
        <v>Aprovado</v>
      </c>
      <c r="C60" s="1" t="s">
        <v>127</v>
      </c>
      <c r="D60" s="1">
        <v>93400</v>
      </c>
      <c r="E60" s="1">
        <f>_xlfn.XLOOKUP(D60,[1]Data!$D:$D,[1]Data!$D:$D)</f>
        <v>93400</v>
      </c>
      <c r="F60" s="1" t="s">
        <v>11</v>
      </c>
      <c r="G60" s="1" t="s">
        <v>367</v>
      </c>
      <c r="H60" s="1">
        <v>184</v>
      </c>
      <c r="I60" s="4">
        <v>642500.97</v>
      </c>
      <c r="J60" s="1" t="s">
        <v>46</v>
      </c>
      <c r="K60" s="1" t="s">
        <v>14</v>
      </c>
    </row>
    <row r="61" spans="1:11" x14ac:dyDescent="0.25">
      <c r="A61" s="1" t="s">
        <v>61</v>
      </c>
      <c r="B61" s="1" t="str">
        <f>_xlfn.XLOOKUP(D61,[1]Data!$D:$D,[1]Data!$A:$A)</f>
        <v>Aprovado</v>
      </c>
      <c r="C61" s="1" t="s">
        <v>128</v>
      </c>
      <c r="D61" s="1">
        <v>93396</v>
      </c>
      <c r="E61" s="1">
        <f>_xlfn.XLOOKUP(D61,[1]Data!$D:$D,[1]Data!$D:$D)</f>
        <v>93396</v>
      </c>
      <c r="F61" s="1" t="s">
        <v>11</v>
      </c>
      <c r="G61" s="1" t="s">
        <v>367</v>
      </c>
      <c r="H61" s="1">
        <v>185</v>
      </c>
      <c r="I61" s="4">
        <v>716685.18</v>
      </c>
      <c r="J61" s="1" t="s">
        <v>46</v>
      </c>
      <c r="K61" s="1" t="s">
        <v>14</v>
      </c>
    </row>
    <row r="62" spans="1:11" x14ac:dyDescent="0.25">
      <c r="A62" s="1" t="s">
        <v>9</v>
      </c>
      <c r="B62" s="1" t="str">
        <f>_xlfn.XLOOKUP(D62,[1]Data!$D:$D,[1]Data!$A:$A)</f>
        <v>Em Aprovação</v>
      </c>
      <c r="C62" s="1" t="s">
        <v>128</v>
      </c>
      <c r="D62" s="1">
        <v>93397</v>
      </c>
      <c r="E62" s="1">
        <f>_xlfn.XLOOKUP(D62,[1]Data!$D:$D,[1]Data!$D:$D)</f>
        <v>93397</v>
      </c>
      <c r="F62" s="1" t="s">
        <v>11</v>
      </c>
      <c r="G62" s="1" t="s">
        <v>372</v>
      </c>
      <c r="H62" s="1" t="s">
        <v>378</v>
      </c>
      <c r="I62" s="4">
        <v>53241.27</v>
      </c>
      <c r="J62" s="1" t="s">
        <v>129</v>
      </c>
      <c r="K62" s="1" t="s">
        <v>14</v>
      </c>
    </row>
    <row r="63" spans="1:11" x14ac:dyDescent="0.25">
      <c r="A63" s="1" t="s">
        <v>61</v>
      </c>
      <c r="B63" s="1" t="str">
        <f>_xlfn.XLOOKUP(D63,[1]Data!$D:$D,[1]Data!$A:$A)</f>
        <v>Aprovado</v>
      </c>
      <c r="C63" s="1" t="s">
        <v>130</v>
      </c>
      <c r="D63" s="1">
        <v>93383</v>
      </c>
      <c r="E63" s="1">
        <f>_xlfn.XLOOKUP(D63,[1]Data!$D:$D,[1]Data!$D:$D)</f>
        <v>93383</v>
      </c>
      <c r="F63" s="1" t="s">
        <v>11</v>
      </c>
      <c r="G63" s="1" t="s">
        <v>367</v>
      </c>
      <c r="H63" s="1">
        <v>394</v>
      </c>
      <c r="I63" s="4">
        <v>29677.79</v>
      </c>
      <c r="J63" s="1" t="s">
        <v>46</v>
      </c>
      <c r="K63" s="1" t="s">
        <v>131</v>
      </c>
    </row>
    <row r="64" spans="1:11" x14ac:dyDescent="0.25">
      <c r="A64" s="1" t="s">
        <v>61</v>
      </c>
      <c r="B64" s="1" t="str">
        <f>_xlfn.XLOOKUP(D64,[1]Data!$D:$D,[1]Data!$A:$A)</f>
        <v>Aprovado</v>
      </c>
      <c r="C64" s="1" t="s">
        <v>130</v>
      </c>
      <c r="D64" s="1">
        <v>93384</v>
      </c>
      <c r="E64" s="1">
        <f>_xlfn.XLOOKUP(D64,[1]Data!$D:$D,[1]Data!$D:$D)</f>
        <v>93384</v>
      </c>
      <c r="F64" s="1" t="s">
        <v>11</v>
      </c>
      <c r="G64" s="1" t="s">
        <v>372</v>
      </c>
      <c r="H64" s="1" t="s">
        <v>379</v>
      </c>
      <c r="I64" s="4">
        <v>1648.77</v>
      </c>
      <c r="J64" s="1" t="s">
        <v>132</v>
      </c>
      <c r="K64" s="1" t="s">
        <v>131</v>
      </c>
    </row>
    <row r="65" spans="1:11" x14ac:dyDescent="0.25">
      <c r="A65" s="1" t="s">
        <v>61</v>
      </c>
      <c r="B65" s="1" t="str">
        <f>_xlfn.XLOOKUP(D65,[1]Data!$D:$D,[1]Data!$A:$A)</f>
        <v>Aprovado</v>
      </c>
      <c r="C65" s="1" t="s">
        <v>133</v>
      </c>
      <c r="D65" s="1">
        <v>93379</v>
      </c>
      <c r="E65" s="1">
        <f>_xlfn.XLOOKUP(D65,[1]Data!$D:$D,[1]Data!$D:$D)</f>
        <v>93379</v>
      </c>
      <c r="F65" s="1" t="s">
        <v>11</v>
      </c>
      <c r="G65" s="1" t="s">
        <v>368</v>
      </c>
      <c r="H65" s="1">
        <v>255235</v>
      </c>
      <c r="I65" s="4">
        <v>1204</v>
      </c>
      <c r="J65" s="1" t="s">
        <v>81</v>
      </c>
      <c r="K65" s="1" t="s">
        <v>134</v>
      </c>
    </row>
    <row r="66" spans="1:11" x14ac:dyDescent="0.25">
      <c r="A66" s="1" t="s">
        <v>61</v>
      </c>
      <c r="B66" s="1" t="str">
        <f>_xlfn.XLOOKUP(D66,[1]Data!$D:$D,[1]Data!$A:$A)</f>
        <v>Aprovado</v>
      </c>
      <c r="C66" s="1" t="s">
        <v>135</v>
      </c>
      <c r="D66" s="1">
        <v>93378</v>
      </c>
      <c r="E66" s="1">
        <f>_xlfn.XLOOKUP(D66,[1]Data!$D:$D,[1]Data!$D:$D)</f>
        <v>93378</v>
      </c>
      <c r="F66" s="1" t="s">
        <v>11</v>
      </c>
      <c r="G66" s="1" t="s">
        <v>368</v>
      </c>
      <c r="H66" s="1">
        <v>255236</v>
      </c>
      <c r="I66" s="4">
        <v>1316.32</v>
      </c>
      <c r="J66" s="1" t="s">
        <v>81</v>
      </c>
      <c r="K66" s="1" t="s">
        <v>134</v>
      </c>
    </row>
    <row r="67" spans="1:11" x14ac:dyDescent="0.25">
      <c r="A67" s="1" t="s">
        <v>54</v>
      </c>
      <c r="B67" s="1" t="str">
        <f>_xlfn.XLOOKUP(D67,[1]Data!$D:$D,[1]Data!$A:$A)</f>
        <v>Reprovado</v>
      </c>
      <c r="C67" s="1" t="s">
        <v>136</v>
      </c>
      <c r="D67" s="1">
        <v>93374</v>
      </c>
      <c r="E67" s="1">
        <f>_xlfn.XLOOKUP(D67,[1]Data!$D:$D,[1]Data!$D:$D)</f>
        <v>93374</v>
      </c>
      <c r="F67" s="1" t="s">
        <v>137</v>
      </c>
      <c r="G67" s="1" t="s">
        <v>368</v>
      </c>
      <c r="H67" s="1">
        <v>2552361</v>
      </c>
      <c r="I67" s="4">
        <v>1316.32</v>
      </c>
      <c r="J67" s="1" t="s">
        <v>81</v>
      </c>
      <c r="K67" s="1" t="s">
        <v>134</v>
      </c>
    </row>
    <row r="68" spans="1:11" x14ac:dyDescent="0.25">
      <c r="A68" s="1" t="s">
        <v>61</v>
      </c>
      <c r="B68" s="1" t="str">
        <f>_xlfn.XLOOKUP(D68,[1]Data!$D:$D,[1]Data!$A:$A)</f>
        <v>Aprovado</v>
      </c>
      <c r="C68" s="1" t="s">
        <v>138</v>
      </c>
      <c r="D68" s="1">
        <v>93372</v>
      </c>
      <c r="E68" s="1">
        <f>_xlfn.XLOOKUP(D68,[1]Data!$D:$D,[1]Data!$D:$D)</f>
        <v>93372</v>
      </c>
      <c r="F68" s="1" t="s">
        <v>11</v>
      </c>
      <c r="G68" s="1" t="s">
        <v>368</v>
      </c>
      <c r="H68" s="1">
        <v>255237</v>
      </c>
      <c r="I68" s="4">
        <v>46567.45</v>
      </c>
      <c r="J68" s="1" t="s">
        <v>81</v>
      </c>
      <c r="K68" s="1" t="s">
        <v>134</v>
      </c>
    </row>
    <row r="69" spans="1:11" x14ac:dyDescent="0.25">
      <c r="A69" s="1" t="s">
        <v>61</v>
      </c>
      <c r="B69" s="1" t="str">
        <f>_xlfn.XLOOKUP(D69,[1]Data!$D:$D,[1]Data!$A:$A)</f>
        <v>Aprovado</v>
      </c>
      <c r="C69" s="1" t="s">
        <v>139</v>
      </c>
      <c r="D69" s="1">
        <v>93371</v>
      </c>
      <c r="E69" s="1">
        <f>_xlfn.XLOOKUP(D69,[1]Data!$D:$D,[1]Data!$D:$D)</f>
        <v>93371</v>
      </c>
      <c r="F69" s="1" t="s">
        <v>11</v>
      </c>
      <c r="G69" s="1" t="s">
        <v>368</v>
      </c>
      <c r="H69" s="1">
        <v>255239</v>
      </c>
      <c r="I69" s="4">
        <v>28795.26</v>
      </c>
      <c r="J69" s="1" t="s">
        <v>81</v>
      </c>
      <c r="K69" s="1" t="s">
        <v>134</v>
      </c>
    </row>
    <row r="70" spans="1:11" x14ac:dyDescent="0.25">
      <c r="A70" s="1" t="s">
        <v>61</v>
      </c>
      <c r="B70" s="1" t="str">
        <f>_xlfn.XLOOKUP(D70,[1]Data!$D:$D,[1]Data!$A:$A)</f>
        <v>Aprovado</v>
      </c>
      <c r="C70" s="1" t="s">
        <v>140</v>
      </c>
      <c r="D70" s="1">
        <v>93370</v>
      </c>
      <c r="E70" s="1">
        <f>_xlfn.XLOOKUP(D70,[1]Data!$D:$D,[1]Data!$D:$D)</f>
        <v>93370</v>
      </c>
      <c r="F70" s="1" t="s">
        <v>11</v>
      </c>
      <c r="G70" s="1" t="s">
        <v>368</v>
      </c>
      <c r="H70" s="1">
        <v>255240</v>
      </c>
      <c r="I70" s="4">
        <v>54938.97</v>
      </c>
      <c r="J70" s="1" t="s">
        <v>81</v>
      </c>
      <c r="K70" s="1" t="s">
        <v>134</v>
      </c>
    </row>
    <row r="71" spans="1:11" x14ac:dyDescent="0.25">
      <c r="A71" s="1" t="s">
        <v>61</v>
      </c>
      <c r="B71" s="1" t="str">
        <f>_xlfn.XLOOKUP(D71,[1]Data!$D:$D,[1]Data!$A:$A)</f>
        <v>Aprovado</v>
      </c>
      <c r="C71" s="1" t="s">
        <v>141</v>
      </c>
      <c r="D71" s="1">
        <v>93369</v>
      </c>
      <c r="E71" s="1">
        <f>_xlfn.XLOOKUP(D71,[1]Data!$D:$D,[1]Data!$D:$D)</f>
        <v>93369</v>
      </c>
      <c r="F71" s="1" t="s">
        <v>11</v>
      </c>
      <c r="G71" s="1" t="s">
        <v>368</v>
      </c>
      <c r="H71" s="1">
        <v>255241</v>
      </c>
      <c r="I71" s="4">
        <v>51864.54</v>
      </c>
      <c r="J71" s="1" t="s">
        <v>81</v>
      </c>
      <c r="K71" s="1" t="s">
        <v>134</v>
      </c>
    </row>
    <row r="72" spans="1:11" x14ac:dyDescent="0.25">
      <c r="A72" s="1" t="s">
        <v>61</v>
      </c>
      <c r="B72" s="1" t="str">
        <f>_xlfn.XLOOKUP(D72,[1]Data!$D:$D,[1]Data!$A:$A)</f>
        <v>Aprovado</v>
      </c>
      <c r="C72" s="1" t="s">
        <v>142</v>
      </c>
      <c r="D72" s="1">
        <v>93368</v>
      </c>
      <c r="E72" s="1">
        <f>_xlfn.XLOOKUP(D72,[1]Data!$D:$D,[1]Data!$D:$D)</f>
        <v>93368</v>
      </c>
      <c r="F72" s="1" t="s">
        <v>11</v>
      </c>
      <c r="G72" s="1" t="s">
        <v>368</v>
      </c>
      <c r="H72" s="1">
        <v>255242</v>
      </c>
      <c r="I72" s="4">
        <v>65210.34</v>
      </c>
      <c r="J72" s="1" t="s">
        <v>81</v>
      </c>
      <c r="K72" s="1" t="s">
        <v>134</v>
      </c>
    </row>
    <row r="73" spans="1:11" x14ac:dyDescent="0.25">
      <c r="A73" s="1" t="s">
        <v>61</v>
      </c>
      <c r="B73" s="1" t="str">
        <f>_xlfn.XLOOKUP(D73,[1]Data!$D:$D,[1]Data!$A:$A)</f>
        <v>Aprovado</v>
      </c>
      <c r="C73" s="1" t="s">
        <v>143</v>
      </c>
      <c r="D73" s="1">
        <v>93367</v>
      </c>
      <c r="E73" s="1">
        <f>_xlfn.XLOOKUP(D73,[1]Data!$D:$D,[1]Data!$D:$D)</f>
        <v>93367</v>
      </c>
      <c r="F73" s="1" t="s">
        <v>11</v>
      </c>
      <c r="G73" s="1" t="s">
        <v>368</v>
      </c>
      <c r="H73" s="1">
        <v>255243</v>
      </c>
      <c r="I73" s="4">
        <v>62560.19</v>
      </c>
      <c r="J73" s="1" t="s">
        <v>81</v>
      </c>
      <c r="K73" s="1" t="s">
        <v>134</v>
      </c>
    </row>
    <row r="74" spans="1:11" x14ac:dyDescent="0.25">
      <c r="A74" s="1" t="s">
        <v>54</v>
      </c>
      <c r="B74" s="1" t="str">
        <f>_xlfn.XLOOKUP(D74,[1]Data!$D:$D,[1]Data!$A:$A)</f>
        <v>Reprovado</v>
      </c>
      <c r="C74" s="1" t="s">
        <v>144</v>
      </c>
      <c r="D74" s="1">
        <v>93365</v>
      </c>
      <c r="E74" s="1">
        <f>_xlfn.XLOOKUP(D74,[1]Data!$D:$D,[1]Data!$D:$D)</f>
        <v>93365</v>
      </c>
      <c r="F74" s="1" t="s">
        <v>11</v>
      </c>
      <c r="G74" s="1" t="s">
        <v>367</v>
      </c>
      <c r="H74" s="1">
        <v>100</v>
      </c>
      <c r="I74" s="4">
        <v>65417.45</v>
      </c>
      <c r="J74" s="1" t="s">
        <v>145</v>
      </c>
      <c r="K74" s="1" t="s">
        <v>146</v>
      </c>
    </row>
    <row r="75" spans="1:11" x14ac:dyDescent="0.25">
      <c r="A75" s="1" t="s">
        <v>61</v>
      </c>
      <c r="B75" s="1" t="str">
        <f>_xlfn.XLOOKUP(D75,[1]Data!$D:$D,[1]Data!$A:$A)</f>
        <v>Aprovado</v>
      </c>
      <c r="C75" s="1" t="s">
        <v>147</v>
      </c>
      <c r="D75" s="1">
        <v>93330</v>
      </c>
      <c r="E75" s="1">
        <f>_xlfn.XLOOKUP(D75,[1]Data!$D:$D,[1]Data!$D:$D)</f>
        <v>93330</v>
      </c>
      <c r="F75" s="1" t="s">
        <v>11</v>
      </c>
      <c r="G75" s="1" t="s">
        <v>367</v>
      </c>
      <c r="H75" s="1">
        <v>489</v>
      </c>
      <c r="I75" s="4">
        <v>258087.5</v>
      </c>
      <c r="J75" s="1" t="s">
        <v>46</v>
      </c>
      <c r="K75" s="1" t="s">
        <v>148</v>
      </c>
    </row>
    <row r="76" spans="1:11" x14ac:dyDescent="0.25">
      <c r="A76" s="1" t="s">
        <v>61</v>
      </c>
      <c r="B76" s="1" t="str">
        <f>_xlfn.XLOOKUP(D76,[1]Data!$D:$D,[1]Data!$A:$A)</f>
        <v>Aprovado</v>
      </c>
      <c r="C76" s="1" t="s">
        <v>149</v>
      </c>
      <c r="D76" s="1">
        <v>93327</v>
      </c>
      <c r="E76" s="1">
        <f>_xlfn.XLOOKUP(D76,[1]Data!$D:$D,[1]Data!$D:$D)</f>
        <v>93327</v>
      </c>
      <c r="F76" s="1" t="s">
        <v>11</v>
      </c>
      <c r="G76" s="1" t="s">
        <v>367</v>
      </c>
      <c r="H76" s="1">
        <v>630</v>
      </c>
      <c r="I76" s="4">
        <v>39137.760000000002</v>
      </c>
      <c r="J76" s="1" t="s">
        <v>46</v>
      </c>
      <c r="K76" s="1" t="s">
        <v>151</v>
      </c>
    </row>
    <row r="77" spans="1:11" x14ac:dyDescent="0.25">
      <c r="A77" s="1" t="s">
        <v>61</v>
      </c>
      <c r="B77" s="1" t="str">
        <f>_xlfn.XLOOKUP(D77,[1]Data!$D:$D,[1]Data!$A:$A)</f>
        <v>Aprovado</v>
      </c>
      <c r="C77" s="1" t="s">
        <v>149</v>
      </c>
      <c r="D77" s="1">
        <v>93328</v>
      </c>
      <c r="E77" s="1">
        <f>_xlfn.XLOOKUP(D77,[1]Data!$D:$D,[1]Data!$D:$D)</f>
        <v>93328</v>
      </c>
      <c r="F77" s="1" t="s">
        <v>11</v>
      </c>
      <c r="G77" s="1" t="s">
        <v>372</v>
      </c>
      <c r="H77" s="1" t="s">
        <v>380</v>
      </c>
      <c r="I77" s="4">
        <v>711.59</v>
      </c>
      <c r="J77" s="1" t="s">
        <v>152</v>
      </c>
      <c r="K77" s="1" t="s">
        <v>151</v>
      </c>
    </row>
    <row r="78" spans="1:11" x14ac:dyDescent="0.25">
      <c r="A78" s="1" t="s">
        <v>61</v>
      </c>
      <c r="B78" s="1" t="str">
        <f>_xlfn.XLOOKUP(D78,[1]Data!$D:$D,[1]Data!$A:$A)</f>
        <v>Aprovado</v>
      </c>
      <c r="C78" s="1" t="s">
        <v>153</v>
      </c>
      <c r="D78" s="1">
        <v>93320</v>
      </c>
      <c r="E78" s="1">
        <f>_xlfn.XLOOKUP(D78,[1]Data!$D:$D,[1]Data!$D:$D)</f>
        <v>93320</v>
      </c>
      <c r="F78" s="1" t="s">
        <v>11</v>
      </c>
      <c r="G78" s="1" t="s">
        <v>367</v>
      </c>
      <c r="H78" s="1">
        <v>1170</v>
      </c>
      <c r="I78" s="4">
        <v>736793.68</v>
      </c>
      <c r="J78" s="1" t="s">
        <v>46</v>
      </c>
      <c r="K78" s="1" t="s">
        <v>154</v>
      </c>
    </row>
    <row r="79" spans="1:11" x14ac:dyDescent="0.25">
      <c r="A79" s="1" t="s">
        <v>9</v>
      </c>
      <c r="B79" s="1" t="str">
        <f>_xlfn.XLOOKUP(D79,[1]Data!$D:$D,[1]Data!$A:$A)</f>
        <v>Em Aprovação</v>
      </c>
      <c r="C79" s="1" t="s">
        <v>155</v>
      </c>
      <c r="D79" s="1">
        <v>93321</v>
      </c>
      <c r="E79" s="1">
        <f>_xlfn.XLOOKUP(D79,[1]Data!$D:$D,[1]Data!$D:$D)</f>
        <v>93321</v>
      </c>
      <c r="F79" s="1" t="s">
        <v>11</v>
      </c>
      <c r="G79" s="1" t="s">
        <v>372</v>
      </c>
      <c r="H79" s="1" t="s">
        <v>381</v>
      </c>
      <c r="I79" s="4">
        <v>53898.59</v>
      </c>
      <c r="J79" s="1" t="s">
        <v>156</v>
      </c>
      <c r="K79" s="1" t="s">
        <v>154</v>
      </c>
    </row>
    <row r="80" spans="1:11" x14ac:dyDescent="0.25">
      <c r="A80" s="1" t="s">
        <v>54</v>
      </c>
      <c r="B80" s="1" t="str">
        <f>_xlfn.XLOOKUP(D80,[1]Data!$D:$D,[1]Data!$A:$A)</f>
        <v>Reprovado</v>
      </c>
      <c r="C80" s="1" t="s">
        <v>157</v>
      </c>
      <c r="D80" s="1">
        <v>93317</v>
      </c>
      <c r="E80" s="1">
        <f>_xlfn.XLOOKUP(D80,[1]Data!$D:$D,[1]Data!$D:$D)</f>
        <v>93317</v>
      </c>
      <c r="F80" s="1" t="s">
        <v>137</v>
      </c>
      <c r="G80" s="1" t="s">
        <v>367</v>
      </c>
      <c r="H80" s="1">
        <v>1170</v>
      </c>
      <c r="I80" s="4">
        <v>808478.79</v>
      </c>
      <c r="J80" s="1" t="s">
        <v>46</v>
      </c>
      <c r="K80" s="1" t="s">
        <v>154</v>
      </c>
    </row>
    <row r="81" spans="1:11" x14ac:dyDescent="0.25">
      <c r="A81" s="1" t="s">
        <v>54</v>
      </c>
      <c r="B81" s="1" t="str">
        <f>_xlfn.XLOOKUP(D81,[1]Data!$D:$D,[1]Data!$A:$A)</f>
        <v>Reprovado</v>
      </c>
      <c r="C81" s="1" t="s">
        <v>158</v>
      </c>
      <c r="D81" s="1">
        <v>93318</v>
      </c>
      <c r="E81" s="1">
        <f>_xlfn.XLOOKUP(D81,[1]Data!$D:$D,[1]Data!$D:$D)</f>
        <v>93318</v>
      </c>
      <c r="F81" s="1" t="s">
        <v>137</v>
      </c>
      <c r="G81" s="1" t="s">
        <v>372</v>
      </c>
      <c r="H81" s="1" t="s">
        <v>381</v>
      </c>
      <c r="I81" s="4">
        <v>53898.59</v>
      </c>
      <c r="J81" s="1" t="s">
        <v>156</v>
      </c>
      <c r="K81" s="1" t="s">
        <v>154</v>
      </c>
    </row>
    <row r="82" spans="1:11" x14ac:dyDescent="0.25">
      <c r="A82" s="1" t="s">
        <v>54</v>
      </c>
      <c r="B82" s="1" t="str">
        <f>_xlfn.XLOOKUP(D82,[1]Data!$D:$D,[1]Data!$A:$A)</f>
        <v>Reprovado</v>
      </c>
      <c r="C82" s="1" t="s">
        <v>159</v>
      </c>
      <c r="D82" s="1">
        <v>93315</v>
      </c>
      <c r="E82" s="1">
        <f>_xlfn.XLOOKUP(D82,[1]Data!$D:$D,[1]Data!$D:$D)</f>
        <v>93315</v>
      </c>
      <c r="F82" s="1" t="s">
        <v>137</v>
      </c>
      <c r="G82" s="1" t="s">
        <v>367</v>
      </c>
      <c r="H82" s="1">
        <v>1170</v>
      </c>
      <c r="I82" s="4">
        <v>1024073.13</v>
      </c>
      <c r="J82" s="1" t="s">
        <v>46</v>
      </c>
      <c r="K82" s="1" t="s">
        <v>154</v>
      </c>
    </row>
    <row r="83" spans="1:11" x14ac:dyDescent="0.25">
      <c r="A83" s="1" t="s">
        <v>54</v>
      </c>
      <c r="B83" s="1" t="str">
        <f>_xlfn.XLOOKUP(D83,[1]Data!$D:$D,[1]Data!$A:$A)</f>
        <v>Reprovado</v>
      </c>
      <c r="C83" s="1" t="s">
        <v>159</v>
      </c>
      <c r="D83" s="1">
        <v>93316</v>
      </c>
      <c r="E83" s="1">
        <f>_xlfn.XLOOKUP(D83,[1]Data!$D:$D,[1]Data!$D:$D)</f>
        <v>93316</v>
      </c>
      <c r="F83" s="1" t="s">
        <v>137</v>
      </c>
      <c r="G83" s="1" t="s">
        <v>372</v>
      </c>
      <c r="H83" s="1" t="s">
        <v>381</v>
      </c>
      <c r="I83" s="4">
        <v>53898.59</v>
      </c>
      <c r="J83" s="1" t="s">
        <v>156</v>
      </c>
      <c r="K83" s="1" t="s">
        <v>154</v>
      </c>
    </row>
    <row r="84" spans="1:11" x14ac:dyDescent="0.25">
      <c r="A84" s="1" t="s">
        <v>61</v>
      </c>
      <c r="B84" s="1" t="str">
        <f>_xlfn.XLOOKUP(D84,[1]Data!$D:$D,[1]Data!$A:$A)</f>
        <v>Aprovado</v>
      </c>
      <c r="C84" s="1" t="s">
        <v>160</v>
      </c>
      <c r="D84" s="1">
        <v>93311</v>
      </c>
      <c r="E84" s="1">
        <f>_xlfn.XLOOKUP(D84,[1]Data!$D:$D,[1]Data!$D:$D)</f>
        <v>93311</v>
      </c>
      <c r="F84" s="1" t="s">
        <v>11</v>
      </c>
      <c r="G84" s="1" t="s">
        <v>369</v>
      </c>
      <c r="H84" s="1">
        <v>29309</v>
      </c>
      <c r="I84" s="4">
        <v>115500</v>
      </c>
      <c r="J84" s="1" t="s">
        <v>73</v>
      </c>
      <c r="K84" s="1" t="s">
        <v>161</v>
      </c>
    </row>
    <row r="85" spans="1:11" x14ac:dyDescent="0.25">
      <c r="A85" s="1" t="s">
        <v>61</v>
      </c>
      <c r="B85" s="1" t="str">
        <f>_xlfn.XLOOKUP(D85,[1]Data!$D:$D,[1]Data!$A:$A)</f>
        <v>Aprovado</v>
      </c>
      <c r="C85" s="1" t="s">
        <v>162</v>
      </c>
      <c r="D85" s="1">
        <v>93300</v>
      </c>
      <c r="E85" s="1">
        <f>_xlfn.XLOOKUP(D85,[1]Data!$D:$D,[1]Data!$D:$D)</f>
        <v>93300</v>
      </c>
      <c r="F85" s="1" t="s">
        <v>11</v>
      </c>
      <c r="G85" s="1" t="s">
        <v>367</v>
      </c>
      <c r="H85" s="1">
        <v>1343</v>
      </c>
      <c r="I85" s="4">
        <v>33222.9</v>
      </c>
      <c r="J85" s="1" t="s">
        <v>46</v>
      </c>
      <c r="K85" s="1" t="s">
        <v>163</v>
      </c>
    </row>
    <row r="86" spans="1:11" x14ac:dyDescent="0.25">
      <c r="A86" s="1" t="s">
        <v>61</v>
      </c>
      <c r="B86" s="1" t="str">
        <f>_xlfn.XLOOKUP(D86,[1]Data!$D:$D,[1]Data!$A:$A)</f>
        <v>Aprovado</v>
      </c>
      <c r="C86" s="1" t="s">
        <v>164</v>
      </c>
      <c r="D86" s="1">
        <v>93298</v>
      </c>
      <c r="E86" s="1">
        <f>_xlfn.XLOOKUP(D86,[1]Data!$D:$D,[1]Data!$D:$D)</f>
        <v>93298</v>
      </c>
      <c r="F86" s="1" t="s">
        <v>11</v>
      </c>
      <c r="G86" s="1" t="s">
        <v>367</v>
      </c>
      <c r="H86" s="1">
        <v>762</v>
      </c>
      <c r="I86" s="4">
        <v>22204.54</v>
      </c>
      <c r="J86" s="1" t="s">
        <v>46</v>
      </c>
      <c r="K86" s="1" t="s">
        <v>165</v>
      </c>
    </row>
    <row r="87" spans="1:11" x14ac:dyDescent="0.25">
      <c r="A87" s="1" t="s">
        <v>61</v>
      </c>
      <c r="B87" s="1" t="str">
        <f>_xlfn.XLOOKUP(D87,[1]Data!$D:$D,[1]Data!$A:$A)</f>
        <v>Aprovado</v>
      </c>
      <c r="C87" s="1" t="s">
        <v>164</v>
      </c>
      <c r="D87" s="1">
        <v>93299</v>
      </c>
      <c r="E87" s="1">
        <f>_xlfn.XLOOKUP(D87,[1]Data!$D:$D,[1]Data!$D:$D)</f>
        <v>93299</v>
      </c>
      <c r="F87" s="1" t="s">
        <v>11</v>
      </c>
      <c r="G87" s="1" t="s">
        <v>372</v>
      </c>
      <c r="H87" s="1" t="s">
        <v>382</v>
      </c>
      <c r="I87" s="4">
        <v>1168.6600000000001</v>
      </c>
      <c r="J87" s="1" t="s">
        <v>132</v>
      </c>
      <c r="K87" s="1" t="s">
        <v>165</v>
      </c>
    </row>
    <row r="88" spans="1:11" x14ac:dyDescent="0.25">
      <c r="A88" s="1" t="s">
        <v>61</v>
      </c>
      <c r="B88" s="1" t="str">
        <f>_xlfn.XLOOKUP(D88,[1]Data!$D:$D,[1]Data!$A:$A)</f>
        <v>Aprovado</v>
      </c>
      <c r="C88" s="1" t="s">
        <v>166</v>
      </c>
      <c r="D88" s="1">
        <v>93295</v>
      </c>
      <c r="E88" s="1">
        <f>_xlfn.XLOOKUP(D88,[1]Data!$D:$D,[1]Data!$D:$D)</f>
        <v>93295</v>
      </c>
      <c r="F88" s="1" t="s">
        <v>11</v>
      </c>
      <c r="G88" s="1" t="s">
        <v>368</v>
      </c>
      <c r="H88" s="1">
        <v>5079</v>
      </c>
      <c r="I88" s="4">
        <v>980</v>
      </c>
      <c r="J88" s="1" t="s">
        <v>167</v>
      </c>
      <c r="K88" s="1" t="s">
        <v>168</v>
      </c>
    </row>
    <row r="89" spans="1:11" x14ac:dyDescent="0.25">
      <c r="A89" s="1" t="s">
        <v>61</v>
      </c>
      <c r="B89" s="1" t="str">
        <f>_xlfn.XLOOKUP(D89,[1]Data!$D:$D,[1]Data!$A:$A)</f>
        <v>Aprovado</v>
      </c>
      <c r="C89" s="1" t="s">
        <v>169</v>
      </c>
      <c r="D89" s="1">
        <v>93294</v>
      </c>
      <c r="E89" s="1">
        <f>_xlfn.XLOOKUP(D89,[1]Data!$D:$D,[1]Data!$D:$D)</f>
        <v>93294</v>
      </c>
      <c r="F89" s="1" t="s">
        <v>11</v>
      </c>
      <c r="G89" s="1" t="s">
        <v>368</v>
      </c>
      <c r="H89" s="1">
        <v>113819</v>
      </c>
      <c r="I89" s="4">
        <v>2813.3</v>
      </c>
      <c r="J89" s="1" t="s">
        <v>170</v>
      </c>
      <c r="K89" s="1" t="s">
        <v>171</v>
      </c>
    </row>
    <row r="90" spans="1:11" x14ac:dyDescent="0.25">
      <c r="A90" s="1" t="s">
        <v>61</v>
      </c>
      <c r="B90" s="1" t="str">
        <f>_xlfn.XLOOKUP(D90,[1]Data!$D:$D,[1]Data!$A:$A)</f>
        <v>Aprovado</v>
      </c>
      <c r="C90" s="1" t="s">
        <v>172</v>
      </c>
      <c r="D90" s="1">
        <v>93248</v>
      </c>
      <c r="E90" s="1">
        <f>_xlfn.XLOOKUP(D90,[1]Data!$D:$D,[1]Data!$D:$D)</f>
        <v>93248</v>
      </c>
      <c r="F90" s="1" t="s">
        <v>11</v>
      </c>
      <c r="G90" s="1" t="s">
        <v>367</v>
      </c>
      <c r="H90" s="1">
        <v>1354</v>
      </c>
      <c r="I90" s="4">
        <v>4536.68</v>
      </c>
      <c r="J90" s="1" t="s">
        <v>46</v>
      </c>
      <c r="K90" s="1" t="s">
        <v>173</v>
      </c>
    </row>
    <row r="91" spans="1:11" x14ac:dyDescent="0.25">
      <c r="A91" s="1" t="s">
        <v>61</v>
      </c>
      <c r="B91" s="1" t="str">
        <f>_xlfn.XLOOKUP(D91,[1]Data!$D:$D,[1]Data!$A:$A)</f>
        <v>Aprovado</v>
      </c>
      <c r="C91" s="1" t="s">
        <v>174</v>
      </c>
      <c r="D91" s="1">
        <v>93240</v>
      </c>
      <c r="E91" s="1">
        <f>_xlfn.XLOOKUP(D91,[1]Data!$D:$D,[1]Data!$D:$D)</f>
        <v>93240</v>
      </c>
      <c r="F91" s="1" t="s">
        <v>11</v>
      </c>
      <c r="G91" s="1" t="s">
        <v>368</v>
      </c>
      <c r="H91" s="1">
        <v>285034</v>
      </c>
      <c r="I91" s="4">
        <v>6586.1</v>
      </c>
      <c r="J91" s="1" t="s">
        <v>35</v>
      </c>
      <c r="K91" s="1" t="s">
        <v>175</v>
      </c>
    </row>
    <row r="92" spans="1:11" x14ac:dyDescent="0.25">
      <c r="A92" s="1" t="s">
        <v>61</v>
      </c>
      <c r="B92" s="1" t="str">
        <f>_xlfn.XLOOKUP(D92,[1]Data!$D:$D,[1]Data!$A:$A)</f>
        <v>Aprovado</v>
      </c>
      <c r="C92" s="1" t="s">
        <v>176</v>
      </c>
      <c r="D92" s="1">
        <v>93225</v>
      </c>
      <c r="E92" s="1">
        <f>_xlfn.XLOOKUP(D92,[1]Data!$D:$D,[1]Data!$D:$D)</f>
        <v>93225</v>
      </c>
      <c r="F92" s="1" t="s">
        <v>11</v>
      </c>
      <c r="G92" s="1" t="s">
        <v>371</v>
      </c>
      <c r="H92" s="1">
        <v>106121</v>
      </c>
      <c r="I92" s="4">
        <v>1500</v>
      </c>
      <c r="J92" s="1" t="s">
        <v>177</v>
      </c>
      <c r="K92" s="1" t="s">
        <v>178</v>
      </c>
    </row>
    <row r="93" spans="1:11" x14ac:dyDescent="0.25">
      <c r="A93" s="1" t="s">
        <v>61</v>
      </c>
      <c r="B93" s="1" t="str">
        <f>_xlfn.XLOOKUP(D93,[1]Data!$D:$D,[1]Data!$A:$A)</f>
        <v>Aprovado</v>
      </c>
      <c r="C93" s="1" t="s">
        <v>179</v>
      </c>
      <c r="D93" s="1">
        <v>93204</v>
      </c>
      <c r="E93" s="1">
        <f>_xlfn.XLOOKUP(D93,[1]Data!$D:$D,[1]Data!$D:$D)</f>
        <v>93204</v>
      </c>
      <c r="F93" s="1" t="s">
        <v>11</v>
      </c>
      <c r="G93" s="1" t="s">
        <v>367</v>
      </c>
      <c r="H93" s="1">
        <v>67</v>
      </c>
      <c r="I93" s="4">
        <v>24551.16</v>
      </c>
      <c r="J93" s="1" t="s">
        <v>46</v>
      </c>
      <c r="K93" s="1" t="s">
        <v>114</v>
      </c>
    </row>
    <row r="94" spans="1:11" x14ac:dyDescent="0.25">
      <c r="A94" s="1" t="s">
        <v>9</v>
      </c>
      <c r="B94" s="1" t="str">
        <f>_xlfn.XLOOKUP(D94,[1]Data!$D:$D,[1]Data!$A:$A)</f>
        <v>Em Aprovação</v>
      </c>
      <c r="C94" s="1" t="s">
        <v>179</v>
      </c>
      <c r="D94" s="1">
        <v>93205</v>
      </c>
      <c r="E94" s="1">
        <f>_xlfn.XLOOKUP(D94,[1]Data!$D:$D,[1]Data!$D:$D)</f>
        <v>93205</v>
      </c>
      <c r="F94" s="1" t="s">
        <v>11</v>
      </c>
      <c r="G94" s="1" t="s">
        <v>372</v>
      </c>
      <c r="H94" s="1" t="s">
        <v>377</v>
      </c>
      <c r="I94" s="4">
        <v>1552.1</v>
      </c>
      <c r="J94" s="1" t="s">
        <v>115</v>
      </c>
      <c r="K94" s="1" t="s">
        <v>114</v>
      </c>
    </row>
    <row r="95" spans="1:11" x14ac:dyDescent="0.25">
      <c r="A95" s="1" t="s">
        <v>61</v>
      </c>
      <c r="B95" s="1" t="str">
        <f>_xlfn.XLOOKUP(D95,[1]Data!$D:$D,[1]Data!$A:$A)</f>
        <v>Reprovado</v>
      </c>
      <c r="C95" s="1" t="s">
        <v>180</v>
      </c>
      <c r="D95" s="1">
        <v>93195</v>
      </c>
      <c r="E95" s="1">
        <f>_xlfn.XLOOKUP(D95,[1]Data!$D:$D,[1]Data!$D:$D)</f>
        <v>93195</v>
      </c>
      <c r="F95" s="1" t="s">
        <v>11</v>
      </c>
      <c r="G95" s="1" t="s">
        <v>367</v>
      </c>
      <c r="H95" s="1">
        <v>14094</v>
      </c>
      <c r="I95" s="4">
        <v>44014.8</v>
      </c>
      <c r="J95" s="1" t="s">
        <v>46</v>
      </c>
      <c r="K95" s="1" t="s">
        <v>53</v>
      </c>
    </row>
    <row r="96" spans="1:11" x14ac:dyDescent="0.25">
      <c r="A96" s="1" t="s">
        <v>61</v>
      </c>
      <c r="B96" s="1" t="str">
        <f>_xlfn.XLOOKUP(D96,[1]Data!$D:$D,[1]Data!$A:$A)</f>
        <v>Aprovado</v>
      </c>
      <c r="C96" s="1" t="s">
        <v>181</v>
      </c>
      <c r="D96" s="1">
        <v>93188</v>
      </c>
      <c r="E96" s="1">
        <f>_xlfn.XLOOKUP(D96,[1]Data!$D:$D,[1]Data!$D:$D)</f>
        <v>93188</v>
      </c>
      <c r="F96" s="1" t="s">
        <v>11</v>
      </c>
      <c r="G96" s="1" t="s">
        <v>368</v>
      </c>
      <c r="H96" s="1">
        <v>582</v>
      </c>
      <c r="I96" s="4">
        <v>7732.5</v>
      </c>
      <c r="J96" s="1" t="s">
        <v>12</v>
      </c>
      <c r="K96" s="1" t="s">
        <v>119</v>
      </c>
    </row>
    <row r="97" spans="1:11" x14ac:dyDescent="0.25">
      <c r="A97" s="1" t="s">
        <v>61</v>
      </c>
      <c r="B97" s="1" t="str">
        <f>_xlfn.XLOOKUP(D97,[1]Data!$D:$D,[1]Data!$A:$A)</f>
        <v>Aprovado</v>
      </c>
      <c r="C97" s="1" t="s">
        <v>182</v>
      </c>
      <c r="D97" s="1">
        <v>93159</v>
      </c>
      <c r="E97" s="1">
        <f>_xlfn.XLOOKUP(D97,[1]Data!$D:$D,[1]Data!$D:$D)</f>
        <v>93159</v>
      </c>
      <c r="F97" s="1" t="s">
        <v>11</v>
      </c>
      <c r="G97" s="1" t="s">
        <v>367</v>
      </c>
      <c r="H97" s="1">
        <v>2739</v>
      </c>
      <c r="I97" s="4">
        <v>25688.41</v>
      </c>
      <c r="J97" s="1" t="s">
        <v>46</v>
      </c>
      <c r="K97" s="1" t="s">
        <v>183</v>
      </c>
    </row>
    <row r="98" spans="1:11" x14ac:dyDescent="0.25">
      <c r="A98" s="1" t="s">
        <v>9</v>
      </c>
      <c r="B98" s="1" t="str">
        <f>_xlfn.XLOOKUP(D98,[1]Data!$D:$D,[1]Data!$A:$A)</f>
        <v>Em Aprovação</v>
      </c>
      <c r="C98" s="1" t="s">
        <v>182</v>
      </c>
      <c r="D98" s="1">
        <v>93160</v>
      </c>
      <c r="E98" s="1">
        <f>_xlfn.XLOOKUP(D98,[1]Data!$D:$D,[1]Data!$D:$D)</f>
        <v>93160</v>
      </c>
      <c r="F98" s="1" t="s">
        <v>11</v>
      </c>
      <c r="G98" s="1" t="s">
        <v>372</v>
      </c>
      <c r="H98" s="1" t="s">
        <v>383</v>
      </c>
      <c r="I98" s="4">
        <v>1580.55</v>
      </c>
      <c r="J98" s="1" t="s">
        <v>79</v>
      </c>
      <c r="K98" s="1" t="s">
        <v>183</v>
      </c>
    </row>
    <row r="99" spans="1:11" x14ac:dyDescent="0.25">
      <c r="A99" s="1" t="s">
        <v>61</v>
      </c>
      <c r="B99" s="1" t="str">
        <f>_xlfn.XLOOKUP(D99,[1]Data!$D:$D,[1]Data!$A:$A)</f>
        <v>Aprovado</v>
      </c>
      <c r="C99" s="1" t="s">
        <v>184</v>
      </c>
      <c r="D99" s="1">
        <v>93130</v>
      </c>
      <c r="E99" s="1">
        <f>_xlfn.XLOOKUP(D99,[1]Data!$D:$D,[1]Data!$D:$D)</f>
        <v>93130</v>
      </c>
      <c r="F99" s="1" t="s">
        <v>11</v>
      </c>
      <c r="G99" s="1" t="s">
        <v>368</v>
      </c>
      <c r="H99" s="1">
        <v>28947</v>
      </c>
      <c r="I99" s="4">
        <v>3552</v>
      </c>
      <c r="J99" s="1" t="s">
        <v>46</v>
      </c>
      <c r="K99" s="1" t="s">
        <v>185</v>
      </c>
    </row>
    <row r="100" spans="1:11" x14ac:dyDescent="0.25">
      <c r="A100" s="1" t="s">
        <v>61</v>
      </c>
      <c r="B100" s="1" t="str">
        <f>_xlfn.XLOOKUP(D100,[1]Data!$D:$D,[1]Data!$A:$A)</f>
        <v>Aprovado</v>
      </c>
      <c r="C100" s="1" t="s">
        <v>186</v>
      </c>
      <c r="D100" s="1">
        <v>93126</v>
      </c>
      <c r="E100" s="1">
        <f>_xlfn.XLOOKUP(D100,[1]Data!$D:$D,[1]Data!$D:$D)</f>
        <v>93126</v>
      </c>
      <c r="F100" s="1" t="s">
        <v>11</v>
      </c>
      <c r="G100" s="1" t="s">
        <v>368</v>
      </c>
      <c r="H100" s="1">
        <v>15259</v>
      </c>
      <c r="I100" s="4">
        <v>7747.63</v>
      </c>
      <c r="J100" s="1" t="s">
        <v>51</v>
      </c>
      <c r="K100" s="1" t="s">
        <v>188</v>
      </c>
    </row>
    <row r="101" spans="1:11" x14ac:dyDescent="0.25">
      <c r="A101" s="1" t="s">
        <v>61</v>
      </c>
      <c r="B101" s="1" t="str">
        <f>_xlfn.XLOOKUP(D101,[1]Data!$D:$D,[1]Data!$A:$A)</f>
        <v>Aprovado</v>
      </c>
      <c r="C101" s="1" t="s">
        <v>189</v>
      </c>
      <c r="D101" s="1">
        <v>93116</v>
      </c>
      <c r="E101" s="1">
        <f>_xlfn.XLOOKUP(D101,[1]Data!$D:$D,[1]Data!$D:$D)</f>
        <v>93116</v>
      </c>
      <c r="F101" s="1" t="s">
        <v>11</v>
      </c>
      <c r="G101" s="1" t="s">
        <v>367</v>
      </c>
      <c r="H101" s="1">
        <v>488</v>
      </c>
      <c r="I101" s="4">
        <v>57436.2</v>
      </c>
      <c r="J101" s="1" t="s">
        <v>46</v>
      </c>
      <c r="K101" s="1" t="s">
        <v>148</v>
      </c>
    </row>
    <row r="102" spans="1:11" x14ac:dyDescent="0.25">
      <c r="A102" s="1" t="s">
        <v>61</v>
      </c>
      <c r="B102" s="1" t="str">
        <f>_xlfn.XLOOKUP(D102,[1]Data!$D:$D,[1]Data!$A:$A)</f>
        <v>Aprovado</v>
      </c>
      <c r="C102" s="1" t="s">
        <v>190</v>
      </c>
      <c r="D102" s="1">
        <v>93106</v>
      </c>
      <c r="E102" s="1">
        <f>_xlfn.XLOOKUP(D102,[1]Data!$D:$D,[1]Data!$D:$D)</f>
        <v>93106</v>
      </c>
      <c r="F102" s="1" t="s">
        <v>11</v>
      </c>
      <c r="G102" s="1" t="s">
        <v>375</v>
      </c>
      <c r="H102" s="1">
        <v>1</v>
      </c>
      <c r="I102" s="4">
        <v>1027957.12</v>
      </c>
      <c r="J102" s="1" t="s">
        <v>43</v>
      </c>
      <c r="K102" s="1" t="s">
        <v>191</v>
      </c>
    </row>
    <row r="103" spans="1:11" x14ac:dyDescent="0.25">
      <c r="A103" s="1" t="s">
        <v>61</v>
      </c>
      <c r="B103" s="1" t="str">
        <f>_xlfn.XLOOKUP(D103,[1]Data!$D:$D,[1]Data!$A:$A)</f>
        <v>Aprovado</v>
      </c>
      <c r="C103" s="1" t="s">
        <v>192</v>
      </c>
      <c r="D103" s="1">
        <v>93091</v>
      </c>
      <c r="E103" s="1">
        <f>_xlfn.XLOOKUP(D103,[1]Data!$D:$D,[1]Data!$D:$D)</f>
        <v>93091</v>
      </c>
      <c r="F103" s="1" t="s">
        <v>11</v>
      </c>
      <c r="G103" s="1" t="s">
        <v>369</v>
      </c>
      <c r="H103" s="1">
        <v>2951</v>
      </c>
      <c r="I103" s="4">
        <v>500000.09</v>
      </c>
      <c r="J103" s="1" t="s">
        <v>43</v>
      </c>
      <c r="K103" s="1" t="s">
        <v>193</v>
      </c>
    </row>
    <row r="104" spans="1:11" x14ac:dyDescent="0.25">
      <c r="A104" s="1" t="s">
        <v>54</v>
      </c>
      <c r="B104" s="1" t="str">
        <f>_xlfn.XLOOKUP(D104,[1]Data!$D:$D,[1]Data!$A:$A)</f>
        <v>Reprovado</v>
      </c>
      <c r="C104" s="1" t="s">
        <v>194</v>
      </c>
      <c r="D104" s="1">
        <v>93085</v>
      </c>
      <c r="E104" s="1">
        <f>_xlfn.XLOOKUP(D104,[1]Data!$D:$D,[1]Data!$D:$D)</f>
        <v>93085</v>
      </c>
      <c r="F104" s="1" t="s">
        <v>137</v>
      </c>
      <c r="G104" s="1" t="s">
        <v>367</v>
      </c>
      <c r="H104" s="1">
        <v>14094</v>
      </c>
      <c r="I104" s="4">
        <v>51180</v>
      </c>
      <c r="J104" s="1" t="s">
        <v>46</v>
      </c>
      <c r="K104" s="1" t="s">
        <v>53</v>
      </c>
    </row>
    <row r="105" spans="1:11" x14ac:dyDescent="0.25">
      <c r="A105" s="1" t="s">
        <v>61</v>
      </c>
      <c r="B105" s="1" t="str">
        <f>_xlfn.XLOOKUP(D105,[1]Data!$D:$D,[1]Data!$A:$A)</f>
        <v>Aprovado</v>
      </c>
      <c r="C105" s="1" t="s">
        <v>195</v>
      </c>
      <c r="D105" s="1">
        <v>93058</v>
      </c>
      <c r="E105" s="1">
        <f>_xlfn.XLOOKUP(D105,[1]Data!$D:$D,[1]Data!$D:$D)</f>
        <v>93058</v>
      </c>
      <c r="F105" s="1" t="s">
        <v>11</v>
      </c>
      <c r="G105" s="1" t="s">
        <v>367</v>
      </c>
      <c r="H105" s="1">
        <v>848</v>
      </c>
      <c r="I105" s="4">
        <v>32659.8</v>
      </c>
      <c r="J105" s="1" t="s">
        <v>46</v>
      </c>
      <c r="K105" s="1" t="s">
        <v>196</v>
      </c>
    </row>
    <row r="106" spans="1:11" x14ac:dyDescent="0.25">
      <c r="A106" s="1" t="s">
        <v>61</v>
      </c>
      <c r="B106" s="1" t="str">
        <f>_xlfn.XLOOKUP(D106,[1]Data!$D:$D,[1]Data!$A:$A)</f>
        <v>Aprovado</v>
      </c>
      <c r="C106" s="1" t="s">
        <v>197</v>
      </c>
      <c r="D106" s="1">
        <v>93057</v>
      </c>
      <c r="E106" s="1">
        <f>_xlfn.XLOOKUP(D106,[1]Data!$D:$D,[1]Data!$D:$D)</f>
        <v>93057</v>
      </c>
      <c r="F106" s="1" t="s">
        <v>11</v>
      </c>
      <c r="G106" s="1" t="s">
        <v>368</v>
      </c>
      <c r="H106" s="1">
        <v>567</v>
      </c>
      <c r="I106" s="4">
        <v>23190</v>
      </c>
      <c r="J106" s="1" t="s">
        <v>46</v>
      </c>
      <c r="K106" s="1" t="s">
        <v>119</v>
      </c>
    </row>
    <row r="107" spans="1:11" x14ac:dyDescent="0.25">
      <c r="A107" s="1" t="s">
        <v>61</v>
      </c>
      <c r="B107" s="1" t="str">
        <f>_xlfn.XLOOKUP(D107,[1]Data!$D:$D,[1]Data!$A:$A)</f>
        <v>Aprovado</v>
      </c>
      <c r="C107" s="1" t="s">
        <v>198</v>
      </c>
      <c r="D107" s="1">
        <v>93048</v>
      </c>
      <c r="E107" s="1">
        <f>_xlfn.XLOOKUP(D107,[1]Data!$D:$D,[1]Data!$D:$D)</f>
        <v>93048</v>
      </c>
      <c r="F107" s="1" t="s">
        <v>11</v>
      </c>
      <c r="G107" s="1" t="s">
        <v>369</v>
      </c>
      <c r="H107" s="1">
        <v>20365</v>
      </c>
      <c r="I107" s="4">
        <v>669912</v>
      </c>
      <c r="J107" s="1" t="s">
        <v>43</v>
      </c>
      <c r="K107" s="1" t="s">
        <v>191</v>
      </c>
    </row>
    <row r="108" spans="1:11" x14ac:dyDescent="0.25">
      <c r="A108" s="1" t="s">
        <v>61</v>
      </c>
      <c r="B108" s="1" t="str">
        <f>_xlfn.XLOOKUP(D108,[1]Data!$D:$D,[1]Data!$A:$A)</f>
        <v>Aprovado</v>
      </c>
      <c r="C108" s="1" t="s">
        <v>199</v>
      </c>
      <c r="D108" s="1">
        <v>93045</v>
      </c>
      <c r="E108" s="1">
        <f>_xlfn.XLOOKUP(D108,[1]Data!$D:$D,[1]Data!$D:$D)</f>
        <v>93045</v>
      </c>
      <c r="F108" s="1" t="s">
        <v>11</v>
      </c>
      <c r="G108" s="1" t="s">
        <v>369</v>
      </c>
      <c r="H108" s="1">
        <v>20366</v>
      </c>
      <c r="I108" s="4">
        <v>1062600</v>
      </c>
      <c r="J108" s="1" t="s">
        <v>43</v>
      </c>
      <c r="K108" s="1" t="s">
        <v>191</v>
      </c>
    </row>
    <row r="109" spans="1:11" x14ac:dyDescent="0.25">
      <c r="A109" s="1" t="s">
        <v>61</v>
      </c>
      <c r="B109" s="1" t="str">
        <f>_xlfn.XLOOKUP(D109,[1]Data!$D:$D,[1]Data!$A:$A)</f>
        <v>Aprovado</v>
      </c>
      <c r="C109" s="1" t="s">
        <v>200</v>
      </c>
      <c r="D109" s="1">
        <v>93039</v>
      </c>
      <c r="E109" s="1">
        <f>_xlfn.XLOOKUP(D109,[1]Data!$D:$D,[1]Data!$D:$D)</f>
        <v>93039</v>
      </c>
      <c r="F109" s="1" t="s">
        <v>11</v>
      </c>
      <c r="G109" s="1" t="s">
        <v>367</v>
      </c>
      <c r="H109" s="1">
        <v>3004</v>
      </c>
      <c r="I109" s="4">
        <v>2300</v>
      </c>
      <c r="J109" s="1" t="s">
        <v>46</v>
      </c>
      <c r="K109" s="1" t="s">
        <v>201</v>
      </c>
    </row>
    <row r="110" spans="1:11" x14ac:dyDescent="0.25">
      <c r="A110" s="1" t="s">
        <v>54</v>
      </c>
      <c r="B110" s="1" t="str">
        <f>_xlfn.XLOOKUP(D110,[1]Data!$D:$D,[1]Data!$A:$A)</f>
        <v>Reprovado</v>
      </c>
      <c r="C110" s="1" t="s">
        <v>202</v>
      </c>
      <c r="D110" s="1">
        <v>93033</v>
      </c>
      <c r="E110" s="1">
        <f>_xlfn.XLOOKUP(D110,[1]Data!$D:$D,[1]Data!$D:$D)</f>
        <v>93033</v>
      </c>
      <c r="F110" s="1" t="s">
        <v>11</v>
      </c>
      <c r="G110" s="1" t="s">
        <v>367</v>
      </c>
      <c r="H110" s="1">
        <v>63</v>
      </c>
      <c r="I110" s="4">
        <v>136066.73000000001</v>
      </c>
      <c r="J110" s="1" t="s">
        <v>46</v>
      </c>
      <c r="K110" s="1" t="s">
        <v>78</v>
      </c>
    </row>
    <row r="111" spans="1:11" x14ac:dyDescent="0.25">
      <c r="A111" s="1" t="s">
        <v>54</v>
      </c>
      <c r="B111" s="1" t="str">
        <f>_xlfn.XLOOKUP(D111,[1]Data!$D:$D,[1]Data!$A:$A)</f>
        <v>Reprovado</v>
      </c>
      <c r="C111" s="1" t="s">
        <v>202</v>
      </c>
      <c r="D111" s="1">
        <v>93034</v>
      </c>
      <c r="E111" s="1">
        <f>_xlfn.XLOOKUP(D111,[1]Data!$D:$D,[1]Data!$D:$D)</f>
        <v>93034</v>
      </c>
      <c r="F111" s="1" t="s">
        <v>11</v>
      </c>
      <c r="G111" s="1" t="s">
        <v>372</v>
      </c>
      <c r="H111" s="1" t="s">
        <v>373</v>
      </c>
      <c r="I111" s="4">
        <v>7161.41</v>
      </c>
      <c r="J111" s="1" t="s">
        <v>79</v>
      </c>
      <c r="K111" s="1" t="s">
        <v>78</v>
      </c>
    </row>
    <row r="112" spans="1:11" x14ac:dyDescent="0.25">
      <c r="A112" s="1" t="s">
        <v>61</v>
      </c>
      <c r="B112" s="1" t="str">
        <f>_xlfn.XLOOKUP(D112,[1]Data!$D:$D,[1]Data!$A:$A)</f>
        <v>Aprovado</v>
      </c>
      <c r="C112" s="1" t="s">
        <v>203</v>
      </c>
      <c r="D112" s="1">
        <v>93025</v>
      </c>
      <c r="E112" s="1">
        <f>_xlfn.XLOOKUP(D112,[1]Data!$D:$D,[1]Data!$D:$D)</f>
        <v>93025</v>
      </c>
      <c r="F112" s="1" t="s">
        <v>11</v>
      </c>
      <c r="G112" s="1" t="s">
        <v>375</v>
      </c>
      <c r="H112" s="1">
        <v>1</v>
      </c>
      <c r="I112" s="4">
        <v>200000</v>
      </c>
      <c r="J112" s="1" t="s">
        <v>77</v>
      </c>
      <c r="K112" s="1" t="s">
        <v>204</v>
      </c>
    </row>
    <row r="113" spans="1:11" x14ac:dyDescent="0.25">
      <c r="A113" s="1" t="s">
        <v>61</v>
      </c>
      <c r="B113" s="1" t="str">
        <f>_xlfn.XLOOKUP(D113,[1]Data!$D:$D,[1]Data!$A:$A)</f>
        <v>Aprovado</v>
      </c>
      <c r="C113" s="1" t="s">
        <v>205</v>
      </c>
      <c r="D113" s="1">
        <v>93004</v>
      </c>
      <c r="E113" s="1">
        <f>_xlfn.XLOOKUP(D113,[1]Data!$D:$D,[1]Data!$D:$D)</f>
        <v>93004</v>
      </c>
      <c r="F113" s="1" t="s">
        <v>11</v>
      </c>
      <c r="G113" s="1" t="s">
        <v>367</v>
      </c>
      <c r="H113" s="1">
        <v>57</v>
      </c>
      <c r="I113" s="4">
        <v>12432.77</v>
      </c>
      <c r="J113" s="1" t="s">
        <v>46</v>
      </c>
      <c r="K113" s="1" t="s">
        <v>206</v>
      </c>
    </row>
    <row r="114" spans="1:11" x14ac:dyDescent="0.25">
      <c r="A114" s="1" t="s">
        <v>61</v>
      </c>
      <c r="B114" s="1" t="str">
        <f>_xlfn.XLOOKUP(D114,[1]Data!$D:$D,[1]Data!$A:$A)</f>
        <v>Aprovado</v>
      </c>
      <c r="C114" s="1" t="s">
        <v>207</v>
      </c>
      <c r="D114" s="1">
        <v>93001</v>
      </c>
      <c r="E114" s="1">
        <f>_xlfn.XLOOKUP(D114,[1]Data!$D:$D,[1]Data!$D:$D)</f>
        <v>93001</v>
      </c>
      <c r="F114" s="1" t="s">
        <v>11</v>
      </c>
      <c r="G114" s="1" t="s">
        <v>367</v>
      </c>
      <c r="H114" s="1">
        <v>2164</v>
      </c>
      <c r="I114" s="4">
        <v>12669.75</v>
      </c>
      <c r="J114" s="1" t="s">
        <v>46</v>
      </c>
      <c r="K114" s="1" t="s">
        <v>208</v>
      </c>
    </row>
    <row r="115" spans="1:11" x14ac:dyDescent="0.25">
      <c r="A115" s="1" t="s">
        <v>61</v>
      </c>
      <c r="B115" s="1" t="str">
        <f>_xlfn.XLOOKUP(D115,[1]Data!$D:$D,[1]Data!$A:$A)</f>
        <v>Aprovado</v>
      </c>
      <c r="C115" s="1" t="s">
        <v>209</v>
      </c>
      <c r="D115" s="1">
        <v>92997</v>
      </c>
      <c r="E115" s="1">
        <f>_xlfn.XLOOKUP(D115,[1]Data!$D:$D,[1]Data!$D:$D)</f>
        <v>92997</v>
      </c>
      <c r="F115" s="1" t="s">
        <v>11</v>
      </c>
      <c r="G115" s="1" t="s">
        <v>367</v>
      </c>
      <c r="H115" s="1">
        <v>9003</v>
      </c>
      <c r="I115" s="4">
        <v>45798.8</v>
      </c>
      <c r="J115" s="1" t="s">
        <v>46</v>
      </c>
      <c r="K115" s="1" t="s">
        <v>210</v>
      </c>
    </row>
    <row r="116" spans="1:11" x14ac:dyDescent="0.25">
      <c r="A116" s="1" t="s">
        <v>61</v>
      </c>
      <c r="B116" s="1" t="str">
        <f>_xlfn.XLOOKUP(D116,[1]Data!$D:$D,[1]Data!$A:$A)</f>
        <v>Aprovado</v>
      </c>
      <c r="C116" s="1" t="s">
        <v>211</v>
      </c>
      <c r="D116" s="1">
        <v>92996</v>
      </c>
      <c r="E116" s="1">
        <f>_xlfn.XLOOKUP(D116,[1]Data!$D:$D,[1]Data!$D:$D)</f>
        <v>92996</v>
      </c>
      <c r="F116" s="1" t="s">
        <v>11</v>
      </c>
      <c r="G116" s="1" t="s">
        <v>367</v>
      </c>
      <c r="H116" s="1">
        <v>666</v>
      </c>
      <c r="I116" s="4">
        <v>11859.67</v>
      </c>
      <c r="J116" s="1" t="s">
        <v>46</v>
      </c>
      <c r="K116" s="1" t="s">
        <v>212</v>
      </c>
    </row>
    <row r="117" spans="1:11" x14ac:dyDescent="0.25">
      <c r="A117" s="1" t="s">
        <v>61</v>
      </c>
      <c r="B117" s="1" t="str">
        <f>_xlfn.XLOOKUP(D117,[1]Data!$D:$D,[1]Data!$A:$A)</f>
        <v>Aprovado</v>
      </c>
      <c r="C117" s="1" t="s">
        <v>213</v>
      </c>
      <c r="D117" s="1">
        <v>92977</v>
      </c>
      <c r="E117" s="1">
        <f>_xlfn.XLOOKUP(D117,[1]Data!$D:$D,[1]Data!$D:$D)</f>
        <v>92977</v>
      </c>
      <c r="F117" s="1" t="s">
        <v>11</v>
      </c>
      <c r="G117" s="1" t="s">
        <v>367</v>
      </c>
      <c r="H117" s="1">
        <v>2729</v>
      </c>
      <c r="I117" s="4">
        <v>7362.25</v>
      </c>
      <c r="J117" s="1" t="s">
        <v>46</v>
      </c>
      <c r="K117" s="1" t="s">
        <v>183</v>
      </c>
    </row>
    <row r="118" spans="1:11" x14ac:dyDescent="0.25">
      <c r="A118" s="1" t="s">
        <v>9</v>
      </c>
      <c r="B118" s="1" t="str">
        <f>_xlfn.XLOOKUP(D118,[1]Data!$D:$D,[1]Data!$A:$A)</f>
        <v>Em Aprovação</v>
      </c>
      <c r="C118" s="1" t="s">
        <v>213</v>
      </c>
      <c r="D118" s="1">
        <v>92978</v>
      </c>
      <c r="E118" s="1">
        <f>_xlfn.XLOOKUP(D118,[1]Data!$D:$D,[1]Data!$D:$D)</f>
        <v>92978</v>
      </c>
      <c r="F118" s="1" t="s">
        <v>11</v>
      </c>
      <c r="G118" s="1" t="s">
        <v>372</v>
      </c>
      <c r="H118" s="1" t="s">
        <v>383</v>
      </c>
      <c r="I118" s="4">
        <v>439.01</v>
      </c>
      <c r="J118" s="1" t="s">
        <v>79</v>
      </c>
      <c r="K118" s="1" t="s">
        <v>183</v>
      </c>
    </row>
    <row r="119" spans="1:11" x14ac:dyDescent="0.25">
      <c r="A119" s="1" t="s">
        <v>61</v>
      </c>
      <c r="B119" s="1" t="str">
        <f>_xlfn.XLOOKUP(D119,[1]Data!$D:$D,[1]Data!$A:$A)</f>
        <v>Aprovado</v>
      </c>
      <c r="C119" s="1" t="s">
        <v>214</v>
      </c>
      <c r="D119" s="1">
        <v>92959</v>
      </c>
      <c r="E119" s="1">
        <f>_xlfn.XLOOKUP(D119,[1]Data!$D:$D,[1]Data!$D:$D)</f>
        <v>92959</v>
      </c>
      <c r="F119" s="1" t="s">
        <v>11</v>
      </c>
      <c r="G119" s="1" t="s">
        <v>367</v>
      </c>
      <c r="H119" s="1">
        <v>754</v>
      </c>
      <c r="I119" s="4">
        <v>8560.26</v>
      </c>
      <c r="J119" s="1" t="s">
        <v>46</v>
      </c>
      <c r="K119" s="1" t="s">
        <v>165</v>
      </c>
    </row>
    <row r="120" spans="1:11" x14ac:dyDescent="0.25">
      <c r="A120" s="1" t="s">
        <v>61</v>
      </c>
      <c r="B120" s="1" t="str">
        <f>_xlfn.XLOOKUP(D120,[1]Data!$D:$D,[1]Data!$A:$A)</f>
        <v>Aprovado</v>
      </c>
      <c r="C120" s="1" t="s">
        <v>214</v>
      </c>
      <c r="D120" s="1">
        <v>92960</v>
      </c>
      <c r="E120" s="1">
        <f>_xlfn.XLOOKUP(D120,[1]Data!$D:$D,[1]Data!$D:$D)</f>
        <v>92960</v>
      </c>
      <c r="F120" s="1" t="s">
        <v>11</v>
      </c>
      <c r="G120" s="1" t="s">
        <v>372</v>
      </c>
      <c r="H120" s="1" t="s">
        <v>382</v>
      </c>
      <c r="I120" s="4">
        <v>450.54</v>
      </c>
      <c r="J120" s="1" t="s">
        <v>132</v>
      </c>
      <c r="K120" s="1" t="s">
        <v>165</v>
      </c>
    </row>
    <row r="121" spans="1:11" x14ac:dyDescent="0.25">
      <c r="A121" s="1" t="s">
        <v>61</v>
      </c>
      <c r="B121" s="1" t="str">
        <f>_xlfn.XLOOKUP(D121,[1]Data!$D:$D,[1]Data!$A:$A)</f>
        <v>Aprovado</v>
      </c>
      <c r="C121" s="1" t="s">
        <v>215</v>
      </c>
      <c r="D121" s="1">
        <v>92905</v>
      </c>
      <c r="E121" s="1">
        <f>_xlfn.XLOOKUP(D121,[1]Data!$D:$D,[1]Data!$D:$D)</f>
        <v>92905</v>
      </c>
      <c r="F121" s="1" t="s">
        <v>11</v>
      </c>
      <c r="G121" s="1" t="s">
        <v>368</v>
      </c>
      <c r="H121" s="1">
        <v>577</v>
      </c>
      <c r="I121" s="4">
        <v>31777.85</v>
      </c>
      <c r="J121" s="1" t="s">
        <v>46</v>
      </c>
      <c r="K121" s="1" t="s">
        <v>119</v>
      </c>
    </row>
    <row r="122" spans="1:11" x14ac:dyDescent="0.25">
      <c r="A122" s="1" t="s">
        <v>61</v>
      </c>
      <c r="B122" s="1" t="str">
        <f>_xlfn.XLOOKUP(D122,[1]Data!$D:$D,[1]Data!$A:$A)</f>
        <v>Aprovado</v>
      </c>
      <c r="C122" s="1" t="s">
        <v>216</v>
      </c>
      <c r="D122" s="1">
        <v>92903</v>
      </c>
      <c r="E122" s="1">
        <f>_xlfn.XLOOKUP(D122,[1]Data!$D:$D,[1]Data!$D:$D)</f>
        <v>92903</v>
      </c>
      <c r="F122" s="1" t="s">
        <v>11</v>
      </c>
      <c r="G122" s="1" t="s">
        <v>371</v>
      </c>
      <c r="H122" s="1">
        <v>6200</v>
      </c>
      <c r="I122" s="4">
        <v>2100</v>
      </c>
      <c r="J122" s="1" t="s">
        <v>46</v>
      </c>
      <c r="K122" s="1" t="s">
        <v>217</v>
      </c>
    </row>
    <row r="123" spans="1:11" x14ac:dyDescent="0.25">
      <c r="A123" s="1" t="s">
        <v>61</v>
      </c>
      <c r="B123" s="1" t="str">
        <f>_xlfn.XLOOKUP(D123,[1]Data!$D:$D,[1]Data!$A:$A)</f>
        <v>Aprovado</v>
      </c>
      <c r="C123" s="1" t="s">
        <v>218</v>
      </c>
      <c r="D123" s="1">
        <v>92902</v>
      </c>
      <c r="E123" s="1">
        <f>_xlfn.XLOOKUP(D123,[1]Data!$D:$D,[1]Data!$D:$D)</f>
        <v>92902</v>
      </c>
      <c r="F123" s="1" t="s">
        <v>11</v>
      </c>
      <c r="G123" s="1" t="s">
        <v>371</v>
      </c>
      <c r="H123" s="1">
        <v>6202</v>
      </c>
      <c r="I123" s="4">
        <v>2100</v>
      </c>
      <c r="J123" s="1" t="s">
        <v>46</v>
      </c>
      <c r="K123" s="1" t="s">
        <v>217</v>
      </c>
    </row>
    <row r="124" spans="1:11" x14ac:dyDescent="0.25">
      <c r="A124" s="1" t="s">
        <v>61</v>
      </c>
      <c r="B124" s="1" t="str">
        <f>_xlfn.XLOOKUP(D124,[1]Data!$D:$D,[1]Data!$A:$A)</f>
        <v>Aprovado</v>
      </c>
      <c r="C124" s="1" t="s">
        <v>219</v>
      </c>
      <c r="D124" s="1">
        <v>92895</v>
      </c>
      <c r="E124" s="1">
        <f>_xlfn.XLOOKUP(D124,[1]Data!$D:$D,[1]Data!$D:$D)</f>
        <v>92895</v>
      </c>
      <c r="F124" s="1" t="s">
        <v>11</v>
      </c>
      <c r="G124" s="1" t="s">
        <v>367</v>
      </c>
      <c r="H124" s="1">
        <v>152</v>
      </c>
      <c r="I124" s="4">
        <v>133431.23000000001</v>
      </c>
      <c r="J124" s="1" t="s">
        <v>46</v>
      </c>
      <c r="K124" s="1" t="s">
        <v>220</v>
      </c>
    </row>
    <row r="125" spans="1:11" x14ac:dyDescent="0.25">
      <c r="A125" s="1" t="s">
        <v>54</v>
      </c>
      <c r="B125" s="1" t="str">
        <f>_xlfn.XLOOKUP(D125,[1]Data!$D:$D,[1]Data!$A:$A)</f>
        <v>Reprovado</v>
      </c>
      <c r="C125" s="1" t="s">
        <v>221</v>
      </c>
      <c r="D125" s="1">
        <v>92891</v>
      </c>
      <c r="E125" s="1">
        <f>_xlfn.XLOOKUP(D125,[1]Data!$D:$D,[1]Data!$D:$D)</f>
        <v>92891</v>
      </c>
      <c r="F125" s="1" t="s">
        <v>11</v>
      </c>
      <c r="G125" s="1" t="s">
        <v>367</v>
      </c>
      <c r="H125" s="1">
        <v>63</v>
      </c>
      <c r="I125" s="4">
        <v>26075.32</v>
      </c>
      <c r="J125" s="1" t="s">
        <v>46</v>
      </c>
      <c r="K125" s="1" t="s">
        <v>114</v>
      </c>
    </row>
    <row r="126" spans="1:11" x14ac:dyDescent="0.25">
      <c r="A126" s="1" t="s">
        <v>54</v>
      </c>
      <c r="B126" s="1" t="str">
        <f>_xlfn.XLOOKUP(D126,[1]Data!$D:$D,[1]Data!$A:$A)</f>
        <v>Reprovado</v>
      </c>
      <c r="C126" s="1" t="s">
        <v>221</v>
      </c>
      <c r="D126" s="1">
        <v>92892</v>
      </c>
      <c r="E126" s="1">
        <f>_xlfn.XLOOKUP(D126,[1]Data!$D:$D,[1]Data!$D:$D)</f>
        <v>92892</v>
      </c>
      <c r="F126" s="1" t="s">
        <v>11</v>
      </c>
      <c r="G126" s="1" t="s">
        <v>372</v>
      </c>
      <c r="H126" s="1" t="s">
        <v>377</v>
      </c>
      <c r="I126" s="4">
        <v>1552.1</v>
      </c>
      <c r="J126" s="1" t="s">
        <v>115</v>
      </c>
      <c r="K126" s="1" t="s">
        <v>114</v>
      </c>
    </row>
    <row r="127" spans="1:11" x14ac:dyDescent="0.25">
      <c r="A127" s="1" t="s">
        <v>61</v>
      </c>
      <c r="B127" s="1" t="str">
        <f>_xlfn.XLOOKUP(D127,[1]Data!$D:$D,[1]Data!$A:$A)</f>
        <v>Aprovado</v>
      </c>
      <c r="C127" s="1" t="s">
        <v>222</v>
      </c>
      <c r="D127" s="1">
        <v>92869</v>
      </c>
      <c r="E127" s="1">
        <f>_xlfn.XLOOKUP(D127,[1]Data!$D:$D,[1]Data!$D:$D)</f>
        <v>92869</v>
      </c>
      <c r="F127" s="1" t="s">
        <v>11</v>
      </c>
      <c r="G127" s="1" t="s">
        <v>368</v>
      </c>
      <c r="H127" s="1">
        <v>953</v>
      </c>
      <c r="I127" s="4">
        <v>350000</v>
      </c>
      <c r="J127" s="1" t="s">
        <v>43</v>
      </c>
      <c r="K127" s="1" t="s">
        <v>223</v>
      </c>
    </row>
    <row r="128" spans="1:11" x14ac:dyDescent="0.25">
      <c r="A128" s="1" t="s">
        <v>61</v>
      </c>
      <c r="B128" s="1" t="str">
        <f>_xlfn.XLOOKUP(D128,[1]Data!$D:$D,[1]Data!$A:$A)</f>
        <v>Aprovado</v>
      </c>
      <c r="C128" s="1" t="s">
        <v>224</v>
      </c>
      <c r="D128" s="1">
        <v>92798</v>
      </c>
      <c r="E128" s="1">
        <f>_xlfn.XLOOKUP(D128,[1]Data!$D:$D,[1]Data!$D:$D)</f>
        <v>92798</v>
      </c>
      <c r="F128" s="1" t="s">
        <v>11</v>
      </c>
      <c r="G128" s="1" t="s">
        <v>375</v>
      </c>
      <c r="H128" s="1">
        <v>1</v>
      </c>
      <c r="I128" s="4">
        <v>393610.92</v>
      </c>
      <c r="J128" s="1" t="s">
        <v>27</v>
      </c>
      <c r="K128" s="1" t="s">
        <v>225</v>
      </c>
    </row>
    <row r="129" spans="1:11" x14ac:dyDescent="0.25">
      <c r="A129" s="1" t="s">
        <v>61</v>
      </c>
      <c r="B129" s="1" t="str">
        <f>_xlfn.XLOOKUP(D129,[1]Data!$D:$D,[1]Data!$A:$A)</f>
        <v>Aprovado</v>
      </c>
      <c r="C129" s="1" t="s">
        <v>226</v>
      </c>
      <c r="D129" s="1">
        <v>92791</v>
      </c>
      <c r="E129" s="1">
        <f>_xlfn.XLOOKUP(D129,[1]Data!$D:$D,[1]Data!$D:$D)</f>
        <v>92791</v>
      </c>
      <c r="F129" s="1" t="s">
        <v>11</v>
      </c>
      <c r="G129" s="1" t="s">
        <v>367</v>
      </c>
      <c r="H129" s="1">
        <v>57863</v>
      </c>
      <c r="I129" s="4">
        <v>4920.38</v>
      </c>
      <c r="J129" s="1" t="s">
        <v>46</v>
      </c>
      <c r="K129" s="1" t="s">
        <v>227</v>
      </c>
    </row>
    <row r="130" spans="1:11" x14ac:dyDescent="0.25">
      <c r="A130" s="1" t="s">
        <v>54</v>
      </c>
      <c r="B130" s="1" t="str">
        <f>_xlfn.XLOOKUP(D130,[1]Data!$D:$D,[1]Data!$A:$A)</f>
        <v>Reprovado</v>
      </c>
      <c r="C130" s="1" t="s">
        <v>228</v>
      </c>
      <c r="D130" s="1">
        <v>92788</v>
      </c>
      <c r="E130" s="1">
        <f>_xlfn.XLOOKUP(D130,[1]Data!$D:$D,[1]Data!$D:$D)</f>
        <v>92788</v>
      </c>
      <c r="F130" s="1" t="s">
        <v>137</v>
      </c>
      <c r="G130" s="1" t="s">
        <v>367</v>
      </c>
      <c r="H130" s="1">
        <v>14081</v>
      </c>
      <c r="I130" s="4">
        <v>659.19</v>
      </c>
      <c r="J130" s="1" t="s">
        <v>46</v>
      </c>
      <c r="K130" s="1" t="s">
        <v>53</v>
      </c>
    </row>
    <row r="131" spans="1:11" x14ac:dyDescent="0.25">
      <c r="A131" s="1" t="s">
        <v>61</v>
      </c>
      <c r="B131" s="1" t="str">
        <f>_xlfn.XLOOKUP(D131,[1]Data!$D:$D,[1]Data!$A:$A)</f>
        <v>Aprovado</v>
      </c>
      <c r="C131" s="1" t="s">
        <v>228</v>
      </c>
      <c r="D131" s="1">
        <v>92789</v>
      </c>
      <c r="E131" s="1">
        <f>_xlfn.XLOOKUP(D131,[1]Data!$D:$D,[1]Data!$D:$D)</f>
        <v>92789</v>
      </c>
      <c r="F131" s="1" t="s">
        <v>11</v>
      </c>
      <c r="G131" s="1" t="s">
        <v>367</v>
      </c>
      <c r="H131" s="1">
        <v>14080</v>
      </c>
      <c r="I131" s="4">
        <v>4343.5</v>
      </c>
      <c r="J131" s="1" t="s">
        <v>46</v>
      </c>
      <c r="K131" s="1" t="s">
        <v>53</v>
      </c>
    </row>
    <row r="132" spans="1:11" x14ac:dyDescent="0.25">
      <c r="A132" s="1" t="s">
        <v>61</v>
      </c>
      <c r="B132" s="1" t="str">
        <f>_xlfn.XLOOKUP(D132,[1]Data!$D:$D,[1]Data!$A:$A)</f>
        <v>Aprovado</v>
      </c>
      <c r="C132" s="1" t="s">
        <v>229</v>
      </c>
      <c r="D132" s="1">
        <v>92787</v>
      </c>
      <c r="E132" s="1">
        <f>_xlfn.XLOOKUP(D132,[1]Data!$D:$D,[1]Data!$D:$D)</f>
        <v>92787</v>
      </c>
      <c r="F132" s="1" t="s">
        <v>11</v>
      </c>
      <c r="G132" s="1" t="s">
        <v>367</v>
      </c>
      <c r="H132" s="1">
        <v>14079</v>
      </c>
      <c r="I132" s="4">
        <v>3629.5</v>
      </c>
      <c r="J132" s="1" t="s">
        <v>46</v>
      </c>
      <c r="K132" s="1" t="s">
        <v>53</v>
      </c>
    </row>
    <row r="133" spans="1:11" x14ac:dyDescent="0.25">
      <c r="A133" s="1" t="s">
        <v>61</v>
      </c>
      <c r="B133" s="1" t="str">
        <f>_xlfn.XLOOKUP(D133,[1]Data!$D:$D,[1]Data!$A:$A)</f>
        <v>Reprovado</v>
      </c>
      <c r="C133" s="1" t="s">
        <v>229</v>
      </c>
      <c r="D133" s="1">
        <v>92786</v>
      </c>
      <c r="E133" s="1">
        <f>_xlfn.XLOOKUP(D133,[1]Data!$D:$D,[1]Data!$D:$D)</f>
        <v>92786</v>
      </c>
      <c r="F133" s="1" t="s">
        <v>11</v>
      </c>
      <c r="G133" s="1" t="s">
        <v>367</v>
      </c>
      <c r="H133" s="1">
        <v>14078</v>
      </c>
      <c r="I133" s="4">
        <v>550.83000000000004</v>
      </c>
      <c r="J133" s="1" t="s">
        <v>46</v>
      </c>
      <c r="K133" s="1" t="s">
        <v>53</v>
      </c>
    </row>
    <row r="134" spans="1:11" x14ac:dyDescent="0.25">
      <c r="A134" s="1" t="s">
        <v>54</v>
      </c>
      <c r="B134" s="1" t="str">
        <f>_xlfn.XLOOKUP(D134,[1]Data!$D:$D,[1]Data!$A:$A)</f>
        <v>Reprovado</v>
      </c>
      <c r="C134" s="1" t="s">
        <v>230</v>
      </c>
      <c r="D134" s="1">
        <v>92785</v>
      </c>
      <c r="E134" s="1">
        <f>_xlfn.XLOOKUP(D134,[1]Data!$D:$D,[1]Data!$D:$D)</f>
        <v>92785</v>
      </c>
      <c r="F134" s="1" t="s">
        <v>137</v>
      </c>
      <c r="G134" s="1" t="s">
        <v>367</v>
      </c>
      <c r="H134" s="1">
        <v>14082</v>
      </c>
      <c r="I134" s="4">
        <v>44014.8</v>
      </c>
      <c r="J134" s="1" t="s">
        <v>46</v>
      </c>
      <c r="K134" s="1" t="s">
        <v>53</v>
      </c>
    </row>
    <row r="135" spans="1:11" x14ac:dyDescent="0.25">
      <c r="A135" s="1" t="s">
        <v>61</v>
      </c>
      <c r="B135" s="1" t="str">
        <f>_xlfn.XLOOKUP(D135,[1]Data!$D:$D,[1]Data!$A:$A)</f>
        <v>Aprovado</v>
      </c>
      <c r="C135" s="1" t="s">
        <v>231</v>
      </c>
      <c r="D135" s="1">
        <v>92721</v>
      </c>
      <c r="E135" s="1">
        <f>_xlfn.XLOOKUP(D135,[1]Data!$D:$D,[1]Data!$D:$D)</f>
        <v>92721</v>
      </c>
      <c r="F135" s="1" t="s">
        <v>11</v>
      </c>
      <c r="G135" s="1" t="s">
        <v>371</v>
      </c>
      <c r="H135" s="1">
        <v>1466</v>
      </c>
      <c r="I135" s="4">
        <v>8800</v>
      </c>
      <c r="J135" s="1" t="s">
        <v>18</v>
      </c>
      <c r="K135" s="1" t="s">
        <v>93</v>
      </c>
    </row>
    <row r="136" spans="1:11" x14ac:dyDescent="0.25">
      <c r="A136" s="1" t="s">
        <v>61</v>
      </c>
      <c r="B136" s="1" t="str">
        <f>_xlfn.XLOOKUP(D136,[1]Data!$D:$D,[1]Data!$A:$A)</f>
        <v>Aprovado</v>
      </c>
      <c r="C136" s="1" t="s">
        <v>233</v>
      </c>
      <c r="D136" s="1">
        <v>92717</v>
      </c>
      <c r="E136" s="1">
        <f>_xlfn.XLOOKUP(D136,[1]Data!$D:$D,[1]Data!$D:$D)</f>
        <v>92717</v>
      </c>
      <c r="F136" s="1" t="s">
        <v>11</v>
      </c>
      <c r="G136" s="1" t="s">
        <v>367</v>
      </c>
      <c r="H136" s="1">
        <v>2564</v>
      </c>
      <c r="I136" s="4">
        <v>27453.94</v>
      </c>
      <c r="J136" s="1" t="s">
        <v>234</v>
      </c>
      <c r="K136" s="1" t="s">
        <v>183</v>
      </c>
    </row>
    <row r="137" spans="1:11" x14ac:dyDescent="0.25">
      <c r="A137" s="1" t="s">
        <v>54</v>
      </c>
      <c r="B137" s="1" t="str">
        <f>_xlfn.XLOOKUP(D137,[1]Data!$D:$D,[1]Data!$A:$A)</f>
        <v>Reprovado</v>
      </c>
      <c r="C137" s="1" t="s">
        <v>235</v>
      </c>
      <c r="D137" s="1">
        <v>92716</v>
      </c>
      <c r="E137" s="1">
        <f>_xlfn.XLOOKUP(D137,[1]Data!$D:$D,[1]Data!$D:$D)</f>
        <v>92716</v>
      </c>
      <c r="F137" s="1" t="s">
        <v>11</v>
      </c>
      <c r="G137" s="1" t="s">
        <v>367</v>
      </c>
      <c r="H137" s="1">
        <v>250</v>
      </c>
      <c r="I137" s="4">
        <v>95455.47</v>
      </c>
      <c r="J137" s="1" t="s">
        <v>145</v>
      </c>
      <c r="K137" s="1" t="s">
        <v>131</v>
      </c>
    </row>
    <row r="138" spans="1:11" x14ac:dyDescent="0.25">
      <c r="A138" s="1" t="s">
        <v>54</v>
      </c>
      <c r="B138" s="1" t="str">
        <f>_xlfn.XLOOKUP(D138,[1]Data!$D:$D,[1]Data!$A:$A)</f>
        <v>Reprovado</v>
      </c>
      <c r="C138" s="1" t="s">
        <v>236</v>
      </c>
      <c r="D138" s="1">
        <v>92713</v>
      </c>
      <c r="E138" s="1">
        <f>_xlfn.XLOOKUP(D138,[1]Data!$D:$D,[1]Data!$D:$D)</f>
        <v>92713</v>
      </c>
      <c r="F138" s="1" t="s">
        <v>11</v>
      </c>
      <c r="G138" s="1" t="s">
        <v>367</v>
      </c>
      <c r="H138" s="1">
        <v>550</v>
      </c>
      <c r="I138" s="4">
        <v>120639.77</v>
      </c>
      <c r="J138" s="1" t="s">
        <v>145</v>
      </c>
      <c r="K138" s="1" t="s">
        <v>237</v>
      </c>
    </row>
    <row r="139" spans="1:11" x14ac:dyDescent="0.25">
      <c r="A139" s="1" t="s">
        <v>61</v>
      </c>
      <c r="B139" s="1" t="str">
        <f>_xlfn.XLOOKUP(D139,[1]Data!$D:$D,[1]Data!$A:$A)</f>
        <v>Aprovado</v>
      </c>
      <c r="C139" s="1" t="s">
        <v>238</v>
      </c>
      <c r="D139" s="1">
        <v>92708</v>
      </c>
      <c r="E139" s="1">
        <f>_xlfn.XLOOKUP(D139,[1]Data!$D:$D,[1]Data!$D:$D)</f>
        <v>92708</v>
      </c>
      <c r="F139" s="1" t="s">
        <v>11</v>
      </c>
      <c r="G139" s="1" t="s">
        <v>367</v>
      </c>
      <c r="H139" s="1">
        <v>1442</v>
      </c>
      <c r="I139" s="4">
        <v>1104666.19</v>
      </c>
      <c r="J139" s="1" t="s">
        <v>239</v>
      </c>
      <c r="K139" s="1" t="s">
        <v>240</v>
      </c>
    </row>
    <row r="140" spans="1:11" x14ac:dyDescent="0.25">
      <c r="A140" s="1" t="s">
        <v>61</v>
      </c>
      <c r="B140" s="1" t="str">
        <f>_xlfn.XLOOKUP(D140,[1]Data!$D:$D,[1]Data!$A:$A)</f>
        <v>Aguardando Cancelamento</v>
      </c>
      <c r="C140" s="1" t="s">
        <v>241</v>
      </c>
      <c r="D140" s="1">
        <v>92707</v>
      </c>
      <c r="E140" s="1">
        <f>_xlfn.XLOOKUP(D140,[1]Data!$D:$D,[1]Data!$D:$D)</f>
        <v>92707</v>
      </c>
      <c r="F140" s="1" t="s">
        <v>11</v>
      </c>
      <c r="G140" s="1" t="s">
        <v>367</v>
      </c>
      <c r="H140" s="1">
        <v>1410</v>
      </c>
      <c r="I140" s="4">
        <v>1480256.04</v>
      </c>
      <c r="J140" s="1" t="s">
        <v>242</v>
      </c>
      <c r="K140" s="1" t="s">
        <v>240</v>
      </c>
    </row>
    <row r="141" spans="1:11" x14ac:dyDescent="0.25">
      <c r="A141" s="1" t="s">
        <v>9</v>
      </c>
      <c r="B141" s="1" t="str">
        <f>_xlfn.XLOOKUP(D141,[1]Data!$D:$D,[1]Data!$A:$A)</f>
        <v>Em Aprovação</v>
      </c>
      <c r="C141" s="1" t="s">
        <v>243</v>
      </c>
      <c r="D141" s="1">
        <v>92706</v>
      </c>
      <c r="E141" s="1">
        <f>_xlfn.XLOOKUP(D141,[1]Data!$D:$D,[1]Data!$D:$D)</f>
        <v>92706</v>
      </c>
      <c r="F141" s="1" t="s">
        <v>105</v>
      </c>
      <c r="G141" s="1" t="s">
        <v>367</v>
      </c>
      <c r="H141" s="1">
        <v>1409</v>
      </c>
      <c r="I141" s="4">
        <v>1743630.1</v>
      </c>
      <c r="J141" s="1" t="s">
        <v>242</v>
      </c>
      <c r="K141" s="1" t="s">
        <v>240</v>
      </c>
    </row>
    <row r="142" spans="1:11" x14ac:dyDescent="0.25">
      <c r="A142" s="1" t="s">
        <v>61</v>
      </c>
      <c r="B142" s="1" t="str">
        <f>_xlfn.XLOOKUP(D142,[1]Data!$D:$D,[1]Data!$A:$A)</f>
        <v>Aprovado</v>
      </c>
      <c r="C142" s="1" t="s">
        <v>244</v>
      </c>
      <c r="D142" s="1">
        <v>92655</v>
      </c>
      <c r="E142" s="1">
        <f>_xlfn.XLOOKUP(D142,[1]Data!$D:$D,[1]Data!$D:$D)</f>
        <v>92655</v>
      </c>
      <c r="F142" s="1" t="s">
        <v>245</v>
      </c>
      <c r="G142" s="1" t="s">
        <v>368</v>
      </c>
      <c r="H142" s="1">
        <v>376910</v>
      </c>
      <c r="I142" s="4">
        <v>1062</v>
      </c>
      <c r="J142" s="1" t="s">
        <v>246</v>
      </c>
      <c r="K142" s="1" t="s">
        <v>247</v>
      </c>
    </row>
    <row r="143" spans="1:11" x14ac:dyDescent="0.25">
      <c r="A143" s="1" t="s">
        <v>61</v>
      </c>
      <c r="B143" s="1" t="str">
        <f>_xlfn.XLOOKUP(D143,[1]Data!$D:$D,[1]Data!$A:$A)</f>
        <v>Aprovado</v>
      </c>
      <c r="C143" s="1" t="s">
        <v>248</v>
      </c>
      <c r="D143" s="1">
        <v>92627</v>
      </c>
      <c r="E143" s="1">
        <f>_xlfn.XLOOKUP(D143,[1]Data!$D:$D,[1]Data!$D:$D)</f>
        <v>92627</v>
      </c>
      <c r="F143" s="1" t="s">
        <v>11</v>
      </c>
      <c r="G143" s="1" t="s">
        <v>375</v>
      </c>
      <c r="H143" s="1">
        <v>1</v>
      </c>
      <c r="I143" s="4">
        <v>1000000</v>
      </c>
      <c r="J143" s="1" t="s">
        <v>77</v>
      </c>
      <c r="K143" s="1" t="s">
        <v>249</v>
      </c>
    </row>
    <row r="144" spans="1:11" x14ac:dyDescent="0.25">
      <c r="A144" s="1" t="s">
        <v>61</v>
      </c>
      <c r="B144" s="1" t="str">
        <f>_xlfn.XLOOKUP(D144,[1]Data!$D:$D,[1]Data!$A:$A)</f>
        <v>Aprovado</v>
      </c>
      <c r="C144" s="1" t="s">
        <v>250</v>
      </c>
      <c r="D144" s="1">
        <v>92620</v>
      </c>
      <c r="E144" s="1">
        <f>_xlfn.XLOOKUP(D144,[1]Data!$D:$D,[1]Data!$D:$D)</f>
        <v>92620</v>
      </c>
      <c r="F144" s="1" t="s">
        <v>11</v>
      </c>
      <c r="G144" s="1" t="s">
        <v>375</v>
      </c>
      <c r="H144" s="1">
        <v>1</v>
      </c>
      <c r="I144" s="4">
        <v>9070763.3399999999</v>
      </c>
      <c r="J144" s="1" t="s">
        <v>77</v>
      </c>
      <c r="K144" s="1" t="s">
        <v>251</v>
      </c>
    </row>
    <row r="145" spans="1:11" x14ac:dyDescent="0.25">
      <c r="A145" s="1" t="s">
        <v>61</v>
      </c>
      <c r="B145" s="1" t="str">
        <f>_xlfn.XLOOKUP(D145,[1]Data!$D:$D,[1]Data!$A:$A)</f>
        <v>Aprovado</v>
      </c>
      <c r="C145" s="1" t="s">
        <v>252</v>
      </c>
      <c r="D145" s="1">
        <v>92618</v>
      </c>
      <c r="E145" s="1">
        <f>_xlfn.XLOOKUP(D145,[1]Data!$D:$D,[1]Data!$D:$D)</f>
        <v>92618</v>
      </c>
      <c r="F145" s="1" t="s">
        <v>11</v>
      </c>
      <c r="G145" s="1" t="s">
        <v>369</v>
      </c>
      <c r="H145" s="1">
        <v>7264</v>
      </c>
      <c r="I145" s="4">
        <v>18027520.760000002</v>
      </c>
      <c r="J145" s="1" t="s">
        <v>77</v>
      </c>
      <c r="K145" s="1" t="s">
        <v>253</v>
      </c>
    </row>
    <row r="146" spans="1:11" x14ac:dyDescent="0.25">
      <c r="A146" s="1" t="s">
        <v>61</v>
      </c>
      <c r="B146" s="1" t="str">
        <f>_xlfn.XLOOKUP(D146,[1]Data!$D:$D,[1]Data!$A:$A)</f>
        <v>Aprovado</v>
      </c>
      <c r="C146" s="1" t="s">
        <v>254</v>
      </c>
      <c r="D146" s="1">
        <v>92616</v>
      </c>
      <c r="E146" s="1">
        <f>_xlfn.XLOOKUP(D146,[1]Data!$D:$D,[1]Data!$D:$D)</f>
        <v>92616</v>
      </c>
      <c r="F146" s="1" t="s">
        <v>11</v>
      </c>
      <c r="G146" s="1" t="s">
        <v>375</v>
      </c>
      <c r="H146" s="1">
        <v>1</v>
      </c>
      <c r="I146" s="4">
        <v>20527831.699999999</v>
      </c>
      <c r="J146" s="1" t="s">
        <v>77</v>
      </c>
      <c r="K146" s="1" t="s">
        <v>117</v>
      </c>
    </row>
    <row r="147" spans="1:11" x14ac:dyDescent="0.25">
      <c r="A147" s="1" t="s">
        <v>61</v>
      </c>
      <c r="B147" s="1" t="str">
        <f>_xlfn.XLOOKUP(D147,[1]Data!$D:$D,[1]Data!$A:$A)</f>
        <v>Aprovado</v>
      </c>
      <c r="C147" s="1" t="s">
        <v>255</v>
      </c>
      <c r="D147" s="1">
        <v>92563</v>
      </c>
      <c r="E147" s="1">
        <f>_xlfn.XLOOKUP(D147,[1]Data!$D:$D,[1]Data!$D:$D)</f>
        <v>92563</v>
      </c>
      <c r="F147" s="1" t="s">
        <v>11</v>
      </c>
      <c r="G147" s="1" t="s">
        <v>368</v>
      </c>
      <c r="H147" s="1">
        <v>568</v>
      </c>
      <c r="I147" s="4">
        <v>9515</v>
      </c>
      <c r="J147" s="1" t="s">
        <v>46</v>
      </c>
      <c r="K147" s="1" t="s">
        <v>119</v>
      </c>
    </row>
    <row r="148" spans="1:11" x14ac:dyDescent="0.25">
      <c r="A148" s="1" t="s">
        <v>54</v>
      </c>
      <c r="B148" s="1" t="str">
        <f>_xlfn.XLOOKUP(D148,[1]Data!$D:$D,[1]Data!$A:$A)</f>
        <v>Reprovado</v>
      </c>
      <c r="C148" s="1" t="s">
        <v>256</v>
      </c>
      <c r="D148" s="1">
        <v>92562</v>
      </c>
      <c r="E148" s="1">
        <f>_xlfn.XLOOKUP(D148,[1]Data!$D:$D,[1]Data!$D:$D)</f>
        <v>92562</v>
      </c>
      <c r="F148" s="1" t="s">
        <v>245</v>
      </c>
      <c r="G148" s="1" t="s">
        <v>368</v>
      </c>
      <c r="H148" s="1">
        <v>567</v>
      </c>
      <c r="I148" s="4">
        <v>23190</v>
      </c>
      <c r="J148" s="1" t="s">
        <v>68</v>
      </c>
      <c r="K148" s="1" t="s">
        <v>119</v>
      </c>
    </row>
    <row r="149" spans="1:11" x14ac:dyDescent="0.25">
      <c r="A149" s="1" t="s">
        <v>54</v>
      </c>
      <c r="B149" s="1" t="str">
        <f>_xlfn.XLOOKUP(D149,[1]Data!$D:$D,[1]Data!$A:$A)</f>
        <v>Reprovado</v>
      </c>
      <c r="C149" s="1" t="s">
        <v>257</v>
      </c>
      <c r="D149" s="1">
        <v>92476</v>
      </c>
      <c r="E149" s="1">
        <f>_xlfn.XLOOKUP(D149,[1]Data!$D:$D,[1]Data!$D:$D)</f>
        <v>92476</v>
      </c>
      <c r="F149" s="1" t="s">
        <v>245</v>
      </c>
      <c r="G149" s="1" t="s">
        <v>368</v>
      </c>
      <c r="H149" s="1">
        <v>285034</v>
      </c>
      <c r="I149" s="4">
        <v>6586.1</v>
      </c>
      <c r="J149" s="1" t="s">
        <v>35</v>
      </c>
      <c r="K149" s="1" t="s">
        <v>175</v>
      </c>
    </row>
    <row r="150" spans="1:11" x14ac:dyDescent="0.25">
      <c r="A150" s="1" t="s">
        <v>61</v>
      </c>
      <c r="B150" s="1" t="str">
        <f>_xlfn.XLOOKUP(D150,[1]Data!$D:$D,[1]Data!$A:$A)</f>
        <v>Aprovado</v>
      </c>
      <c r="C150" s="1" t="s">
        <v>258</v>
      </c>
      <c r="D150" s="1">
        <v>92477</v>
      </c>
      <c r="E150" s="1">
        <f>_xlfn.XLOOKUP(D150,[1]Data!$D:$D,[1]Data!$D:$D)</f>
        <v>92477</v>
      </c>
      <c r="F150" s="1" t="s">
        <v>245</v>
      </c>
      <c r="G150" s="1" t="s">
        <v>367</v>
      </c>
      <c r="H150" s="1">
        <v>4807</v>
      </c>
      <c r="I150" s="4">
        <v>4300</v>
      </c>
      <c r="J150" s="1" t="s">
        <v>46</v>
      </c>
      <c r="K150" s="1" t="s">
        <v>63</v>
      </c>
    </row>
    <row r="151" spans="1:11" x14ac:dyDescent="0.25">
      <c r="A151" s="1" t="s">
        <v>61</v>
      </c>
      <c r="B151" s="1" t="str">
        <f>_xlfn.XLOOKUP(D151,[1]Data!$D:$D,[1]Data!$A:$A)</f>
        <v>Aprovado</v>
      </c>
      <c r="C151" s="1" t="s">
        <v>259</v>
      </c>
      <c r="D151" s="1">
        <v>92409</v>
      </c>
      <c r="E151" s="1">
        <f>_xlfn.XLOOKUP(D151,[1]Data!$D:$D,[1]Data!$D:$D)</f>
        <v>92409</v>
      </c>
      <c r="F151" s="1" t="s">
        <v>245</v>
      </c>
      <c r="G151" s="1" t="s">
        <v>368</v>
      </c>
      <c r="H151" s="1">
        <v>1947471</v>
      </c>
      <c r="I151" s="4">
        <v>10619</v>
      </c>
      <c r="J151" s="1" t="s">
        <v>46</v>
      </c>
      <c r="K151" s="1" t="s">
        <v>260</v>
      </c>
    </row>
    <row r="152" spans="1:11" x14ac:dyDescent="0.25">
      <c r="A152" s="1" t="s">
        <v>61</v>
      </c>
      <c r="B152" s="1" t="str">
        <f>_xlfn.XLOOKUP(D152,[1]Data!$D:$D,[1]Data!$A:$A)</f>
        <v>Aprovado</v>
      </c>
      <c r="C152" s="1" t="s">
        <v>261</v>
      </c>
      <c r="D152" s="1">
        <v>92407</v>
      </c>
      <c r="E152" s="1">
        <f>_xlfn.XLOOKUP(D152,[1]Data!$D:$D,[1]Data!$D:$D)</f>
        <v>92407</v>
      </c>
      <c r="F152" s="1" t="s">
        <v>245</v>
      </c>
      <c r="G152" s="1" t="s">
        <v>368</v>
      </c>
      <c r="H152" s="1">
        <v>2445</v>
      </c>
      <c r="I152" s="4">
        <v>16500</v>
      </c>
      <c r="J152" s="1" t="s">
        <v>18</v>
      </c>
      <c r="K152" s="1" t="s">
        <v>98</v>
      </c>
    </row>
    <row r="153" spans="1:11" x14ac:dyDescent="0.25">
      <c r="A153" s="1" t="s">
        <v>61</v>
      </c>
      <c r="B153" s="1" t="str">
        <f>_xlfn.XLOOKUP(D153,[1]Data!$D:$D,[1]Data!$A:$A)</f>
        <v>EXCLUÍDO - DESCONSIDERAR</v>
      </c>
      <c r="C153" s="1" t="s">
        <v>262</v>
      </c>
      <c r="D153" s="1">
        <v>92404</v>
      </c>
      <c r="E153" s="1">
        <f>_xlfn.XLOOKUP(D153,[1]Data!$D:$D,[1]Data!$D:$D)</f>
        <v>92404</v>
      </c>
      <c r="F153" s="1" t="s">
        <v>245</v>
      </c>
      <c r="G153" s="1" t="s">
        <v>368</v>
      </c>
      <c r="H153" s="1">
        <v>3026</v>
      </c>
      <c r="I153" s="4">
        <v>3861.11</v>
      </c>
      <c r="J153" s="1" t="s">
        <v>177</v>
      </c>
      <c r="K153" s="1" t="s">
        <v>88</v>
      </c>
    </row>
    <row r="154" spans="1:11" x14ac:dyDescent="0.25">
      <c r="A154" s="1" t="s">
        <v>61</v>
      </c>
      <c r="B154" s="1" t="str">
        <f>_xlfn.XLOOKUP(D154,[1]Data!$D:$D,[1]Data!$A:$A)</f>
        <v>Aprovado</v>
      </c>
      <c r="C154" s="1" t="s">
        <v>264</v>
      </c>
      <c r="D154" s="1">
        <v>92402</v>
      </c>
      <c r="E154" s="1">
        <f>_xlfn.XLOOKUP(D154,[1]Data!$D:$D,[1]Data!$D:$D)</f>
        <v>92402</v>
      </c>
      <c r="F154" s="1" t="s">
        <v>245</v>
      </c>
      <c r="G154" s="1" t="s">
        <v>368</v>
      </c>
      <c r="H154" s="1">
        <v>3266</v>
      </c>
      <c r="I154" s="4">
        <v>4972</v>
      </c>
      <c r="J154" s="1" t="s">
        <v>177</v>
      </c>
      <c r="K154" s="1" t="s">
        <v>265</v>
      </c>
    </row>
    <row r="155" spans="1:11" x14ac:dyDescent="0.25">
      <c r="A155" s="1" t="s">
        <v>61</v>
      </c>
      <c r="B155" s="1" t="str">
        <f>_xlfn.XLOOKUP(D155,[1]Data!$D:$D,[1]Data!$A:$A)</f>
        <v>Aprovado</v>
      </c>
      <c r="C155" s="1" t="s">
        <v>266</v>
      </c>
      <c r="D155" s="1">
        <v>92400</v>
      </c>
      <c r="E155" s="1">
        <f>_xlfn.XLOOKUP(D155,[1]Data!$D:$D,[1]Data!$D:$D)</f>
        <v>92400</v>
      </c>
      <c r="F155" s="1" t="s">
        <v>245</v>
      </c>
      <c r="G155" s="1" t="s">
        <v>368</v>
      </c>
      <c r="H155" s="1">
        <v>4852</v>
      </c>
      <c r="I155" s="4">
        <v>7099.2</v>
      </c>
      <c r="J155" s="1" t="s">
        <v>72</v>
      </c>
      <c r="K155" s="1" t="s">
        <v>267</v>
      </c>
    </row>
    <row r="156" spans="1:11" x14ac:dyDescent="0.25">
      <c r="A156" s="1" t="s">
        <v>54</v>
      </c>
      <c r="B156" s="1" t="str">
        <f>_xlfn.XLOOKUP(D156,[1]Data!$D:$D,[1]Data!$A:$A)</f>
        <v>Reprovado</v>
      </c>
      <c r="C156" s="1" t="s">
        <v>268</v>
      </c>
      <c r="D156" s="1">
        <v>92332</v>
      </c>
      <c r="E156" s="1">
        <f>_xlfn.XLOOKUP(D156,[1]Data!$D:$D,[1]Data!$D:$D)</f>
        <v>92332</v>
      </c>
      <c r="F156" s="1" t="s">
        <v>137</v>
      </c>
      <c r="G156" s="1" t="s">
        <v>367</v>
      </c>
      <c r="H156" s="1">
        <v>63</v>
      </c>
      <c r="I156" s="4">
        <v>26075.32</v>
      </c>
      <c r="J156" s="1" t="s">
        <v>46</v>
      </c>
      <c r="K156" s="1" t="s">
        <v>114</v>
      </c>
    </row>
    <row r="157" spans="1:11" x14ac:dyDescent="0.25">
      <c r="A157" s="1" t="s">
        <v>54</v>
      </c>
      <c r="B157" s="1" t="str">
        <f>_xlfn.XLOOKUP(D157,[1]Data!$D:$D,[1]Data!$A:$A)</f>
        <v>Reprovado</v>
      </c>
      <c r="C157" s="1" t="s">
        <v>269</v>
      </c>
      <c r="D157" s="1">
        <v>92333</v>
      </c>
      <c r="E157" s="1">
        <f>_xlfn.XLOOKUP(D157,[1]Data!$D:$D,[1]Data!$D:$D)</f>
        <v>92333</v>
      </c>
      <c r="F157" s="1" t="s">
        <v>137</v>
      </c>
      <c r="G157" s="1" t="s">
        <v>372</v>
      </c>
      <c r="H157" s="1" t="s">
        <v>377</v>
      </c>
      <c r="I157" s="4">
        <v>1552.1</v>
      </c>
      <c r="J157" s="1" t="s">
        <v>115</v>
      </c>
      <c r="K157" s="1" t="s">
        <v>114</v>
      </c>
    </row>
    <row r="158" spans="1:11" x14ac:dyDescent="0.25">
      <c r="A158" s="1" t="s">
        <v>54</v>
      </c>
      <c r="B158" s="1" t="str">
        <f>_xlfn.XLOOKUP(D158,[1]Data!$D:$D,[1]Data!$A:$A)</f>
        <v>Reprovado</v>
      </c>
      <c r="C158" s="1" t="s">
        <v>270</v>
      </c>
      <c r="D158" s="1">
        <v>92152</v>
      </c>
      <c r="E158" s="1">
        <f>_xlfn.XLOOKUP(D158,[1]Data!$D:$D,[1]Data!$D:$D)</f>
        <v>92152</v>
      </c>
      <c r="F158" s="1" t="s">
        <v>137</v>
      </c>
      <c r="G158" s="1" t="s">
        <v>367</v>
      </c>
      <c r="H158" s="1">
        <v>60</v>
      </c>
      <c r="I158" s="4">
        <v>29489.94</v>
      </c>
      <c r="J158" s="1" t="s">
        <v>31</v>
      </c>
      <c r="K158" s="1" t="s">
        <v>114</v>
      </c>
    </row>
    <row r="159" spans="1:11" x14ac:dyDescent="0.25">
      <c r="A159" s="1" t="s">
        <v>54</v>
      </c>
      <c r="B159" s="1" t="str">
        <f>_xlfn.XLOOKUP(D159,[1]Data!$D:$D,[1]Data!$A:$A)</f>
        <v>Reprovado</v>
      </c>
      <c r="C159" s="1" t="s">
        <v>270</v>
      </c>
      <c r="D159" s="1">
        <v>92153</v>
      </c>
      <c r="E159" s="1">
        <f>_xlfn.XLOOKUP(D159,[1]Data!$D:$D,[1]Data!$D:$D)</f>
        <v>92153</v>
      </c>
      <c r="F159" s="1" t="s">
        <v>137</v>
      </c>
      <c r="G159" s="1" t="s">
        <v>372</v>
      </c>
      <c r="H159" s="1" t="s">
        <v>377</v>
      </c>
      <c r="I159" s="4">
        <v>1552.1</v>
      </c>
      <c r="J159" s="1" t="s">
        <v>115</v>
      </c>
      <c r="K159" s="1" t="s">
        <v>114</v>
      </c>
    </row>
    <row r="160" spans="1:11" x14ac:dyDescent="0.25">
      <c r="A160" s="1" t="s">
        <v>54</v>
      </c>
      <c r="B160" s="1" t="str">
        <f>_xlfn.XLOOKUP(D160,[1]Data!$D:$D,[1]Data!$A:$A)</f>
        <v>Reprovado</v>
      </c>
      <c r="C160" s="1" t="s">
        <v>271</v>
      </c>
      <c r="D160" s="1">
        <v>92124</v>
      </c>
      <c r="E160" s="1">
        <f>_xlfn.XLOOKUP(D160,[1]Data!$D:$D,[1]Data!$D:$D)</f>
        <v>92124</v>
      </c>
      <c r="F160" s="1" t="s">
        <v>272</v>
      </c>
      <c r="G160" s="1" t="s">
        <v>375</v>
      </c>
      <c r="H160" s="1">
        <v>1</v>
      </c>
      <c r="I160" s="4">
        <v>2887520</v>
      </c>
      <c r="J160" s="1" t="s">
        <v>43</v>
      </c>
      <c r="K160" s="1" t="s">
        <v>191</v>
      </c>
    </row>
    <row r="161" spans="1:11" x14ac:dyDescent="0.25">
      <c r="A161" s="1" t="s">
        <v>61</v>
      </c>
      <c r="B161" s="1" t="str">
        <f>_xlfn.XLOOKUP(D161,[1]Data!$D:$D,[1]Data!$A:$A)</f>
        <v>Aprovado</v>
      </c>
      <c r="C161" s="1" t="s">
        <v>273</v>
      </c>
      <c r="D161" s="1">
        <v>92059</v>
      </c>
      <c r="E161" s="1">
        <f>_xlfn.XLOOKUP(D161,[1]Data!$D:$D,[1]Data!$D:$D)</f>
        <v>92059</v>
      </c>
      <c r="F161" s="1" t="s">
        <v>245</v>
      </c>
      <c r="G161" s="1" t="s">
        <v>368</v>
      </c>
      <c r="H161" s="1">
        <v>728</v>
      </c>
      <c r="I161" s="4">
        <v>32280</v>
      </c>
      <c r="J161" s="1" t="s">
        <v>43</v>
      </c>
      <c r="K161" s="1" t="s">
        <v>91</v>
      </c>
    </row>
    <row r="162" spans="1:11" x14ac:dyDescent="0.25">
      <c r="A162" s="1" t="s">
        <v>61</v>
      </c>
      <c r="B162" s="1" t="str">
        <f>_xlfn.XLOOKUP(D162,[1]Data!$D:$D,[1]Data!$A:$A)</f>
        <v>Aprovado</v>
      </c>
      <c r="C162" s="1" t="s">
        <v>274</v>
      </c>
      <c r="D162" s="1">
        <v>92031</v>
      </c>
      <c r="E162" s="1">
        <f>_xlfn.XLOOKUP(D162,[1]Data!$D:$D,[1]Data!$D:$D)</f>
        <v>92031</v>
      </c>
      <c r="F162" s="1" t="s">
        <v>245</v>
      </c>
      <c r="G162" s="1" t="s">
        <v>368</v>
      </c>
      <c r="H162" s="1">
        <v>5975</v>
      </c>
      <c r="I162" s="4">
        <v>6635</v>
      </c>
      <c r="J162" s="1" t="s">
        <v>43</v>
      </c>
      <c r="K162" s="1" t="s">
        <v>276</v>
      </c>
    </row>
    <row r="163" spans="1:11" x14ac:dyDescent="0.25">
      <c r="A163" s="1" t="s">
        <v>61</v>
      </c>
      <c r="B163" s="1" t="str">
        <f>_xlfn.XLOOKUP(D163,[1]Data!$D:$D,[1]Data!$A:$A)</f>
        <v>Aprovado</v>
      </c>
      <c r="C163" s="1" t="s">
        <v>277</v>
      </c>
      <c r="D163" s="1">
        <v>92019</v>
      </c>
      <c r="E163" s="1">
        <f>_xlfn.XLOOKUP(D163,[1]Data!$D:$D,[1]Data!$D:$D)</f>
        <v>92019</v>
      </c>
      <c r="F163" s="1" t="s">
        <v>245</v>
      </c>
      <c r="G163" s="1" t="s">
        <v>368</v>
      </c>
      <c r="H163" s="1">
        <v>368600</v>
      </c>
      <c r="I163" s="4">
        <v>1367.37</v>
      </c>
      <c r="J163" s="1" t="s">
        <v>65</v>
      </c>
      <c r="K163" s="1" t="s">
        <v>278</v>
      </c>
    </row>
    <row r="164" spans="1:11" x14ac:dyDescent="0.25">
      <c r="A164" s="1" t="s">
        <v>61</v>
      </c>
      <c r="B164" s="1" t="str">
        <f>_xlfn.XLOOKUP(D164,[1]Data!$D:$D,[1]Data!$A:$A)</f>
        <v>Aprovado</v>
      </c>
      <c r="C164" s="1" t="s">
        <v>279</v>
      </c>
      <c r="D164" s="1">
        <v>92011</v>
      </c>
      <c r="E164" s="1">
        <f>_xlfn.XLOOKUP(D164,[1]Data!$D:$D,[1]Data!$D:$D)</f>
        <v>92011</v>
      </c>
      <c r="F164" s="1" t="s">
        <v>245</v>
      </c>
      <c r="G164" s="1" t="s">
        <v>368</v>
      </c>
      <c r="H164" s="1">
        <v>5045</v>
      </c>
      <c r="I164" s="4">
        <v>795</v>
      </c>
      <c r="J164" s="1" t="s">
        <v>280</v>
      </c>
      <c r="K164" s="1" t="s">
        <v>168</v>
      </c>
    </row>
    <row r="165" spans="1:11" x14ac:dyDescent="0.25">
      <c r="A165" s="1" t="s">
        <v>61</v>
      </c>
      <c r="B165" s="1" t="str">
        <f>_xlfn.XLOOKUP(D165,[1]Data!$D:$D,[1]Data!$A:$A)</f>
        <v>Aprovado</v>
      </c>
      <c r="C165" s="1" t="s">
        <v>281</v>
      </c>
      <c r="D165" s="1">
        <v>92009</v>
      </c>
      <c r="E165" s="1">
        <f>_xlfn.XLOOKUP(D165,[1]Data!$D:$D,[1]Data!$D:$D)</f>
        <v>92009</v>
      </c>
      <c r="F165" s="1" t="s">
        <v>245</v>
      </c>
      <c r="G165" s="1" t="s">
        <v>368</v>
      </c>
      <c r="H165" s="1">
        <v>15180</v>
      </c>
      <c r="I165" s="4">
        <v>183.06</v>
      </c>
      <c r="J165" s="1" t="s">
        <v>27</v>
      </c>
      <c r="K165" s="1" t="s">
        <v>188</v>
      </c>
    </row>
    <row r="166" spans="1:11" x14ac:dyDescent="0.25">
      <c r="A166" s="1" t="s">
        <v>61</v>
      </c>
      <c r="B166" s="1" t="str">
        <f>_xlfn.XLOOKUP(D166,[1]Data!$D:$D,[1]Data!$A:$A)</f>
        <v>Reprovado</v>
      </c>
      <c r="C166" s="1" t="s">
        <v>282</v>
      </c>
      <c r="D166" s="1">
        <v>91949</v>
      </c>
      <c r="E166" s="1">
        <f>_xlfn.XLOOKUP(D166,[1]Data!$D:$D,[1]Data!$D:$D)</f>
        <v>91949</v>
      </c>
      <c r="F166" s="1" t="s">
        <v>245</v>
      </c>
      <c r="G166" s="1" t="s">
        <v>368</v>
      </c>
      <c r="H166" s="1">
        <v>345943</v>
      </c>
      <c r="I166" s="4">
        <v>93280</v>
      </c>
      <c r="J166" s="1" t="s">
        <v>60</v>
      </c>
      <c r="K166" s="1" t="s">
        <v>44</v>
      </c>
    </row>
    <row r="167" spans="1:11" x14ac:dyDescent="0.25">
      <c r="A167" s="1" t="s">
        <v>9</v>
      </c>
      <c r="B167" s="1" t="str">
        <f>_xlfn.XLOOKUP(D167,[1]Data!$D:$D,[1]Data!$A:$A)</f>
        <v>Em Aprovação</v>
      </c>
      <c r="C167" s="1" t="s">
        <v>283</v>
      </c>
      <c r="D167" s="1">
        <v>91945</v>
      </c>
      <c r="E167" s="1">
        <f>_xlfn.XLOOKUP(D167,[1]Data!$D:$D,[1]Data!$D:$D)</f>
        <v>91945</v>
      </c>
      <c r="F167" s="1" t="s">
        <v>11</v>
      </c>
      <c r="G167" s="1" t="s">
        <v>375</v>
      </c>
      <c r="H167" s="1">
        <v>7</v>
      </c>
      <c r="I167" s="4">
        <v>327.64</v>
      </c>
      <c r="J167" s="1" t="s">
        <v>284</v>
      </c>
      <c r="K167" s="1" t="s">
        <v>285</v>
      </c>
    </row>
    <row r="168" spans="1:11" x14ac:dyDescent="0.25">
      <c r="A168" s="1" t="s">
        <v>9</v>
      </c>
      <c r="B168" s="1" t="str">
        <f>_xlfn.XLOOKUP(D168,[1]Data!$D:$D,[1]Data!$A:$A)</f>
        <v>Em Aprovação</v>
      </c>
      <c r="C168" s="1" t="s">
        <v>286</v>
      </c>
      <c r="D168" s="1">
        <v>91944</v>
      </c>
      <c r="E168" s="1">
        <f>_xlfn.XLOOKUP(D168,[1]Data!$D:$D,[1]Data!$D:$D)</f>
        <v>91944</v>
      </c>
      <c r="F168" s="1" t="s">
        <v>11</v>
      </c>
      <c r="G168" s="1" t="s">
        <v>375</v>
      </c>
      <c r="H168" s="1">
        <v>6</v>
      </c>
      <c r="I168" s="4">
        <v>6412.5</v>
      </c>
      <c r="J168" s="1" t="s">
        <v>287</v>
      </c>
      <c r="K168" s="1" t="s">
        <v>285</v>
      </c>
    </row>
    <row r="169" spans="1:11" x14ac:dyDescent="0.25">
      <c r="A169" s="1" t="s">
        <v>9</v>
      </c>
      <c r="B169" s="1" t="str">
        <f>_xlfn.XLOOKUP(D169,[1]Data!$D:$D,[1]Data!$A:$A)</f>
        <v>Em Aprovação</v>
      </c>
      <c r="C169" s="1" t="s">
        <v>288</v>
      </c>
      <c r="D169" s="1">
        <v>91943</v>
      </c>
      <c r="E169" s="1">
        <f>_xlfn.XLOOKUP(D169,[1]Data!$D:$D,[1]Data!$D:$D)</f>
        <v>91943</v>
      </c>
      <c r="F169" s="1" t="s">
        <v>11</v>
      </c>
      <c r="G169" s="1" t="s">
        <v>375</v>
      </c>
      <c r="H169" s="1">
        <v>5</v>
      </c>
      <c r="I169" s="4">
        <v>6412.5</v>
      </c>
      <c r="J169" s="1" t="s">
        <v>289</v>
      </c>
      <c r="K169" s="1" t="s">
        <v>285</v>
      </c>
    </row>
    <row r="170" spans="1:11" x14ac:dyDescent="0.25">
      <c r="A170" s="1" t="s">
        <v>9</v>
      </c>
      <c r="B170" s="1" t="str">
        <f>_xlfn.XLOOKUP(D170,[1]Data!$D:$D,[1]Data!$A:$A)</f>
        <v>Em Aprovação</v>
      </c>
      <c r="C170" s="1" t="s">
        <v>290</v>
      </c>
      <c r="D170" s="1">
        <v>91942</v>
      </c>
      <c r="E170" s="1">
        <f>_xlfn.XLOOKUP(D170,[1]Data!$D:$D,[1]Data!$D:$D)</f>
        <v>91942</v>
      </c>
      <c r="F170" s="1" t="s">
        <v>11</v>
      </c>
      <c r="G170" s="1" t="s">
        <v>375</v>
      </c>
      <c r="H170" s="1">
        <v>4</v>
      </c>
      <c r="I170" s="4">
        <v>6412.5</v>
      </c>
      <c r="J170" s="1" t="s">
        <v>291</v>
      </c>
      <c r="K170" s="1" t="s">
        <v>285</v>
      </c>
    </row>
    <row r="171" spans="1:11" x14ac:dyDescent="0.25">
      <c r="A171" s="1" t="s">
        <v>9</v>
      </c>
      <c r="B171" s="1" t="str">
        <f>_xlfn.XLOOKUP(D171,[1]Data!$D:$D,[1]Data!$A:$A)</f>
        <v>Em Aprovação</v>
      </c>
      <c r="C171" s="1" t="s">
        <v>292</v>
      </c>
      <c r="D171" s="1">
        <v>91941</v>
      </c>
      <c r="E171" s="1">
        <f>_xlfn.XLOOKUP(D171,[1]Data!$D:$D,[1]Data!$D:$D)</f>
        <v>91941</v>
      </c>
      <c r="F171" s="1" t="s">
        <v>11</v>
      </c>
      <c r="G171" s="1" t="s">
        <v>375</v>
      </c>
      <c r="H171" s="1">
        <v>3</v>
      </c>
      <c r="I171" s="4">
        <v>43605</v>
      </c>
      <c r="J171" s="1" t="s">
        <v>293</v>
      </c>
      <c r="K171" s="1" t="s">
        <v>285</v>
      </c>
    </row>
    <row r="172" spans="1:11" x14ac:dyDescent="0.25">
      <c r="A172" s="1" t="s">
        <v>61</v>
      </c>
      <c r="B172" s="1" t="str">
        <f>_xlfn.XLOOKUP(D172,[1]Data!$D:$D,[1]Data!$A:$A)</f>
        <v>Aprovado</v>
      </c>
      <c r="C172" s="1" t="s">
        <v>294</v>
      </c>
      <c r="D172" s="1">
        <v>91939</v>
      </c>
      <c r="E172" s="1">
        <f>_xlfn.XLOOKUP(D172,[1]Data!$D:$D,[1]Data!$D:$D)</f>
        <v>91939</v>
      </c>
      <c r="F172" s="1" t="s">
        <v>11</v>
      </c>
      <c r="G172" s="1" t="s">
        <v>375</v>
      </c>
      <c r="H172" s="1">
        <v>2</v>
      </c>
      <c r="I172" s="4">
        <v>43605</v>
      </c>
      <c r="J172" s="1" t="s">
        <v>73</v>
      </c>
      <c r="K172" s="1" t="s">
        <v>285</v>
      </c>
    </row>
    <row r="173" spans="1:11" x14ac:dyDescent="0.25">
      <c r="A173" s="1" t="s">
        <v>61</v>
      </c>
      <c r="B173" s="1" t="str">
        <f>_xlfn.XLOOKUP(D173,[1]Data!$D:$D,[1]Data!$A:$A)</f>
        <v>Aprovado</v>
      </c>
      <c r="C173" s="1" t="s">
        <v>295</v>
      </c>
      <c r="D173" s="1">
        <v>91938</v>
      </c>
      <c r="E173" s="1">
        <f>_xlfn.XLOOKUP(D173,[1]Data!$D:$D,[1]Data!$D:$D)</f>
        <v>91938</v>
      </c>
      <c r="F173" s="1" t="s">
        <v>245</v>
      </c>
      <c r="G173" s="1" t="s">
        <v>375</v>
      </c>
      <c r="H173" s="1">
        <v>1</v>
      </c>
      <c r="I173" s="4">
        <v>58140</v>
      </c>
      <c r="J173" s="1" t="s">
        <v>150</v>
      </c>
      <c r="K173" s="1" t="s">
        <v>285</v>
      </c>
    </row>
    <row r="174" spans="1:11" x14ac:dyDescent="0.25">
      <c r="A174" s="1" t="s">
        <v>61</v>
      </c>
      <c r="B174" s="1" t="str">
        <f>_xlfn.XLOOKUP(D174,[1]Data!$D:$D,[1]Data!$A:$A)</f>
        <v>Aprovado</v>
      </c>
      <c r="C174" s="1" t="s">
        <v>296</v>
      </c>
      <c r="D174" s="1">
        <v>91931</v>
      </c>
      <c r="E174" s="1">
        <f>_xlfn.XLOOKUP(D174,[1]Data!$D:$D,[1]Data!$D:$D)</f>
        <v>91931</v>
      </c>
      <c r="F174" s="1" t="s">
        <v>245</v>
      </c>
      <c r="G174" s="1" t="s">
        <v>367</v>
      </c>
      <c r="H174" s="1">
        <v>2995</v>
      </c>
      <c r="I174" s="4">
        <v>2300</v>
      </c>
      <c r="J174" s="1" t="s">
        <v>46</v>
      </c>
      <c r="K174" s="1" t="s">
        <v>201</v>
      </c>
    </row>
    <row r="175" spans="1:11" x14ac:dyDescent="0.25">
      <c r="A175" s="1" t="s">
        <v>61</v>
      </c>
      <c r="B175" s="1" t="str">
        <f>_xlfn.XLOOKUP(D175,[1]Data!$D:$D,[1]Data!$A:$A)</f>
        <v>Aprovado</v>
      </c>
      <c r="C175" s="1" t="s">
        <v>297</v>
      </c>
      <c r="D175" s="1">
        <v>91908</v>
      </c>
      <c r="E175" s="1">
        <f>_xlfn.XLOOKUP(D175,[1]Data!$D:$D,[1]Data!$D:$D)</f>
        <v>91908</v>
      </c>
      <c r="F175" s="1" t="s">
        <v>245</v>
      </c>
      <c r="G175" s="1" t="s">
        <v>368</v>
      </c>
      <c r="H175" s="1">
        <v>254322</v>
      </c>
      <c r="I175" s="4">
        <v>40745.599999999999</v>
      </c>
      <c r="J175" s="1" t="s">
        <v>31</v>
      </c>
      <c r="K175" s="1" t="s">
        <v>134</v>
      </c>
    </row>
    <row r="176" spans="1:11" x14ac:dyDescent="0.25">
      <c r="A176" s="1" t="s">
        <v>61</v>
      </c>
      <c r="B176" s="1" t="str">
        <f>_xlfn.XLOOKUP(D176,[1]Data!$D:$D,[1]Data!$A:$A)</f>
        <v>Aprovado</v>
      </c>
      <c r="C176" s="1" t="s">
        <v>298</v>
      </c>
      <c r="D176" s="1">
        <v>91905</v>
      </c>
      <c r="E176" s="1">
        <f>_xlfn.XLOOKUP(D176,[1]Data!$D:$D,[1]Data!$D:$D)</f>
        <v>91905</v>
      </c>
      <c r="F176" s="1" t="s">
        <v>245</v>
      </c>
      <c r="G176" s="1" t="s">
        <v>368</v>
      </c>
      <c r="H176" s="1">
        <v>254321</v>
      </c>
      <c r="I176" s="4">
        <v>42224</v>
      </c>
      <c r="J176" s="1" t="s">
        <v>31</v>
      </c>
      <c r="K176" s="1" t="s">
        <v>134</v>
      </c>
    </row>
    <row r="177" spans="1:11" x14ac:dyDescent="0.25">
      <c r="A177" s="1" t="s">
        <v>61</v>
      </c>
      <c r="B177" s="1" t="str">
        <f>_xlfn.XLOOKUP(D177,[1]Data!$D:$D,[1]Data!$A:$A)</f>
        <v>Aprovado</v>
      </c>
      <c r="C177" s="1" t="s">
        <v>299</v>
      </c>
      <c r="D177" s="1">
        <v>91903</v>
      </c>
      <c r="E177" s="1">
        <f>_xlfn.XLOOKUP(D177,[1]Data!$D:$D,[1]Data!$D:$D)</f>
        <v>91903</v>
      </c>
      <c r="F177" s="1" t="s">
        <v>245</v>
      </c>
      <c r="G177" s="1" t="s">
        <v>368</v>
      </c>
      <c r="H177" s="1">
        <v>254319</v>
      </c>
      <c r="I177" s="4">
        <v>15575</v>
      </c>
      <c r="J177" s="1" t="s">
        <v>31</v>
      </c>
      <c r="K177" s="1" t="s">
        <v>134</v>
      </c>
    </row>
    <row r="178" spans="1:11" x14ac:dyDescent="0.25">
      <c r="A178" s="1" t="s">
        <v>54</v>
      </c>
      <c r="B178" s="1" t="str">
        <f>_xlfn.XLOOKUP(D178,[1]Data!$D:$D,[1]Data!$A:$A)</f>
        <v>Reprovado</v>
      </c>
      <c r="C178" s="1" t="s">
        <v>300</v>
      </c>
      <c r="D178" s="1">
        <v>91902</v>
      </c>
      <c r="E178" s="1">
        <f>_xlfn.XLOOKUP(D178,[1]Data!$D:$D,[1]Data!$D:$D)</f>
        <v>91902</v>
      </c>
      <c r="F178" s="1" t="s">
        <v>137</v>
      </c>
      <c r="G178" s="1" t="s">
        <v>368</v>
      </c>
      <c r="H178" s="1">
        <v>254319</v>
      </c>
      <c r="I178" s="4">
        <v>15575</v>
      </c>
      <c r="J178" s="1" t="s">
        <v>232</v>
      </c>
      <c r="K178" s="1" t="s">
        <v>134</v>
      </c>
    </row>
    <row r="179" spans="1:11" x14ac:dyDescent="0.25">
      <c r="A179" s="1" t="s">
        <v>54</v>
      </c>
      <c r="B179" s="1" t="str">
        <f>_xlfn.XLOOKUP(D179,[1]Data!$D:$D,[1]Data!$A:$A)</f>
        <v>Reprovado</v>
      </c>
      <c r="C179" s="1" t="s">
        <v>301</v>
      </c>
      <c r="D179" s="1">
        <v>91900</v>
      </c>
      <c r="E179" s="1">
        <f>_xlfn.XLOOKUP(D179,[1]Data!$D:$D,[1]Data!$D:$D)</f>
        <v>91900</v>
      </c>
      <c r="F179" s="1" t="s">
        <v>137</v>
      </c>
      <c r="G179" s="1" t="s">
        <v>368</v>
      </c>
      <c r="H179" s="1">
        <v>254319</v>
      </c>
      <c r="I179" s="4">
        <v>15575</v>
      </c>
      <c r="J179" s="1" t="s">
        <v>31</v>
      </c>
      <c r="K179" s="1" t="s">
        <v>134</v>
      </c>
    </row>
    <row r="180" spans="1:11" x14ac:dyDescent="0.25">
      <c r="A180" s="1" t="s">
        <v>54</v>
      </c>
      <c r="B180" s="1" t="str">
        <f>_xlfn.XLOOKUP(D180,[1]Data!$D:$D,[1]Data!$A:$A)</f>
        <v>Reprovado</v>
      </c>
      <c r="C180" s="1" t="s">
        <v>302</v>
      </c>
      <c r="D180" s="1">
        <v>91847</v>
      </c>
      <c r="E180" s="1">
        <f>_xlfn.XLOOKUP(D180,[1]Data!$D:$D,[1]Data!$D:$D)</f>
        <v>91847</v>
      </c>
      <c r="F180" s="1" t="s">
        <v>137</v>
      </c>
      <c r="G180" s="1" t="s">
        <v>368</v>
      </c>
      <c r="H180" s="1">
        <v>254322</v>
      </c>
      <c r="I180" s="4">
        <v>40745.599999999999</v>
      </c>
      <c r="J180" s="1" t="s">
        <v>31</v>
      </c>
      <c r="K180" s="1" t="s">
        <v>134</v>
      </c>
    </row>
    <row r="181" spans="1:11" x14ac:dyDescent="0.25">
      <c r="A181" s="1" t="s">
        <v>54</v>
      </c>
      <c r="B181" s="1" t="str">
        <f>_xlfn.XLOOKUP(D181,[1]Data!$D:$D,[1]Data!$A:$A)</f>
        <v>Reprovado</v>
      </c>
      <c r="C181" s="1" t="s">
        <v>303</v>
      </c>
      <c r="D181" s="1">
        <v>91844</v>
      </c>
      <c r="E181" s="1">
        <f>_xlfn.XLOOKUP(D181,[1]Data!$D:$D,[1]Data!$D:$D)</f>
        <v>91844</v>
      </c>
      <c r="F181" s="1" t="s">
        <v>137</v>
      </c>
      <c r="G181" s="1" t="s">
        <v>368</v>
      </c>
      <c r="H181" s="1">
        <v>254321</v>
      </c>
      <c r="I181" s="4">
        <v>42224</v>
      </c>
      <c r="J181" s="1" t="s">
        <v>31</v>
      </c>
      <c r="K181" s="1" t="s">
        <v>134</v>
      </c>
    </row>
    <row r="182" spans="1:11" x14ac:dyDescent="0.25">
      <c r="A182" s="1" t="s">
        <v>54</v>
      </c>
      <c r="B182" s="1" t="str">
        <f>_xlfn.XLOOKUP(D182,[1]Data!$D:$D,[1]Data!$A:$A)</f>
        <v>Reprovado</v>
      </c>
      <c r="C182" s="1" t="s">
        <v>304</v>
      </c>
      <c r="D182" s="1">
        <v>91841</v>
      </c>
      <c r="E182" s="1">
        <f>_xlfn.XLOOKUP(D182,[1]Data!$D:$D,[1]Data!$D:$D)</f>
        <v>91841</v>
      </c>
      <c r="F182" s="1" t="s">
        <v>137</v>
      </c>
      <c r="G182" s="1" t="s">
        <v>368</v>
      </c>
      <c r="H182" s="1">
        <v>254319</v>
      </c>
      <c r="I182" s="4">
        <v>15575</v>
      </c>
      <c r="J182" s="1" t="s">
        <v>31</v>
      </c>
      <c r="K182" s="1" t="s">
        <v>134</v>
      </c>
    </row>
    <row r="183" spans="1:11" x14ac:dyDescent="0.25">
      <c r="A183" s="1" t="s">
        <v>54</v>
      </c>
      <c r="B183" s="1" t="str">
        <f>_xlfn.XLOOKUP(D183,[1]Data!$D:$D,[1]Data!$A:$A)</f>
        <v>Reprovado</v>
      </c>
      <c r="C183" s="1" t="s">
        <v>305</v>
      </c>
      <c r="D183" s="1">
        <v>91628</v>
      </c>
      <c r="E183" s="1">
        <f>_xlfn.XLOOKUP(D183,[1]Data!$D:$D,[1]Data!$D:$D)</f>
        <v>91628</v>
      </c>
      <c r="F183" s="1" t="s">
        <v>245</v>
      </c>
      <c r="G183" s="1" t="s">
        <v>368</v>
      </c>
      <c r="H183" s="1">
        <v>285034</v>
      </c>
      <c r="I183" s="4">
        <v>6586.1</v>
      </c>
      <c r="J183" s="1" t="s">
        <v>35</v>
      </c>
      <c r="K183" s="1" t="s">
        <v>175</v>
      </c>
    </row>
    <row r="184" spans="1:11" x14ac:dyDescent="0.25">
      <c r="A184" s="1" t="s">
        <v>54</v>
      </c>
      <c r="B184" s="1" t="str">
        <f>_xlfn.XLOOKUP(D184,[1]Data!$D:$D,[1]Data!$A:$A)</f>
        <v>Reprovado</v>
      </c>
      <c r="C184" s="1" t="s">
        <v>306</v>
      </c>
      <c r="D184" s="1">
        <v>91371</v>
      </c>
      <c r="E184" s="1">
        <f>_xlfn.XLOOKUP(D184,[1]Data!$D:$D,[1]Data!$D:$D)</f>
        <v>91371</v>
      </c>
      <c r="F184" s="1" t="s">
        <v>11</v>
      </c>
      <c r="G184" s="1" t="s">
        <v>367</v>
      </c>
      <c r="H184" s="1">
        <v>175</v>
      </c>
      <c r="I184" s="4">
        <v>400453.75</v>
      </c>
      <c r="J184" s="1" t="s">
        <v>307</v>
      </c>
      <c r="K184" s="1" t="s">
        <v>14</v>
      </c>
    </row>
    <row r="185" spans="1:11" x14ac:dyDescent="0.25">
      <c r="A185" s="1" t="s">
        <v>54</v>
      </c>
      <c r="B185" s="1" t="str">
        <f>_xlfn.XLOOKUP(D185,[1]Data!$D:$D,[1]Data!$A:$A)</f>
        <v>Reprovado</v>
      </c>
      <c r="C185" s="1" t="s">
        <v>308</v>
      </c>
      <c r="D185" s="1">
        <v>91370</v>
      </c>
      <c r="E185" s="1">
        <f>_xlfn.XLOOKUP(D185,[1]Data!$D:$D,[1]Data!$D:$D)</f>
        <v>91370</v>
      </c>
      <c r="F185" s="1" t="s">
        <v>11</v>
      </c>
      <c r="G185" s="1" t="s">
        <v>367</v>
      </c>
      <c r="H185" s="1">
        <v>174</v>
      </c>
      <c r="I185" s="4">
        <v>115479.88</v>
      </c>
      <c r="J185" s="1" t="s">
        <v>307</v>
      </c>
      <c r="K185" s="1" t="s">
        <v>14</v>
      </c>
    </row>
    <row r="186" spans="1:11" x14ac:dyDescent="0.25">
      <c r="A186" s="1" t="s">
        <v>54</v>
      </c>
      <c r="B186" s="1" t="str">
        <f>_xlfn.XLOOKUP(D186,[1]Data!$D:$D,[1]Data!$A:$A)</f>
        <v>Reprovado</v>
      </c>
      <c r="C186" s="1" t="s">
        <v>308</v>
      </c>
      <c r="D186" s="1">
        <v>91370</v>
      </c>
      <c r="E186" s="1">
        <f>_xlfn.XLOOKUP(D186,[1]Data!$D:$D,[1]Data!$D:$D)</f>
        <v>91370</v>
      </c>
      <c r="F186" s="1" t="s">
        <v>11</v>
      </c>
      <c r="G186" s="1" t="s">
        <v>367</v>
      </c>
      <c r="H186" s="1">
        <v>174</v>
      </c>
      <c r="I186" s="4">
        <v>101645.23</v>
      </c>
      <c r="J186" s="1" t="s">
        <v>307</v>
      </c>
      <c r="K186" s="1" t="s">
        <v>14</v>
      </c>
    </row>
    <row r="187" spans="1:11" x14ac:dyDescent="0.25">
      <c r="A187" s="1" t="s">
        <v>54</v>
      </c>
      <c r="B187" s="1" t="str">
        <f>_xlfn.XLOOKUP(D187,[1]Data!$D:$D,[1]Data!$A:$A)</f>
        <v>Reprovado</v>
      </c>
      <c r="C187" s="1" t="s">
        <v>309</v>
      </c>
      <c r="D187" s="1">
        <v>91297</v>
      </c>
      <c r="E187" s="1">
        <f>_xlfn.XLOOKUP(D187,[1]Data!$D:$D,[1]Data!$D:$D)</f>
        <v>91297</v>
      </c>
      <c r="F187" s="1" t="s">
        <v>11</v>
      </c>
      <c r="G187" s="1" t="s">
        <v>367</v>
      </c>
      <c r="H187" s="1">
        <v>170</v>
      </c>
      <c r="I187" s="4">
        <v>45781.15</v>
      </c>
      <c r="J187" s="1" t="s">
        <v>307</v>
      </c>
      <c r="K187" s="1" t="s">
        <v>14</v>
      </c>
    </row>
    <row r="188" spans="1:11" x14ac:dyDescent="0.25">
      <c r="A188" s="1" t="s">
        <v>61</v>
      </c>
      <c r="B188" s="1" t="str">
        <f>_xlfn.XLOOKUP(D188,[1]Data!$D:$D,[1]Data!$A:$A)</f>
        <v>Aprovado</v>
      </c>
      <c r="C188" s="1" t="s">
        <v>310</v>
      </c>
      <c r="D188" s="1">
        <v>91535</v>
      </c>
      <c r="E188" s="1">
        <f>_xlfn.XLOOKUP(D188,[1]Data!$D:$D,[1]Data!$D:$D)</f>
        <v>91535</v>
      </c>
      <c r="F188" s="1" t="s">
        <v>245</v>
      </c>
      <c r="G188" s="1" t="s">
        <v>367</v>
      </c>
      <c r="H188" s="1">
        <v>1441</v>
      </c>
      <c r="I188" s="4">
        <v>2032122.79</v>
      </c>
      <c r="J188" s="1" t="s">
        <v>275</v>
      </c>
      <c r="K188" s="1" t="s">
        <v>240</v>
      </c>
    </row>
    <row r="189" spans="1:11" x14ac:dyDescent="0.25">
      <c r="A189" s="1" t="s">
        <v>61</v>
      </c>
      <c r="B189" s="1" t="str">
        <f>_xlfn.XLOOKUP(D189,[1]Data!$D:$D,[1]Data!$A:$A)</f>
        <v>Aprovado</v>
      </c>
      <c r="C189" s="1" t="s">
        <v>311</v>
      </c>
      <c r="D189" s="1">
        <v>91399</v>
      </c>
      <c r="E189" s="1">
        <f>_xlfn.XLOOKUP(D189,[1]Data!$D:$D,[1]Data!$D:$D)</f>
        <v>91399</v>
      </c>
      <c r="F189" s="1" t="s">
        <v>245</v>
      </c>
      <c r="G189" s="1" t="s">
        <v>367</v>
      </c>
      <c r="H189" s="1">
        <v>20261156</v>
      </c>
      <c r="I189" s="4">
        <v>980752.75</v>
      </c>
      <c r="J189" s="1" t="s">
        <v>263</v>
      </c>
      <c r="K189" s="1" t="s">
        <v>154</v>
      </c>
    </row>
    <row r="190" spans="1:11" x14ac:dyDescent="0.25">
      <c r="A190" s="1" t="s">
        <v>9</v>
      </c>
      <c r="B190" s="1" t="str">
        <f>_xlfn.XLOOKUP(D190,[1]Data!$D:$D,[1]Data!$A:$A)</f>
        <v>Em Aprovação</v>
      </c>
      <c r="C190" s="1" t="s">
        <v>311</v>
      </c>
      <c r="D190" s="1">
        <v>91400</v>
      </c>
      <c r="E190" s="1">
        <f>_xlfn.XLOOKUP(D190,[1]Data!$D:$D,[1]Data!$D:$D)</f>
        <v>91400</v>
      </c>
      <c r="F190" s="1" t="s">
        <v>11</v>
      </c>
      <c r="G190" s="1" t="s">
        <v>372</v>
      </c>
      <c r="H190" s="1" t="s">
        <v>381</v>
      </c>
      <c r="I190" s="4">
        <v>71744.899999999994</v>
      </c>
      <c r="J190" s="1" t="s">
        <v>156</v>
      </c>
      <c r="K190" s="1" t="s">
        <v>154</v>
      </c>
    </row>
    <row r="191" spans="1:11" x14ac:dyDescent="0.25">
      <c r="A191" s="1" t="s">
        <v>54</v>
      </c>
      <c r="B191" s="1" t="str">
        <f>_xlfn.XLOOKUP(D191,[1]Data!$D:$D,[1]Data!$A:$A)</f>
        <v>Reprovado</v>
      </c>
      <c r="C191" s="1" t="s">
        <v>312</v>
      </c>
      <c r="D191" s="1">
        <v>91371</v>
      </c>
      <c r="E191" s="1">
        <f>_xlfn.XLOOKUP(D191,[1]Data!$D:$D,[1]Data!$D:$D)</f>
        <v>91371</v>
      </c>
      <c r="F191" s="1" t="s">
        <v>11</v>
      </c>
      <c r="G191" s="1" t="s">
        <v>367</v>
      </c>
      <c r="H191" s="1">
        <v>175</v>
      </c>
      <c r="I191" s="4">
        <v>326736.64000000001</v>
      </c>
      <c r="J191" s="1" t="s">
        <v>307</v>
      </c>
      <c r="K191" s="1" t="s">
        <v>14</v>
      </c>
    </row>
    <row r="192" spans="1:11" x14ac:dyDescent="0.25">
      <c r="A192" s="1" t="s">
        <v>54</v>
      </c>
      <c r="B192" s="1" t="str">
        <f>_xlfn.XLOOKUP(D192,[1]Data!$D:$D,[1]Data!$A:$A)</f>
        <v>Reprovado</v>
      </c>
      <c r="C192" s="1" t="s">
        <v>313</v>
      </c>
      <c r="D192" s="1">
        <v>91370</v>
      </c>
      <c r="E192" s="1">
        <f>_xlfn.XLOOKUP(D192,[1]Data!$D:$D,[1]Data!$D:$D)</f>
        <v>91370</v>
      </c>
      <c r="F192" s="1" t="s">
        <v>11</v>
      </c>
      <c r="G192" s="1" t="s">
        <v>367</v>
      </c>
      <c r="H192" s="1">
        <v>174</v>
      </c>
      <c r="I192" s="4">
        <v>89467.98</v>
      </c>
      <c r="J192" s="1" t="s">
        <v>307</v>
      </c>
      <c r="K192" s="1" t="s">
        <v>14</v>
      </c>
    </row>
    <row r="193" spans="1:11" x14ac:dyDescent="0.25">
      <c r="A193" s="1" t="s">
        <v>54</v>
      </c>
      <c r="B193" s="1" t="str">
        <f>_xlfn.XLOOKUP(D193,[1]Data!$D:$D,[1]Data!$A:$A)</f>
        <v>Reprovado</v>
      </c>
      <c r="C193" s="1" t="s">
        <v>314</v>
      </c>
      <c r="D193" s="1">
        <v>91370</v>
      </c>
      <c r="E193" s="1">
        <f>_xlfn.XLOOKUP(D193,[1]Data!$D:$D,[1]Data!$D:$D)</f>
        <v>91370</v>
      </c>
      <c r="F193" s="1" t="s">
        <v>245</v>
      </c>
      <c r="G193" s="1" t="s">
        <v>367</v>
      </c>
      <c r="H193" s="1">
        <v>174</v>
      </c>
      <c r="I193" s="4">
        <v>572691.39</v>
      </c>
      <c r="J193" s="1" t="s">
        <v>307</v>
      </c>
      <c r="K193" s="1" t="s">
        <v>14</v>
      </c>
    </row>
    <row r="194" spans="1:11" x14ac:dyDescent="0.25">
      <c r="A194" s="1" t="s">
        <v>61</v>
      </c>
      <c r="B194" s="1" t="str">
        <f>_xlfn.XLOOKUP(D194,[1]Data!$D:$D,[1]Data!$A:$A)</f>
        <v>Reprovado</v>
      </c>
      <c r="C194" s="1" t="s">
        <v>314</v>
      </c>
      <c r="D194" s="1">
        <v>91371</v>
      </c>
      <c r="E194" s="1">
        <f>_xlfn.XLOOKUP(D194,[1]Data!$D:$D,[1]Data!$D:$D)</f>
        <v>91371</v>
      </c>
      <c r="F194" s="1" t="s">
        <v>245</v>
      </c>
      <c r="G194" s="1" t="s">
        <v>367</v>
      </c>
      <c r="H194" s="1">
        <v>175</v>
      </c>
      <c r="I194" s="4">
        <v>1212238.26</v>
      </c>
      <c r="J194" s="1" t="s">
        <v>307</v>
      </c>
      <c r="K194" s="1" t="s">
        <v>14</v>
      </c>
    </row>
    <row r="195" spans="1:11" x14ac:dyDescent="0.25">
      <c r="A195" s="1" t="s">
        <v>54</v>
      </c>
      <c r="B195" s="1" t="str">
        <f>_xlfn.XLOOKUP(D195,[1]Data!$D:$D,[1]Data!$A:$A)</f>
        <v>Reprovado</v>
      </c>
      <c r="C195" s="1" t="s">
        <v>315</v>
      </c>
      <c r="D195" s="1">
        <v>91362</v>
      </c>
      <c r="E195" s="1">
        <f>_xlfn.XLOOKUP(D195,[1]Data!$D:$D,[1]Data!$D:$D)</f>
        <v>91362</v>
      </c>
      <c r="F195" s="1" t="s">
        <v>272</v>
      </c>
      <c r="G195" s="1" t="s">
        <v>384</v>
      </c>
      <c r="H195" s="1">
        <v>20261155</v>
      </c>
      <c r="I195" s="4">
        <v>1363153.05</v>
      </c>
      <c r="J195" s="1" t="s">
        <v>263</v>
      </c>
      <c r="K195" s="1" t="s">
        <v>154</v>
      </c>
    </row>
    <row r="196" spans="1:11" x14ac:dyDescent="0.25">
      <c r="A196" s="1" t="s">
        <v>54</v>
      </c>
      <c r="B196" s="1" t="str">
        <f>_xlfn.XLOOKUP(D196,[1]Data!$D:$D,[1]Data!$A:$A)</f>
        <v>Reprovado</v>
      </c>
      <c r="C196" s="1" t="s">
        <v>315</v>
      </c>
      <c r="D196" s="1">
        <v>91363</v>
      </c>
      <c r="E196" s="1">
        <f>_xlfn.XLOOKUP(D196,[1]Data!$D:$D,[1]Data!$D:$D)</f>
        <v>91363</v>
      </c>
      <c r="F196" s="1" t="s">
        <v>272</v>
      </c>
      <c r="G196" s="1" t="s">
        <v>372</v>
      </c>
      <c r="H196" s="1" t="s">
        <v>381</v>
      </c>
      <c r="I196" s="4">
        <v>71744.899999999994</v>
      </c>
      <c r="J196" s="1" t="s">
        <v>156</v>
      </c>
      <c r="K196" s="1" t="s">
        <v>154</v>
      </c>
    </row>
    <row r="197" spans="1:11" x14ac:dyDescent="0.25">
      <c r="A197" s="1" t="s">
        <v>54</v>
      </c>
      <c r="B197" s="1" t="str">
        <f>_xlfn.XLOOKUP(D197,[1]Data!$D:$D,[1]Data!$A:$A)</f>
        <v>Reprovado</v>
      </c>
      <c r="C197" s="1" t="s">
        <v>316</v>
      </c>
      <c r="D197" s="1">
        <v>91301</v>
      </c>
      <c r="E197" s="1">
        <f>_xlfn.XLOOKUP(D197,[1]Data!$D:$D,[1]Data!$D:$D)</f>
        <v>91301</v>
      </c>
      <c r="F197" s="1" t="s">
        <v>272</v>
      </c>
      <c r="G197" s="1" t="s">
        <v>384</v>
      </c>
      <c r="H197" s="1">
        <v>171</v>
      </c>
      <c r="I197" s="4">
        <v>519141.39</v>
      </c>
      <c r="J197" s="1" t="s">
        <v>307</v>
      </c>
      <c r="K197" s="1" t="s">
        <v>14</v>
      </c>
    </row>
    <row r="198" spans="1:11" x14ac:dyDescent="0.25">
      <c r="A198" s="1" t="s">
        <v>54</v>
      </c>
      <c r="B198" s="1" t="str">
        <f>_xlfn.XLOOKUP(D198,[1]Data!$D:$D,[1]Data!$A:$A)</f>
        <v>Reprovado</v>
      </c>
      <c r="C198" s="1" t="s">
        <v>317</v>
      </c>
      <c r="D198" s="1">
        <v>91301</v>
      </c>
      <c r="E198" s="1">
        <f>_xlfn.XLOOKUP(D198,[1]Data!$D:$D,[1]Data!$D:$D)</f>
        <v>91301</v>
      </c>
      <c r="F198" s="1" t="s">
        <v>272</v>
      </c>
      <c r="G198" s="1" t="s">
        <v>384</v>
      </c>
      <c r="H198" s="1">
        <v>171</v>
      </c>
      <c r="I198" s="4">
        <v>433292.12</v>
      </c>
      <c r="J198" s="1" t="s">
        <v>307</v>
      </c>
      <c r="K198" s="1" t="s">
        <v>14</v>
      </c>
    </row>
    <row r="199" spans="1:11" x14ac:dyDescent="0.25">
      <c r="A199" s="1" t="s">
        <v>61</v>
      </c>
      <c r="B199" s="1" t="str">
        <f>_xlfn.XLOOKUP(D199,[1]Data!$D:$D,[1]Data!$A:$A)</f>
        <v>Aprovado</v>
      </c>
      <c r="C199" s="1" t="s">
        <v>318</v>
      </c>
      <c r="D199" s="1">
        <v>91326</v>
      </c>
      <c r="E199" s="1">
        <f>_xlfn.XLOOKUP(D199,[1]Data!$D:$D,[1]Data!$D:$D)</f>
        <v>91326</v>
      </c>
      <c r="F199" s="1" t="s">
        <v>245</v>
      </c>
      <c r="G199" s="1" t="s">
        <v>367</v>
      </c>
      <c r="H199" s="1">
        <v>2026376</v>
      </c>
      <c r="I199" s="4">
        <v>32918.71</v>
      </c>
      <c r="J199" s="1" t="s">
        <v>319</v>
      </c>
      <c r="K199" s="1" t="s">
        <v>131</v>
      </c>
    </row>
    <row r="200" spans="1:11" x14ac:dyDescent="0.25">
      <c r="A200" s="1" t="s">
        <v>61</v>
      </c>
      <c r="B200" s="1" t="str">
        <f>_xlfn.XLOOKUP(D200,[1]Data!$D:$D,[1]Data!$A:$A)</f>
        <v>Aprovado</v>
      </c>
      <c r="C200" s="1" t="s">
        <v>318</v>
      </c>
      <c r="D200" s="1">
        <v>91327</v>
      </c>
      <c r="E200" s="1">
        <f>_xlfn.XLOOKUP(D200,[1]Data!$D:$D,[1]Data!$D:$D)</f>
        <v>91327</v>
      </c>
      <c r="F200" s="1" t="s">
        <v>11</v>
      </c>
      <c r="G200" s="1" t="s">
        <v>372</v>
      </c>
      <c r="H200" s="1" t="s">
        <v>379</v>
      </c>
      <c r="I200" s="4">
        <v>1828.82</v>
      </c>
      <c r="J200" s="1" t="s">
        <v>132</v>
      </c>
      <c r="K200" s="1" t="s">
        <v>131</v>
      </c>
    </row>
    <row r="201" spans="1:11" x14ac:dyDescent="0.25">
      <c r="A201" s="1" t="s">
        <v>54</v>
      </c>
      <c r="B201" s="1" t="str">
        <f>_xlfn.XLOOKUP(D201,[1]Data!$D:$D,[1]Data!$A:$A)</f>
        <v>Reprovado</v>
      </c>
      <c r="C201" s="1" t="s">
        <v>320</v>
      </c>
      <c r="D201" s="1">
        <v>91301</v>
      </c>
      <c r="E201" s="1">
        <f>_xlfn.XLOOKUP(D201,[1]Data!$D:$D,[1]Data!$D:$D)</f>
        <v>91301</v>
      </c>
      <c r="F201" s="1" t="s">
        <v>272</v>
      </c>
      <c r="G201" s="1" t="s">
        <v>384</v>
      </c>
      <c r="H201" s="1">
        <v>171</v>
      </c>
      <c r="I201" s="4">
        <v>1942003.67</v>
      </c>
      <c r="J201" s="1" t="s">
        <v>307</v>
      </c>
      <c r="K201" s="1" t="s">
        <v>14</v>
      </c>
    </row>
    <row r="202" spans="1:11" x14ac:dyDescent="0.25">
      <c r="A202" s="1" t="s">
        <v>61</v>
      </c>
      <c r="B202" s="1" t="str">
        <f>_xlfn.XLOOKUP(D202,[1]Data!$D:$D,[1]Data!$A:$A)</f>
        <v>Reprovado</v>
      </c>
      <c r="C202" s="1" t="s">
        <v>321</v>
      </c>
      <c r="D202" s="1">
        <v>91297</v>
      </c>
      <c r="E202" s="1">
        <f>_xlfn.XLOOKUP(D202,[1]Data!$D:$D,[1]Data!$D:$D)</f>
        <v>91297</v>
      </c>
      <c r="F202" s="1" t="s">
        <v>245</v>
      </c>
      <c r="G202" s="1" t="s">
        <v>367</v>
      </c>
      <c r="H202" s="1">
        <v>170</v>
      </c>
      <c r="I202" s="4">
        <v>128672.14</v>
      </c>
      <c r="J202" s="1" t="s">
        <v>307</v>
      </c>
      <c r="K202" s="1" t="s">
        <v>14</v>
      </c>
    </row>
    <row r="203" spans="1:11" x14ac:dyDescent="0.25">
      <c r="A203" s="1" t="s">
        <v>9</v>
      </c>
      <c r="B203" s="1" t="str">
        <f>_xlfn.XLOOKUP(D203,[1]Data!$D:$D,[1]Data!$A:$A)</f>
        <v>Em Aprovação</v>
      </c>
      <c r="C203" s="1" t="s">
        <v>322</v>
      </c>
      <c r="D203" s="1">
        <v>91298</v>
      </c>
      <c r="E203" s="1">
        <f>_xlfn.XLOOKUP(D203,[1]Data!$D:$D,[1]Data!$D:$D)</f>
        <v>91298</v>
      </c>
      <c r="F203" s="1" t="s">
        <v>11</v>
      </c>
      <c r="G203" s="1" t="s">
        <v>372</v>
      </c>
      <c r="H203" s="1" t="s">
        <v>378</v>
      </c>
      <c r="I203" s="4">
        <v>12988.18</v>
      </c>
      <c r="J203" s="1" t="s">
        <v>129</v>
      </c>
      <c r="K203" s="1" t="s">
        <v>14</v>
      </c>
    </row>
    <row r="204" spans="1:11" x14ac:dyDescent="0.25">
      <c r="A204" s="1" t="s">
        <v>54</v>
      </c>
      <c r="B204" s="1" t="str">
        <f>_xlfn.XLOOKUP(D204,[1]Data!$D:$D,[1]Data!$A:$A)</f>
        <v>Reprovado</v>
      </c>
      <c r="C204" s="1" t="s">
        <v>323</v>
      </c>
      <c r="D204" s="1">
        <v>91294</v>
      </c>
      <c r="E204" s="1">
        <f>_xlfn.XLOOKUP(D204,[1]Data!$D:$D,[1]Data!$D:$D)</f>
        <v>91294</v>
      </c>
      <c r="F204" s="1" t="s">
        <v>245</v>
      </c>
      <c r="G204" s="1" t="s">
        <v>384</v>
      </c>
      <c r="H204" s="1">
        <v>1441</v>
      </c>
      <c r="I204" s="4">
        <v>2176885.6800000002</v>
      </c>
      <c r="J204" s="1" t="s">
        <v>275</v>
      </c>
      <c r="K204" s="1" t="s">
        <v>240</v>
      </c>
    </row>
    <row r="205" spans="1:11" x14ac:dyDescent="0.25">
      <c r="A205" s="1" t="s">
        <v>54</v>
      </c>
      <c r="B205" s="1" t="str">
        <f>_xlfn.XLOOKUP(D205,[1]Data!$D:$D,[1]Data!$A:$A)</f>
        <v>Reprovado</v>
      </c>
      <c r="C205" s="1" t="s">
        <v>324</v>
      </c>
      <c r="D205" s="1">
        <v>91292</v>
      </c>
      <c r="E205" s="1">
        <f>_xlfn.XLOOKUP(D205,[1]Data!$D:$D,[1]Data!$D:$D)</f>
        <v>91292</v>
      </c>
      <c r="F205" s="1" t="s">
        <v>137</v>
      </c>
      <c r="G205" s="1" t="s">
        <v>384</v>
      </c>
      <c r="H205" s="1">
        <v>170</v>
      </c>
      <c r="I205" s="4">
        <v>174453.29</v>
      </c>
      <c r="J205" s="1" t="s">
        <v>239</v>
      </c>
      <c r="K205" s="1" t="s">
        <v>14</v>
      </c>
    </row>
    <row r="206" spans="1:11" x14ac:dyDescent="0.25">
      <c r="A206" s="1" t="s">
        <v>54</v>
      </c>
      <c r="B206" s="1" t="str">
        <f>_xlfn.XLOOKUP(D206,[1]Data!$D:$D,[1]Data!$A:$A)</f>
        <v>Reprovado</v>
      </c>
      <c r="C206" s="1" t="s">
        <v>324</v>
      </c>
      <c r="D206" s="1">
        <v>91293</v>
      </c>
      <c r="E206" s="1">
        <f>_xlfn.XLOOKUP(D206,[1]Data!$D:$D,[1]Data!$D:$D)</f>
        <v>91293</v>
      </c>
      <c r="F206" s="1" t="s">
        <v>137</v>
      </c>
      <c r="G206" s="1" t="s">
        <v>372</v>
      </c>
      <c r="H206" s="1" t="s">
        <v>378</v>
      </c>
      <c r="I206" s="4">
        <v>12988.18</v>
      </c>
      <c r="J206" s="1" t="s">
        <v>129</v>
      </c>
      <c r="K206" s="1" t="s">
        <v>14</v>
      </c>
    </row>
    <row r="207" spans="1:11" x14ac:dyDescent="0.25">
      <c r="A207" s="1" t="s">
        <v>61</v>
      </c>
      <c r="B207" s="1" t="str">
        <f>_xlfn.XLOOKUP(D207,[1]Data!$D:$D,[1]Data!$A:$A)</f>
        <v>Aprovado</v>
      </c>
      <c r="C207" s="1" t="s">
        <v>325</v>
      </c>
      <c r="D207" s="1">
        <v>91289</v>
      </c>
      <c r="E207" s="1">
        <f>_xlfn.XLOOKUP(D207,[1]Data!$D:$D,[1]Data!$D:$D)</f>
        <v>91289</v>
      </c>
      <c r="F207" s="1" t="s">
        <v>245</v>
      </c>
      <c r="G207" s="1" t="s">
        <v>367</v>
      </c>
      <c r="H207" s="1">
        <v>169</v>
      </c>
      <c r="I207" s="4">
        <v>862284.15</v>
      </c>
      <c r="J207" s="1" t="s">
        <v>307</v>
      </c>
      <c r="K207" s="1" t="s">
        <v>14</v>
      </c>
    </row>
    <row r="208" spans="1:11" x14ac:dyDescent="0.25">
      <c r="A208" s="1" t="s">
        <v>61</v>
      </c>
      <c r="B208" s="1" t="str">
        <f>_xlfn.XLOOKUP(D208,[1]Data!$D:$D,[1]Data!$A:$A)</f>
        <v>Aprovado</v>
      </c>
      <c r="C208" s="1" t="s">
        <v>326</v>
      </c>
      <c r="D208" s="1">
        <v>91286</v>
      </c>
      <c r="E208" s="1">
        <f>_xlfn.XLOOKUP(D208,[1]Data!$D:$D,[1]Data!$D:$D)</f>
        <v>91286</v>
      </c>
      <c r="F208" s="1" t="s">
        <v>245</v>
      </c>
      <c r="G208" s="1" t="s">
        <v>367</v>
      </c>
      <c r="H208" s="1">
        <v>168</v>
      </c>
      <c r="I208" s="4">
        <v>51959.6</v>
      </c>
      <c r="J208" s="1" t="s">
        <v>307</v>
      </c>
      <c r="K208" s="1" t="s">
        <v>14</v>
      </c>
    </row>
    <row r="209" spans="1:11" x14ac:dyDescent="0.25">
      <c r="A209" s="1" t="s">
        <v>9</v>
      </c>
      <c r="B209" s="1" t="str">
        <f>_xlfn.XLOOKUP(D209,[1]Data!$D:$D,[1]Data!$A:$A)</f>
        <v>Em Aprovação</v>
      </c>
      <c r="C209" s="1" t="s">
        <v>327</v>
      </c>
      <c r="D209" s="1">
        <v>91287</v>
      </c>
      <c r="E209" s="1">
        <f>_xlfn.XLOOKUP(D209,[1]Data!$D:$D,[1]Data!$D:$D)</f>
        <v>91287</v>
      </c>
      <c r="F209" s="1" t="s">
        <v>11</v>
      </c>
      <c r="G209" s="1" t="s">
        <v>372</v>
      </c>
      <c r="H209" s="1" t="s">
        <v>378</v>
      </c>
      <c r="I209" s="4">
        <v>3868.43</v>
      </c>
      <c r="J209" s="1" t="s">
        <v>129</v>
      </c>
      <c r="K209" s="1" t="s">
        <v>14</v>
      </c>
    </row>
    <row r="210" spans="1:11" x14ac:dyDescent="0.25">
      <c r="A210" s="1" t="s">
        <v>61</v>
      </c>
      <c r="B210" s="1" t="str">
        <f>_xlfn.XLOOKUP(D210,[1]Data!$D:$D,[1]Data!$A:$A)</f>
        <v>Aprovado</v>
      </c>
      <c r="C210" s="1" t="s">
        <v>328</v>
      </c>
      <c r="D210" s="1">
        <v>91268</v>
      </c>
      <c r="E210" s="1">
        <f>_xlfn.XLOOKUP(D210,[1]Data!$D:$D,[1]Data!$D:$D)</f>
        <v>91268</v>
      </c>
      <c r="F210" s="1" t="s">
        <v>245</v>
      </c>
      <c r="G210" s="1" t="s">
        <v>367</v>
      </c>
      <c r="H210" s="1">
        <v>47</v>
      </c>
      <c r="I210" s="4">
        <v>9787.5</v>
      </c>
      <c r="J210" s="1" t="s">
        <v>232</v>
      </c>
      <c r="K210" s="1" t="s">
        <v>206</v>
      </c>
    </row>
    <row r="211" spans="1:11" x14ac:dyDescent="0.25">
      <c r="A211" s="1" t="s">
        <v>54</v>
      </c>
      <c r="B211" s="1" t="str">
        <f>_xlfn.XLOOKUP(D211,[1]Data!$D:$D,[1]Data!$A:$A)</f>
        <v>Reprovado</v>
      </c>
      <c r="C211" s="1" t="s">
        <v>329</v>
      </c>
      <c r="D211" s="1">
        <v>91250</v>
      </c>
      <c r="E211" s="1">
        <f>_xlfn.XLOOKUP(D211,[1]Data!$D:$D,[1]Data!$D:$D)</f>
        <v>91250</v>
      </c>
      <c r="F211" s="1" t="s">
        <v>245</v>
      </c>
      <c r="G211" s="1" t="s">
        <v>384</v>
      </c>
      <c r="H211" s="1">
        <v>160</v>
      </c>
      <c r="I211" s="4">
        <v>51959.6</v>
      </c>
      <c r="J211" s="1" t="s">
        <v>307</v>
      </c>
      <c r="K211" s="1" t="s">
        <v>14</v>
      </c>
    </row>
    <row r="212" spans="1:11" x14ac:dyDescent="0.25">
      <c r="A212" s="1" t="s">
        <v>54</v>
      </c>
      <c r="B212" s="1" t="str">
        <f>_xlfn.XLOOKUP(D212,[1]Data!$D:$D,[1]Data!$A:$A)</f>
        <v>Reprovado</v>
      </c>
      <c r="C212" s="1" t="s">
        <v>330</v>
      </c>
      <c r="D212" s="1">
        <v>91251</v>
      </c>
      <c r="E212" s="1">
        <f>_xlfn.XLOOKUP(D212,[1]Data!$D:$D,[1]Data!$D:$D)</f>
        <v>91251</v>
      </c>
      <c r="F212" s="1" t="s">
        <v>137</v>
      </c>
      <c r="G212" s="1" t="s">
        <v>372</v>
      </c>
      <c r="H212" s="1" t="s">
        <v>378</v>
      </c>
      <c r="I212" s="4">
        <v>3868.43</v>
      </c>
      <c r="J212" s="1" t="s">
        <v>129</v>
      </c>
      <c r="K212" s="1" t="s">
        <v>14</v>
      </c>
    </row>
    <row r="213" spans="1:11" x14ac:dyDescent="0.25">
      <c r="A213" s="1" t="s">
        <v>54</v>
      </c>
      <c r="B213" s="1" t="str">
        <f>_xlfn.XLOOKUP(D213,[1]Data!$D:$D,[1]Data!$A:$A)</f>
        <v>Reprovado</v>
      </c>
      <c r="C213" s="1" t="s">
        <v>331</v>
      </c>
      <c r="D213" s="1">
        <v>91229</v>
      </c>
      <c r="E213" s="1">
        <f>_xlfn.XLOOKUP(D213,[1]Data!$D:$D,[1]Data!$D:$D)</f>
        <v>91229</v>
      </c>
      <c r="F213" s="1" t="s">
        <v>245</v>
      </c>
      <c r="G213" s="1" t="s">
        <v>384</v>
      </c>
      <c r="H213" s="1">
        <v>162</v>
      </c>
      <c r="I213" s="4">
        <v>45781.15</v>
      </c>
      <c r="J213" s="1" t="s">
        <v>307</v>
      </c>
      <c r="K213" s="1" t="s">
        <v>14</v>
      </c>
    </row>
    <row r="214" spans="1:11" x14ac:dyDescent="0.25">
      <c r="A214" s="1" t="s">
        <v>54</v>
      </c>
      <c r="B214" s="1" t="str">
        <f>_xlfn.XLOOKUP(D214,[1]Data!$D:$D,[1]Data!$A:$A)</f>
        <v>Reprovado</v>
      </c>
      <c r="C214" s="1" t="s">
        <v>332</v>
      </c>
      <c r="D214" s="1">
        <v>91229</v>
      </c>
      <c r="E214" s="1">
        <f>_xlfn.XLOOKUP(D214,[1]Data!$D:$D,[1]Data!$D:$D)</f>
        <v>91229</v>
      </c>
      <c r="F214" s="1" t="s">
        <v>245</v>
      </c>
      <c r="G214" s="1" t="s">
        <v>384</v>
      </c>
      <c r="H214" s="1">
        <v>162</v>
      </c>
      <c r="I214" s="4">
        <v>128672.14</v>
      </c>
      <c r="J214" s="1" t="s">
        <v>307</v>
      </c>
      <c r="K214" s="1" t="s">
        <v>14</v>
      </c>
    </row>
    <row r="215" spans="1:11" x14ac:dyDescent="0.25">
      <c r="A215" s="1" t="s">
        <v>54</v>
      </c>
      <c r="B215" s="1" t="str">
        <f>_xlfn.XLOOKUP(D215,[1]Data!$D:$D,[1]Data!$A:$A)</f>
        <v>Reprovado</v>
      </c>
      <c r="C215" s="1" t="s">
        <v>333</v>
      </c>
      <c r="D215" s="1">
        <v>91230</v>
      </c>
      <c r="E215" s="1">
        <f>_xlfn.XLOOKUP(D215,[1]Data!$D:$D,[1]Data!$D:$D)</f>
        <v>91230</v>
      </c>
      <c r="F215" s="1" t="s">
        <v>137</v>
      </c>
      <c r="G215" s="1" t="s">
        <v>372</v>
      </c>
      <c r="H215" s="1" t="s">
        <v>378</v>
      </c>
      <c r="I215" s="4">
        <v>12988.18</v>
      </c>
      <c r="J215" s="1" t="s">
        <v>129</v>
      </c>
      <c r="K215" s="1" t="s">
        <v>14</v>
      </c>
    </row>
    <row r="216" spans="1:11" x14ac:dyDescent="0.25">
      <c r="A216" s="1" t="s">
        <v>54</v>
      </c>
      <c r="B216" s="1" t="str">
        <f>_xlfn.XLOOKUP(D216,[1]Data!$D:$D,[1]Data!$A:$A)</f>
        <v>Reprovado</v>
      </c>
      <c r="C216" s="1" t="s">
        <v>334</v>
      </c>
      <c r="D216" s="1">
        <v>91227</v>
      </c>
      <c r="E216" s="1">
        <f>_xlfn.XLOOKUP(D216,[1]Data!$D:$D,[1]Data!$D:$D)</f>
        <v>91227</v>
      </c>
      <c r="F216" s="1" t="s">
        <v>245</v>
      </c>
      <c r="G216" s="1" t="s">
        <v>384</v>
      </c>
      <c r="H216" s="1">
        <v>163</v>
      </c>
      <c r="I216" s="4">
        <v>2848599.68</v>
      </c>
      <c r="J216" s="1" t="s">
        <v>307</v>
      </c>
      <c r="K216" s="1" t="s">
        <v>14</v>
      </c>
    </row>
    <row r="217" spans="1:11" x14ac:dyDescent="0.25">
      <c r="A217" s="1" t="s">
        <v>54</v>
      </c>
      <c r="B217" s="1" t="str">
        <f>_xlfn.XLOOKUP(D217,[1]Data!$D:$D,[1]Data!$A:$A)</f>
        <v>Reprovado</v>
      </c>
      <c r="C217" s="1" t="s">
        <v>335</v>
      </c>
      <c r="D217" s="1">
        <v>91225</v>
      </c>
      <c r="E217" s="1">
        <f>_xlfn.XLOOKUP(D217,[1]Data!$D:$D,[1]Data!$D:$D)</f>
        <v>91225</v>
      </c>
      <c r="F217" s="1" t="s">
        <v>137</v>
      </c>
      <c r="G217" s="1" t="s">
        <v>372</v>
      </c>
      <c r="H217" s="1" t="s">
        <v>378</v>
      </c>
      <c r="I217" s="4">
        <v>3868.43</v>
      </c>
      <c r="J217" s="1" t="s">
        <v>129</v>
      </c>
      <c r="K217" s="1" t="s">
        <v>14</v>
      </c>
    </row>
    <row r="218" spans="1:11" x14ac:dyDescent="0.25">
      <c r="A218" s="1" t="s">
        <v>54</v>
      </c>
      <c r="B218" s="1" t="str">
        <f>_xlfn.XLOOKUP(D218,[1]Data!$D:$D,[1]Data!$A:$A)</f>
        <v>Reprovado</v>
      </c>
      <c r="C218" s="1" t="s">
        <v>336</v>
      </c>
      <c r="D218" s="1">
        <v>91223</v>
      </c>
      <c r="E218" s="1">
        <f>_xlfn.XLOOKUP(D218,[1]Data!$D:$D,[1]Data!$D:$D)</f>
        <v>91223</v>
      </c>
      <c r="F218" s="1" t="s">
        <v>137</v>
      </c>
      <c r="G218" s="1" t="s">
        <v>385</v>
      </c>
      <c r="H218" s="1">
        <v>37</v>
      </c>
      <c r="I218" s="4">
        <v>9787.5</v>
      </c>
      <c r="J218" s="1" t="s">
        <v>232</v>
      </c>
      <c r="K218" s="1" t="s">
        <v>206</v>
      </c>
    </row>
    <row r="219" spans="1:11" x14ac:dyDescent="0.25">
      <c r="A219" s="1" t="s">
        <v>54</v>
      </c>
      <c r="B219" s="1" t="str">
        <f>_xlfn.XLOOKUP(D219,[1]Data!$D:$D,[1]Data!$A:$A)</f>
        <v>Reprovado</v>
      </c>
      <c r="C219" s="1" t="s">
        <v>337</v>
      </c>
      <c r="D219" s="1">
        <v>91222</v>
      </c>
      <c r="E219" s="1">
        <f>_xlfn.XLOOKUP(D219,[1]Data!$D:$D,[1]Data!$D:$D)</f>
        <v>91222</v>
      </c>
      <c r="F219" s="1" t="s">
        <v>137</v>
      </c>
      <c r="G219" s="1" t="s">
        <v>372</v>
      </c>
      <c r="H219" s="1" t="s">
        <v>378</v>
      </c>
      <c r="I219" s="4">
        <v>3868.43</v>
      </c>
      <c r="J219" s="1" t="s">
        <v>129</v>
      </c>
      <c r="K219" s="1" t="s">
        <v>14</v>
      </c>
    </row>
    <row r="220" spans="1:11" x14ac:dyDescent="0.25">
      <c r="A220" s="1" t="s">
        <v>54</v>
      </c>
      <c r="B220" s="1" t="str">
        <f>_xlfn.XLOOKUP(D220,[1]Data!$D:$D,[1]Data!$A:$A)</f>
        <v>Reprovado</v>
      </c>
      <c r="C220" s="1" t="s">
        <v>338</v>
      </c>
      <c r="D220" s="1">
        <v>91218</v>
      </c>
      <c r="E220" s="1">
        <f>_xlfn.XLOOKUP(D220,[1]Data!$D:$D,[1]Data!$D:$D)</f>
        <v>91218</v>
      </c>
      <c r="F220" s="1" t="s">
        <v>137</v>
      </c>
      <c r="G220" s="1" t="s">
        <v>372</v>
      </c>
      <c r="H220" s="1" t="s">
        <v>378</v>
      </c>
      <c r="I220" s="4">
        <v>3868.43</v>
      </c>
      <c r="J220" s="1" t="s">
        <v>129</v>
      </c>
      <c r="K220" s="1" t="s">
        <v>14</v>
      </c>
    </row>
    <row r="221" spans="1:11" x14ac:dyDescent="0.25">
      <c r="A221" s="1" t="s">
        <v>54</v>
      </c>
      <c r="B221" s="1" t="str">
        <f>_xlfn.XLOOKUP(D221,[1]Data!$D:$D,[1]Data!$A:$A)</f>
        <v>Reprovado</v>
      </c>
      <c r="C221" s="1" t="s">
        <v>339</v>
      </c>
      <c r="D221" s="1">
        <v>91213</v>
      </c>
      <c r="E221" s="1">
        <f>_xlfn.XLOOKUP(D221,[1]Data!$D:$D,[1]Data!$D:$D)</f>
        <v>91213</v>
      </c>
      <c r="F221" s="1" t="s">
        <v>245</v>
      </c>
      <c r="G221" s="1" t="s">
        <v>384</v>
      </c>
      <c r="H221" s="1">
        <v>161</v>
      </c>
      <c r="I221" s="4">
        <v>862284.15</v>
      </c>
      <c r="J221" s="1" t="s">
        <v>307</v>
      </c>
      <c r="K221" s="1" t="s">
        <v>14</v>
      </c>
    </row>
    <row r="222" spans="1:11" x14ac:dyDescent="0.25">
      <c r="A222" s="1" t="s">
        <v>61</v>
      </c>
      <c r="B222" s="1" t="str">
        <f>_xlfn.XLOOKUP(D222,[1]Data!$D:$D,[1]Data!$A:$A)</f>
        <v>Aprovado</v>
      </c>
      <c r="C222" s="1" t="s">
        <v>340</v>
      </c>
      <c r="D222" s="1">
        <v>91165</v>
      </c>
      <c r="E222" s="1">
        <f>_xlfn.XLOOKUP(D222,[1]Data!$D:$D,[1]Data!$D:$D)</f>
        <v>91165</v>
      </c>
      <c r="F222" s="1" t="s">
        <v>341</v>
      </c>
      <c r="G222" s="1" t="s">
        <v>384</v>
      </c>
      <c r="H222" s="1">
        <v>31</v>
      </c>
      <c r="I222" s="4">
        <v>7000</v>
      </c>
      <c r="J222" s="1" t="s">
        <v>319</v>
      </c>
      <c r="K222" s="1" t="s">
        <v>342</v>
      </c>
    </row>
    <row r="223" spans="1:11" x14ac:dyDescent="0.25">
      <c r="A223" s="1" t="s">
        <v>61</v>
      </c>
      <c r="B223" s="1" t="str">
        <f>_xlfn.XLOOKUP(D223,[1]Data!$D:$D,[1]Data!$A:$A)</f>
        <v>Aprovado</v>
      </c>
      <c r="C223" s="1" t="s">
        <v>343</v>
      </c>
      <c r="D223" s="1">
        <v>91079</v>
      </c>
      <c r="E223" s="1">
        <f>_xlfn.XLOOKUP(D223,[1]Data!$D:$D,[1]Data!$D:$D)</f>
        <v>91079</v>
      </c>
      <c r="F223" s="1" t="s">
        <v>341</v>
      </c>
      <c r="G223" s="1" t="s">
        <v>384</v>
      </c>
      <c r="H223" s="1">
        <v>6653</v>
      </c>
      <c r="I223" s="4">
        <v>11921</v>
      </c>
      <c r="J223" s="1" t="s">
        <v>35</v>
      </c>
      <c r="K223" s="1" t="s">
        <v>344</v>
      </c>
    </row>
    <row r="224" spans="1:11" x14ac:dyDescent="0.25">
      <c r="A224" s="1" t="s">
        <v>54</v>
      </c>
      <c r="B224" s="1" t="str">
        <f>_xlfn.XLOOKUP(D224,[1]Data!$D:$D,[1]Data!$A:$A)</f>
        <v>Reprovado</v>
      </c>
      <c r="C224" s="1" t="s">
        <v>345</v>
      </c>
      <c r="D224" s="1">
        <v>90946</v>
      </c>
      <c r="E224" s="1">
        <f>_xlfn.XLOOKUP(D224,[1]Data!$D:$D,[1]Data!$D:$D)</f>
        <v>90946</v>
      </c>
      <c r="F224" s="1" t="s">
        <v>272</v>
      </c>
      <c r="G224" s="1" t="s">
        <v>385</v>
      </c>
      <c r="H224" s="1">
        <v>162</v>
      </c>
      <c r="I224" s="4">
        <v>45781.15</v>
      </c>
      <c r="J224" s="1" t="s">
        <v>307</v>
      </c>
      <c r="K224" s="1" t="s">
        <v>14</v>
      </c>
    </row>
    <row r="225" spans="1:11" x14ac:dyDescent="0.25">
      <c r="A225" s="1" t="s">
        <v>54</v>
      </c>
      <c r="B225" s="1" t="str">
        <f>_xlfn.XLOOKUP(D225,[1]Data!$D:$D,[1]Data!$A:$A)</f>
        <v>Reprovado</v>
      </c>
      <c r="C225" s="1" t="s">
        <v>345</v>
      </c>
      <c r="D225" s="1">
        <v>90946</v>
      </c>
      <c r="E225" s="1">
        <f>_xlfn.XLOOKUP(D225,[1]Data!$D:$D,[1]Data!$D:$D)</f>
        <v>90946</v>
      </c>
      <c r="F225" s="1" t="s">
        <v>272</v>
      </c>
      <c r="G225" s="1" t="s">
        <v>385</v>
      </c>
      <c r="H225" s="1">
        <v>162</v>
      </c>
      <c r="I225" s="4">
        <v>128672.14</v>
      </c>
      <c r="J225" s="1" t="s">
        <v>307</v>
      </c>
      <c r="K225" s="1" t="s">
        <v>14</v>
      </c>
    </row>
    <row r="226" spans="1:11" x14ac:dyDescent="0.25">
      <c r="A226" s="1" t="s">
        <v>54</v>
      </c>
      <c r="B226" s="1" t="str">
        <f>_xlfn.XLOOKUP(D226,[1]Data!$D:$D,[1]Data!$A:$A)</f>
        <v>Reprovado</v>
      </c>
      <c r="C226" s="1" t="s">
        <v>346</v>
      </c>
      <c r="D226" s="1">
        <v>90947</v>
      </c>
      <c r="E226" s="1">
        <f>_xlfn.XLOOKUP(D226,[1]Data!$D:$D,[1]Data!$D:$D)</f>
        <v>90947</v>
      </c>
      <c r="F226" s="1" t="s">
        <v>272</v>
      </c>
      <c r="G226" s="1" t="s">
        <v>372</v>
      </c>
      <c r="H226" s="1" t="s">
        <v>378</v>
      </c>
      <c r="I226" s="4">
        <v>12988.18</v>
      </c>
      <c r="J226" s="1" t="s">
        <v>129</v>
      </c>
      <c r="K226" s="1" t="s">
        <v>14</v>
      </c>
    </row>
    <row r="227" spans="1:11" x14ac:dyDescent="0.25">
      <c r="A227" s="1" t="s">
        <v>54</v>
      </c>
      <c r="B227" s="1" t="str">
        <f>_xlfn.XLOOKUP(D227,[1]Data!$D:$D,[1]Data!$A:$A)</f>
        <v>Reprovado</v>
      </c>
      <c r="C227" s="1" t="s">
        <v>347</v>
      </c>
      <c r="D227" s="1">
        <v>90945</v>
      </c>
      <c r="E227" s="1">
        <f>_xlfn.XLOOKUP(D227,[1]Data!$D:$D,[1]Data!$D:$D)</f>
        <v>90945</v>
      </c>
      <c r="F227" s="1" t="s">
        <v>272</v>
      </c>
      <c r="G227" s="1" t="s">
        <v>385</v>
      </c>
      <c r="H227" s="1">
        <v>163</v>
      </c>
      <c r="I227" s="4">
        <v>519141.39</v>
      </c>
      <c r="J227" s="1" t="s">
        <v>307</v>
      </c>
      <c r="K227" s="1" t="s">
        <v>14</v>
      </c>
    </row>
    <row r="228" spans="1:11" x14ac:dyDescent="0.25">
      <c r="A228" s="1" t="s">
        <v>54</v>
      </c>
      <c r="B228" s="1" t="str">
        <f>_xlfn.XLOOKUP(D228,[1]Data!$D:$D,[1]Data!$A:$A)</f>
        <v>Reprovado</v>
      </c>
      <c r="C228" s="1" t="s">
        <v>348</v>
      </c>
      <c r="D228" s="1">
        <v>90945</v>
      </c>
      <c r="E228" s="1">
        <f>_xlfn.XLOOKUP(D228,[1]Data!$D:$D,[1]Data!$D:$D)</f>
        <v>90945</v>
      </c>
      <c r="F228" s="1" t="s">
        <v>272</v>
      </c>
      <c r="G228" s="1" t="s">
        <v>385</v>
      </c>
      <c r="H228" s="1">
        <v>163</v>
      </c>
      <c r="I228" s="4">
        <v>2287295.9900000002</v>
      </c>
      <c r="J228" s="1" t="s">
        <v>307</v>
      </c>
      <c r="K228" s="1" t="s">
        <v>14</v>
      </c>
    </row>
    <row r="229" spans="1:11" x14ac:dyDescent="0.25">
      <c r="A229" s="1" t="s">
        <v>54</v>
      </c>
      <c r="B229" s="1" t="str">
        <f>_xlfn.XLOOKUP(D229,[1]Data!$D:$D,[1]Data!$A:$A)</f>
        <v>Reprovado</v>
      </c>
      <c r="C229" s="1" t="s">
        <v>349</v>
      </c>
      <c r="D229" s="1">
        <v>90943</v>
      </c>
      <c r="E229" s="1">
        <f>_xlfn.XLOOKUP(D229,[1]Data!$D:$D,[1]Data!$D:$D)</f>
        <v>90943</v>
      </c>
      <c r="F229" s="1" t="s">
        <v>245</v>
      </c>
      <c r="G229" s="1" t="s">
        <v>385</v>
      </c>
      <c r="H229" s="1">
        <v>160</v>
      </c>
      <c r="I229" s="4">
        <v>51959.6</v>
      </c>
      <c r="J229" s="1" t="s">
        <v>307</v>
      </c>
      <c r="K229" s="1" t="s">
        <v>14</v>
      </c>
    </row>
    <row r="230" spans="1:11" x14ac:dyDescent="0.25">
      <c r="A230" s="1" t="s">
        <v>54</v>
      </c>
      <c r="B230" s="1" t="str">
        <f>_xlfn.XLOOKUP(D230,[1]Data!$D:$D,[1]Data!$A:$A)</f>
        <v>Reprovado</v>
      </c>
      <c r="C230" s="1" t="s">
        <v>349</v>
      </c>
      <c r="D230" s="1">
        <v>90944</v>
      </c>
      <c r="E230" s="1">
        <f>_xlfn.XLOOKUP(D230,[1]Data!$D:$D,[1]Data!$D:$D)</f>
        <v>90944</v>
      </c>
      <c r="F230" s="1" t="s">
        <v>272</v>
      </c>
      <c r="G230" s="1" t="s">
        <v>372</v>
      </c>
      <c r="H230" s="1" t="s">
        <v>378</v>
      </c>
      <c r="I230" s="4">
        <v>3868.43</v>
      </c>
      <c r="J230" s="1" t="s">
        <v>129</v>
      </c>
      <c r="K230" s="1" t="s">
        <v>14</v>
      </c>
    </row>
    <row r="231" spans="1:11" x14ac:dyDescent="0.25">
      <c r="A231" s="1" t="s">
        <v>54</v>
      </c>
      <c r="B231" s="1" t="str">
        <f>_xlfn.XLOOKUP(D231,[1]Data!$D:$D,[1]Data!$A:$A)</f>
        <v>Reprovado</v>
      </c>
      <c r="C231" s="1" t="s">
        <v>350</v>
      </c>
      <c r="D231" s="1">
        <v>90942</v>
      </c>
      <c r="E231" s="1">
        <f>_xlfn.XLOOKUP(D231,[1]Data!$D:$D,[1]Data!$D:$D)</f>
        <v>90942</v>
      </c>
      <c r="F231" s="1" t="s">
        <v>245</v>
      </c>
      <c r="G231" s="1" t="s">
        <v>385</v>
      </c>
      <c r="H231" s="1">
        <v>161</v>
      </c>
      <c r="I231" s="4">
        <v>862284.15</v>
      </c>
      <c r="J231" s="1" t="s">
        <v>307</v>
      </c>
      <c r="K231" s="1" t="s">
        <v>14</v>
      </c>
    </row>
    <row r="232" spans="1:11" x14ac:dyDescent="0.25">
      <c r="A232" s="1" t="s">
        <v>61</v>
      </c>
      <c r="B232" s="1" t="str">
        <f>_xlfn.XLOOKUP(D232,[1]Data!$D:$D,[1]Data!$A:$A)</f>
        <v>Aprovado</v>
      </c>
      <c r="C232" s="1" t="s">
        <v>351</v>
      </c>
      <c r="D232" s="1">
        <v>90381</v>
      </c>
      <c r="E232" s="1">
        <f>_xlfn.XLOOKUP(D232,[1]Data!$D:$D,[1]Data!$D:$D)</f>
        <v>90381</v>
      </c>
      <c r="F232" s="1" t="s">
        <v>245</v>
      </c>
      <c r="G232" s="1" t="s">
        <v>384</v>
      </c>
      <c r="H232" s="1">
        <v>1309</v>
      </c>
      <c r="I232" s="4">
        <v>5920.95</v>
      </c>
      <c r="J232" s="1" t="s">
        <v>187</v>
      </c>
      <c r="K232" s="1" t="s">
        <v>173</v>
      </c>
    </row>
    <row r="233" spans="1:11" x14ac:dyDescent="0.25">
      <c r="A233" s="1" t="s">
        <v>61</v>
      </c>
      <c r="B233" s="1" t="str">
        <f>_xlfn.XLOOKUP(D233,[1]Data!$D:$D,[1]Data!$A:$A)</f>
        <v>Aprovado</v>
      </c>
      <c r="C233" s="1" t="s">
        <v>353</v>
      </c>
      <c r="D233" s="1">
        <v>90348</v>
      </c>
      <c r="E233" s="1">
        <f>_xlfn.XLOOKUP(D233,[1]Data!$D:$D,[1]Data!$D:$D)</f>
        <v>90348</v>
      </c>
      <c r="F233" s="1" t="s">
        <v>245</v>
      </c>
      <c r="G233" s="1" t="s">
        <v>384</v>
      </c>
      <c r="H233" s="1">
        <v>20262415</v>
      </c>
      <c r="I233" s="4">
        <v>75000</v>
      </c>
      <c r="J233" s="1" t="s">
        <v>187</v>
      </c>
      <c r="K233" s="1" t="s">
        <v>354</v>
      </c>
    </row>
    <row r="234" spans="1:11" x14ac:dyDescent="0.25">
      <c r="A234" s="1" t="s">
        <v>61</v>
      </c>
      <c r="B234" s="1" t="str">
        <f>_xlfn.XLOOKUP(D234,[1]Data!$D:$D,[1]Data!$A:$A)</f>
        <v>Aprovado</v>
      </c>
      <c r="C234" s="1" t="s">
        <v>355</v>
      </c>
      <c r="D234" s="1">
        <v>90338</v>
      </c>
      <c r="E234" s="1">
        <f>_xlfn.XLOOKUP(D234,[1]Data!$D:$D,[1]Data!$D:$D)</f>
        <v>90338</v>
      </c>
      <c r="F234" s="1" t="s">
        <v>245</v>
      </c>
      <c r="G234" s="1" t="s">
        <v>384</v>
      </c>
      <c r="H234" s="1">
        <v>8932</v>
      </c>
      <c r="I234" s="4">
        <v>73200</v>
      </c>
      <c r="J234" s="1" t="s">
        <v>187</v>
      </c>
      <c r="K234" s="1" t="s">
        <v>210</v>
      </c>
    </row>
    <row r="235" spans="1:11" x14ac:dyDescent="0.25">
      <c r="A235" s="1" t="s">
        <v>61</v>
      </c>
      <c r="B235" s="1" t="str">
        <f>_xlfn.XLOOKUP(D235,[1]Data!$D:$D,[1]Data!$A:$A)</f>
        <v>Aprovado</v>
      </c>
      <c r="C235" s="1" t="s">
        <v>356</v>
      </c>
      <c r="D235" s="1">
        <v>90337</v>
      </c>
      <c r="E235" s="1">
        <f>_xlfn.XLOOKUP(D235,[1]Data!$D:$D,[1]Data!$D:$D)</f>
        <v>90337</v>
      </c>
      <c r="F235" s="1" t="s">
        <v>245</v>
      </c>
      <c r="G235" s="1" t="s">
        <v>384</v>
      </c>
      <c r="H235" s="1">
        <v>1322</v>
      </c>
      <c r="I235" s="4">
        <v>90000</v>
      </c>
      <c r="J235" s="1" t="s">
        <v>187</v>
      </c>
      <c r="K235" s="1" t="s">
        <v>163</v>
      </c>
    </row>
    <row r="236" spans="1:11" x14ac:dyDescent="0.25">
      <c r="A236" s="1" t="s">
        <v>54</v>
      </c>
      <c r="B236" s="1" t="str">
        <f>_xlfn.XLOOKUP(D236,[1]Data!$D:$D,[1]Data!$A:$A)</f>
        <v>Reprovado</v>
      </c>
      <c r="C236" s="1" t="s">
        <v>357</v>
      </c>
      <c r="D236" s="1">
        <v>90336</v>
      </c>
      <c r="E236" s="1">
        <f>_xlfn.XLOOKUP(D236,[1]Data!$D:$D,[1]Data!$D:$D)</f>
        <v>90336</v>
      </c>
      <c r="F236" s="1" t="s">
        <v>137</v>
      </c>
      <c r="G236" s="1" t="s">
        <v>384</v>
      </c>
      <c r="H236" s="1">
        <v>20262410</v>
      </c>
      <c r="I236" s="4">
        <v>75000</v>
      </c>
      <c r="J236" s="1" t="s">
        <v>187</v>
      </c>
      <c r="K236" s="1" t="s">
        <v>354</v>
      </c>
    </row>
    <row r="237" spans="1:11" x14ac:dyDescent="0.25">
      <c r="A237" s="1" t="s">
        <v>61</v>
      </c>
      <c r="B237" s="1" t="str">
        <f>_xlfn.XLOOKUP(D237,[1]Data!$D:$D,[1]Data!$A:$A)</f>
        <v>Aprovado</v>
      </c>
      <c r="C237" s="1" t="s">
        <v>358</v>
      </c>
      <c r="D237" s="1">
        <v>90335</v>
      </c>
      <c r="E237" s="1">
        <f>_xlfn.XLOOKUP(D237,[1]Data!$D:$D,[1]Data!$D:$D)</f>
        <v>90335</v>
      </c>
      <c r="F237" s="1" t="s">
        <v>245</v>
      </c>
      <c r="G237" s="1" t="s">
        <v>384</v>
      </c>
      <c r="H237" s="1">
        <v>653</v>
      </c>
      <c r="I237" s="4">
        <v>113731.45</v>
      </c>
      <c r="J237" s="1" t="s">
        <v>232</v>
      </c>
      <c r="K237" s="1" t="s">
        <v>212</v>
      </c>
    </row>
    <row r="238" spans="1:11" x14ac:dyDescent="0.25">
      <c r="A238" s="1" t="s">
        <v>61</v>
      </c>
      <c r="B238" s="1" t="str">
        <f>_xlfn.XLOOKUP(D238,[1]Data!$D:$D,[1]Data!$A:$A)</f>
        <v>Aprovado</v>
      </c>
      <c r="C238" s="1" t="s">
        <v>359</v>
      </c>
      <c r="D238" s="1">
        <v>90333</v>
      </c>
      <c r="E238" s="1">
        <f>_xlfn.XLOOKUP(D238,[1]Data!$D:$D,[1]Data!$D:$D)</f>
        <v>90333</v>
      </c>
      <c r="F238" s="1" t="s">
        <v>245</v>
      </c>
      <c r="G238" s="1" t="s">
        <v>384</v>
      </c>
      <c r="H238" s="1">
        <v>2145</v>
      </c>
      <c r="I238" s="4">
        <v>13500</v>
      </c>
      <c r="J238" s="1" t="s">
        <v>187</v>
      </c>
      <c r="K238" s="1" t="s">
        <v>208</v>
      </c>
    </row>
    <row r="239" spans="1:11" x14ac:dyDescent="0.25">
      <c r="A239" s="1" t="s">
        <v>61</v>
      </c>
      <c r="B239" s="1" t="str">
        <f>_xlfn.XLOOKUP(D239,[1]Data!$D:$D,[1]Data!$A:$A)</f>
        <v>Aprovado</v>
      </c>
      <c r="C239" s="1" t="s">
        <v>360</v>
      </c>
      <c r="D239" s="1">
        <v>90332</v>
      </c>
      <c r="E239" s="1">
        <f>_xlfn.XLOOKUP(D239,[1]Data!$D:$D,[1]Data!$D:$D)</f>
        <v>90332</v>
      </c>
      <c r="F239" s="1" t="s">
        <v>245</v>
      </c>
      <c r="G239" s="1" t="s">
        <v>384</v>
      </c>
      <c r="H239" s="1">
        <v>830</v>
      </c>
      <c r="I239" s="4">
        <v>43500</v>
      </c>
      <c r="J239" s="1" t="s">
        <v>187</v>
      </c>
      <c r="K239" s="1" t="s">
        <v>196</v>
      </c>
    </row>
    <row r="240" spans="1:11" x14ac:dyDescent="0.25">
      <c r="A240" s="1" t="s">
        <v>61</v>
      </c>
      <c r="B240" s="1" t="str">
        <f>_xlfn.XLOOKUP(D240,[1]Data!$D:$D,[1]Data!$A:$A)</f>
        <v>Aprovado</v>
      </c>
      <c r="C240" s="1" t="s">
        <v>361</v>
      </c>
      <c r="D240" s="1">
        <v>90331</v>
      </c>
      <c r="E240" s="1">
        <f>_xlfn.XLOOKUP(D240,[1]Data!$D:$D,[1]Data!$D:$D)</f>
        <v>90331</v>
      </c>
      <c r="F240" s="1" t="s">
        <v>245</v>
      </c>
      <c r="G240" s="1" t="s">
        <v>384</v>
      </c>
      <c r="H240" s="1">
        <v>474</v>
      </c>
      <c r="I240" s="4">
        <v>550000</v>
      </c>
      <c r="J240" s="1" t="s">
        <v>232</v>
      </c>
      <c r="K240" s="1" t="s">
        <v>148</v>
      </c>
    </row>
    <row r="241" spans="1:11" x14ac:dyDescent="0.25">
      <c r="A241" s="1" t="s">
        <v>61</v>
      </c>
      <c r="B241" s="1" t="str">
        <f>_xlfn.XLOOKUP(D241,[1]Data!$D:$D,[1]Data!$A:$A)</f>
        <v>Aprovado</v>
      </c>
      <c r="C241" s="1" t="s">
        <v>362</v>
      </c>
      <c r="D241" s="1">
        <v>90328</v>
      </c>
      <c r="E241" s="1">
        <f>_xlfn.XLOOKUP(D241,[1]Data!$D:$D,[1]Data!$D:$D)</f>
        <v>90328</v>
      </c>
      <c r="F241" s="1" t="s">
        <v>245</v>
      </c>
      <c r="G241" s="1" t="s">
        <v>374</v>
      </c>
      <c r="H241" s="1">
        <v>2</v>
      </c>
      <c r="I241" s="4">
        <v>6713272.4400000004</v>
      </c>
      <c r="J241" s="1" t="s">
        <v>352</v>
      </c>
      <c r="K241" s="1" t="s">
        <v>14</v>
      </c>
    </row>
    <row r="242" spans="1:11" x14ac:dyDescent="0.25">
      <c r="A242" s="1" t="s">
        <v>54</v>
      </c>
      <c r="B242" s="1" t="str">
        <f>_xlfn.XLOOKUP(D242,[1]Data!$D:$D,[1]Data!$A:$A)</f>
        <v>Reprovado</v>
      </c>
      <c r="C242" s="1" t="s">
        <v>363</v>
      </c>
      <c r="D242" s="1">
        <v>90329</v>
      </c>
      <c r="E242" s="1">
        <f>_xlfn.XLOOKUP(D242,[1]Data!$D:$D,[1]Data!$D:$D)</f>
        <v>90329</v>
      </c>
      <c r="F242" s="1" t="s">
        <v>272</v>
      </c>
      <c r="G242" s="1" t="s">
        <v>384</v>
      </c>
      <c r="H242" s="1">
        <v>37</v>
      </c>
      <c r="I242" s="4">
        <v>9898</v>
      </c>
      <c r="J242" s="1" t="s">
        <v>232</v>
      </c>
      <c r="K242" s="1" t="s">
        <v>206</v>
      </c>
    </row>
    <row r="243" spans="1:11" x14ac:dyDescent="0.25">
      <c r="A243" s="1" t="s">
        <v>61</v>
      </c>
      <c r="B243" s="1" t="str">
        <f>_xlfn.XLOOKUP(D243,[1]Data!$D:$D,[1]Data!$A:$A)</f>
        <v>Aprovado</v>
      </c>
      <c r="C243" s="1" t="s">
        <v>364</v>
      </c>
      <c r="D243" s="1">
        <v>90185</v>
      </c>
      <c r="E243" s="1">
        <f>_xlfn.XLOOKUP(D243,[1]Data!$D:$D,[1]Data!$D:$D)</f>
        <v>90185</v>
      </c>
      <c r="F243" s="1" t="s">
        <v>245</v>
      </c>
      <c r="G243" s="1" t="s">
        <v>374</v>
      </c>
      <c r="H243" s="1" t="s">
        <v>386</v>
      </c>
      <c r="I243" s="4">
        <v>5000000</v>
      </c>
      <c r="J243" s="1" t="s">
        <v>352</v>
      </c>
      <c r="K243" s="1" t="s">
        <v>14</v>
      </c>
    </row>
    <row r="244" spans="1:11" x14ac:dyDescent="0.25">
      <c r="A244" s="1" t="s">
        <v>61</v>
      </c>
      <c r="B244" s="1" t="str">
        <f>_xlfn.XLOOKUP(D244,[1]Data!$D:$D,[1]Data!$A:$A)</f>
        <v>Aprovado</v>
      </c>
      <c r="C244" s="1" t="s">
        <v>365</v>
      </c>
      <c r="D244" s="1">
        <v>89426</v>
      </c>
      <c r="E244" s="1">
        <f>_xlfn.XLOOKUP(D244,[1]Data!$D:$D,[1]Data!$D:$D)</f>
        <v>89426</v>
      </c>
      <c r="F244" s="1" t="s">
        <v>341</v>
      </c>
      <c r="G244" s="1" t="s">
        <v>374</v>
      </c>
      <c r="H244" s="1">
        <v>1</v>
      </c>
      <c r="I244" s="4">
        <v>3128735.56</v>
      </c>
      <c r="J244" s="1" t="s">
        <v>366</v>
      </c>
      <c r="K244" s="1" t="s">
        <v>154</v>
      </c>
    </row>
  </sheetData>
  <autoFilter ref="A1:K244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C3CD60E7-D9C9-4F54-8651-4FC47EE2B3E0}"/>
</file>

<file path=customXml/itemProps2.xml><?xml version="1.0" encoding="utf-8"?>
<ds:datastoreItem xmlns:ds="http://schemas.openxmlformats.org/officeDocument/2006/customXml" ds:itemID="{49CED78A-7D0D-4D4C-ACE7-905D8CFD3E15}"/>
</file>

<file path=customXml/itemProps3.xml><?xml version="1.0" encoding="utf-8"?>
<ds:datastoreItem xmlns:ds="http://schemas.openxmlformats.org/officeDocument/2006/customXml" ds:itemID="{764D26A5-213A-4FF0-AA9C-354CC350F6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2026-05-12T17:39:12Z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