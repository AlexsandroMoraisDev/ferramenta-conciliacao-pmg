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/>
  <xr:revisionPtr revIDLastSave="5" documentId="13_ncr:1_{6B468767-A82A-42A8-9D6B-3A56F2FC7628}" xr6:coauthVersionLast="47" xr6:coauthVersionMax="47" xr10:uidLastSave="{EFC78B99-EDF9-4680-900D-1A723705CEF3}"/>
  <bookViews>
    <workbookView xWindow="-120" yWindow="-120" windowWidth="20730" windowHeight="1116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Sheet1!$A$1:$K$97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0" i="1" l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2" i="1"/>
  <c r="E3" i="1"/>
  <c r="E4" i="1"/>
  <c r="E5" i="1"/>
  <c r="E6" i="1"/>
  <c r="E7" i="1"/>
  <c r="E49" i="1"/>
  <c r="E50" i="1"/>
  <c r="E8" i="1"/>
  <c r="E9" i="1"/>
  <c r="E51" i="1"/>
  <c r="E52" i="1"/>
  <c r="E10" i="1"/>
  <c r="E11" i="1"/>
  <c r="E53" i="1"/>
  <c r="E12" i="1"/>
  <c r="E13" i="1"/>
  <c r="E14" i="1"/>
  <c r="E15" i="1"/>
  <c r="E16" i="1"/>
  <c r="E17" i="1"/>
  <c r="E18" i="1"/>
  <c r="E19" i="1"/>
  <c r="E20" i="1"/>
  <c r="E21" i="1"/>
  <c r="E22" i="1"/>
  <c r="E23" i="1"/>
  <c r="E54" i="1"/>
  <c r="E24" i="1"/>
  <c r="E25" i="1"/>
  <c r="E27" i="1"/>
  <c r="E28" i="1"/>
  <c r="E29" i="1"/>
  <c r="E30" i="1"/>
  <c r="E56" i="1"/>
  <c r="E57" i="1"/>
  <c r="E58" i="1"/>
  <c r="E59" i="1"/>
  <c r="E32" i="1"/>
  <c r="E34" i="1"/>
  <c r="E35" i="1"/>
  <c r="E36" i="1"/>
  <c r="E37" i="1"/>
  <c r="E38" i="1"/>
  <c r="E39" i="1"/>
  <c r="E26" i="1"/>
  <c r="E55" i="1"/>
  <c r="E33" i="1"/>
  <c r="E40" i="1"/>
  <c r="E41" i="1"/>
  <c r="E42" i="1"/>
  <c r="E43" i="1"/>
  <c r="E44" i="1"/>
  <c r="E45" i="1"/>
  <c r="E31" i="1"/>
</calcChain>
</file>

<file path=xl/sharedStrings.xml><?xml version="1.0" encoding="utf-8"?>
<sst xmlns="http://schemas.openxmlformats.org/spreadsheetml/2006/main" count="571" uniqueCount="178">
  <si>
    <t>Data cadastro</t>
  </si>
  <si>
    <t>Data alteração</t>
  </si>
  <si>
    <t>Título</t>
  </si>
  <si>
    <t>Cód empresa</t>
  </si>
  <si>
    <t>Nº documento</t>
  </si>
  <si>
    <t>Data emissão</t>
  </si>
  <si>
    <t>Credor</t>
  </si>
  <si>
    <t>Valor original</t>
  </si>
  <si>
    <t>Valor líquido</t>
  </si>
  <si>
    <t>20/04/2026</t>
  </si>
  <si>
    <t>14094</t>
  </si>
  <si>
    <t>17/04/2026</t>
  </si>
  <si>
    <t>QUALYSAN LOCACAO DE BENS MOVEIS EIRELI</t>
  </si>
  <si>
    <t>582</t>
  </si>
  <si>
    <t>LESSA EVENTOS LTDA</t>
  </si>
  <si>
    <t>18/04/2026</t>
  </si>
  <si>
    <t>2739</t>
  </si>
  <si>
    <t>SOLOBAHIA ENGENHARIA E TECNOLOGIA LTDA</t>
  </si>
  <si>
    <t>28947</t>
  </si>
  <si>
    <t>14/04/2026</t>
  </si>
  <si>
    <t>FABRICK - FABRICACAO DE PRE MOLDADOS S.A.</t>
  </si>
  <si>
    <t>15259</t>
  </si>
  <si>
    <t>10/04/2026</t>
  </si>
  <si>
    <t>CABOS E LAMPADAS COMERCIO DE MATERIAS ELETRICOS DE ALTA E BAIXA TENSAO EIRELI</t>
  </si>
  <si>
    <t>488</t>
  </si>
  <si>
    <t>VENDRAMINI ENGENHARIA LTDA</t>
  </si>
  <si>
    <t>01</t>
  </si>
  <si>
    <t>KOPRON DO BRASIL COMERCIO E INDUSTRIA DE EQUIPAMENTOS DE LOGISTICA LTDA.</t>
  </si>
  <si>
    <t>2951</t>
  </si>
  <si>
    <t>SOTEC FABRICACAO DE ESTRUTURAS METALICAS E SERVICOS LTDA</t>
  </si>
  <si>
    <t>848</t>
  </si>
  <si>
    <t>16/04/2026</t>
  </si>
  <si>
    <t>DO VAL ENGENHARIA CONSULTIVA SOCIEDADE SIMPLES</t>
  </si>
  <si>
    <t>567</t>
  </si>
  <si>
    <t>13/04/2026</t>
  </si>
  <si>
    <t>20365</t>
  </si>
  <si>
    <t>20366</t>
  </si>
  <si>
    <t>3004</t>
  </si>
  <si>
    <t>LEONARDO SANTOS GONCALVES PRODUCAO E SOLUCOES EM VIDEOS</t>
  </si>
  <si>
    <t>63</t>
  </si>
  <si>
    <t>AQUAGEO PROJETOS E PERFURACOES LTDA</t>
  </si>
  <si>
    <t>FERROPRONTO LTDA</t>
  </si>
  <si>
    <t>57</t>
  </si>
  <si>
    <t>KAIZ ENGENHARIA LTDA</t>
  </si>
  <si>
    <t>2164</t>
  </si>
  <si>
    <t>NUCLEORA PLANEJAMENTO, ASSESSORIA E DESENVOLVIMENTO COMERCIAL LTDA</t>
  </si>
  <si>
    <t>9003</t>
  </si>
  <si>
    <t>LPE ENGENHARIA E CONSULTORIA LTDA</t>
  </si>
  <si>
    <t>666</t>
  </si>
  <si>
    <t>ARQUITETURA JAPI PROJETOS E CONSULTORIA EIRELI</t>
  </si>
  <si>
    <t>2729</t>
  </si>
  <si>
    <t>15/04/2026</t>
  </si>
  <si>
    <t>754</t>
  </si>
  <si>
    <t xml:space="preserve">GEO2 ENGENHARIA LTDA </t>
  </si>
  <si>
    <t>577</t>
  </si>
  <si>
    <t>6200</t>
  </si>
  <si>
    <t>SOFTCOMP COMERCIO SERVICOS TELECOMUNICACOES E INFORMATICA EIRELI</t>
  </si>
  <si>
    <t>6202</t>
  </si>
  <si>
    <t>152</t>
  </si>
  <si>
    <t>SPM ENGENHARIA SOCIEDADE SIMPLES LTDA.</t>
  </si>
  <si>
    <t>08/04/2026</t>
  </si>
  <si>
    <t>BOME EMPREENDIMENTOS E SERVICOS LTDA</t>
  </si>
  <si>
    <t>953</t>
  </si>
  <si>
    <t>BIOFUTURO ENGENHARIA E SOLUCOES AMBIENTAIS EIRELI</t>
  </si>
  <si>
    <t>001</t>
  </si>
  <si>
    <t>VOC ENGENHARIA E CONSTRUCAO LTDA</t>
  </si>
  <si>
    <t>57863</t>
  </si>
  <si>
    <t>AMARAL GERENCIAMENTO DE RESIDUOS LTDA.</t>
  </si>
  <si>
    <t>14080</t>
  </si>
  <si>
    <t>14081</t>
  </si>
  <si>
    <t>14079</t>
  </si>
  <si>
    <t>14078</t>
  </si>
  <si>
    <t>1466</t>
  </si>
  <si>
    <t>01/04/2026</t>
  </si>
  <si>
    <t>ALBERTO JOSE DOS SANTOS</t>
  </si>
  <si>
    <t>1442</t>
  </si>
  <si>
    <t>25/03/2026</t>
  </si>
  <si>
    <t>TERRAM ENGENHARIA DE INFRAESTRUTURA LTDA</t>
  </si>
  <si>
    <t>376910</t>
  </si>
  <si>
    <t>09/04/2026</t>
  </si>
  <si>
    <t>ATACADAO DO PAPEL LTDA</t>
  </si>
  <si>
    <t>WEG EQUIPAMENTOS ELETRICOS S/A</t>
  </si>
  <si>
    <t>ARCELORMITTAL BRASIL S.A.</t>
  </si>
  <si>
    <t xml:space="preserve">ARTEMP ENGENHARIA DE INSTALAÇÕES LTDA </t>
  </si>
  <si>
    <t>7264</t>
  </si>
  <si>
    <t>ROTULA METALURGICA LTDA</t>
  </si>
  <si>
    <t>T &amp; A CONSTRUCAO PRE-FABRICADA S/A</t>
  </si>
  <si>
    <t>568</t>
  </si>
  <si>
    <t>4807</t>
  </si>
  <si>
    <t>GERACAO E ENERGIA SERVICOS E COMERCIO LTDA</t>
  </si>
  <si>
    <t>285034</t>
  </si>
  <si>
    <t>23/03/2026</t>
  </si>
  <si>
    <t>BAHIATECH MATERIAIS ELETRICOS LTDA</t>
  </si>
  <si>
    <t>1947471</t>
  </si>
  <si>
    <t>07/04/2026</t>
  </si>
  <si>
    <t>FORTLEV INDUSTRIA E COMERCIO DE PLASTICOS LTDA</t>
  </si>
  <si>
    <t>2445</t>
  </si>
  <si>
    <t>ANTONIO CARDOSO MARTINS</t>
  </si>
  <si>
    <t>3026</t>
  </si>
  <si>
    <t>06/04/2026</t>
  </si>
  <si>
    <t>MARTINS E SILVA COMERCIO DE MERCADORIAS LTDA</t>
  </si>
  <si>
    <t>3266</t>
  </si>
  <si>
    <t>ADUANA COMERCIO DE GEOSSINTETICOS LTDA</t>
  </si>
  <si>
    <t>4852</t>
  </si>
  <si>
    <t>LIGUE COMERCIO DE GEOSSINTETICOS LTDA</t>
  </si>
  <si>
    <t>728</t>
  </si>
  <si>
    <t>SOLUCAO TOLDOS EIRELI</t>
  </si>
  <si>
    <t>5975</t>
  </si>
  <si>
    <t>31/03/2026</t>
  </si>
  <si>
    <t>MIX MADEIREIRA LTDA</t>
  </si>
  <si>
    <t>368600</t>
  </si>
  <si>
    <t>FORTPEL COMERCIO DE DESCARTAVEIS LTDA</t>
  </si>
  <si>
    <t>5045</t>
  </si>
  <si>
    <t>LITORAL TINTAS COMERCIO MATERIAIS DE CONSTRUCAO EIRELI</t>
  </si>
  <si>
    <t>15180</t>
  </si>
  <si>
    <t>30/03/2026</t>
  </si>
  <si>
    <t>345943</t>
  </si>
  <si>
    <t>02/04/2026</t>
  </si>
  <si>
    <t>PEDREIRAS CARANGI LTDA</t>
  </si>
  <si>
    <t>07</t>
  </si>
  <si>
    <t>THYSSENKRUPP ELEVADORES SA</t>
  </si>
  <si>
    <t>06</t>
  </si>
  <si>
    <t>05</t>
  </si>
  <si>
    <t>04</t>
  </si>
  <si>
    <t>03</t>
  </si>
  <si>
    <t>02</t>
  </si>
  <si>
    <t>2995</t>
  </si>
  <si>
    <t>254322</t>
  </si>
  <si>
    <t>TRANSPORTADORA DE DIESEL CAVALO MARINHO LTDA</t>
  </si>
  <si>
    <t>254321</t>
  </si>
  <si>
    <t>254319</t>
  </si>
  <si>
    <t>27/03/2026</t>
  </si>
  <si>
    <t>1441</t>
  </si>
  <si>
    <t>26/03/2026</t>
  </si>
  <si>
    <t>20261156</t>
  </si>
  <si>
    <t>MAGALHAES JUNIOR LOCACAO E SERVICOS LTDA</t>
  </si>
  <si>
    <t>175</t>
  </si>
  <si>
    <t>QPC ENGENHARIA LTDA</t>
  </si>
  <si>
    <t>174</t>
  </si>
  <si>
    <t>2026376</t>
  </si>
  <si>
    <t xml:space="preserve">LCL GEOTECNIA E SONDAGEM LTDA  </t>
  </si>
  <si>
    <t>170</t>
  </si>
  <si>
    <t>169</t>
  </si>
  <si>
    <t>168</t>
  </si>
  <si>
    <t>167</t>
  </si>
  <si>
    <t>166</t>
  </si>
  <si>
    <t>165</t>
  </si>
  <si>
    <t>164</t>
  </si>
  <si>
    <t>47</t>
  </si>
  <si>
    <t>31</t>
  </si>
  <si>
    <t>24/03/2026</t>
  </si>
  <si>
    <t>HIDRO LOGICA CONSULTORIA E TREINAMENTO LTDA</t>
  </si>
  <si>
    <t>6653</t>
  </si>
  <si>
    <t>A J S SOUZA SERVICOS GRAFICOS</t>
  </si>
  <si>
    <t>13/03/2026</t>
  </si>
  <si>
    <t>1309</t>
  </si>
  <si>
    <t>REV1 PROJETOS INTEGRADOS LTDA</t>
  </si>
  <si>
    <t>20262415</t>
  </si>
  <si>
    <t>12/03/2026</t>
  </si>
  <si>
    <t>GEOTECHNIQUE CONSULTORIA E ENGENHARIA LTDA</t>
  </si>
  <si>
    <t>8932</t>
  </si>
  <si>
    <t>1322</t>
  </si>
  <si>
    <t>DPE ARQUITETURA E ENGENHARIA S/S</t>
  </si>
  <si>
    <t>653</t>
  </si>
  <si>
    <t>2145</t>
  </si>
  <si>
    <t>11/03/2026</t>
  </si>
  <si>
    <t>830</t>
  </si>
  <si>
    <t>474</t>
  </si>
  <si>
    <t>18/03/2026</t>
  </si>
  <si>
    <t>2026.01</t>
  </si>
  <si>
    <t>10/03/2026</t>
  </si>
  <si>
    <t>02/03/2026</t>
  </si>
  <si>
    <t>Status</t>
  </si>
  <si>
    <t>Aprovado</t>
  </si>
  <si>
    <t>Em Aprovação</t>
  </si>
  <si>
    <t>APROVADO</t>
  </si>
  <si>
    <t>CROWE</t>
  </si>
  <si>
    <t>EMERSON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</si>
</sst>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44" fontId="0" fillId="2" borderId="0" xfId="0" applyNumberFormat="1" applyFill="1"/>
    <xf numFmtId="0" fontId="0" fillId="3" borderId="0" xfId="0" applyFill="1"/>
    <xf numFmtId="44" fontId="0" fillId="3" borderId="0" xfId="0" applyNumberFormat="1" applyFill="1"/>
    <xf numFmtId="0" fontId="0" fillId="4" borderId="0" xfId="0" applyFill="1"/>
    <xf numFmtId="44" fontId="0" fillId="4" borderId="0" xfId="0" applyNumberFormat="1" applyFill="1"/>
    <xf numFmtId="0" fontId="1" fillId="0" borderId="0" xfId="0" applyFont="1"/>
    <xf numFmtId="0" fontId="2" fillId="5" borderId="0" xfId="0" applyFont="1" applyFill="1" applyAlignment="1">
      <alignment horizontal="left" vertical="center"/>
    </xf>
    <xf numFmtId="0" fontId="2" fillId="5" borderId="0" xfId="0" applyFont="1" applyFill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abrgerenciamento.sharepoint.com/sites/LYO004SIMOESFILHOG200/Documentos%20Compartilhados/03.%20CUSTOS/3.0%20MEDI&#199;&#213;ES%20APROVADAS%20E%20NF'S/1.%20ROMANEIOS/0.APROVADOS%20NO%20ZEPP/ZEPP_Anal&#237;tico_Processos_Aprova&#231;&#245;es%20-%20TITULOS%20-%2016-04.xlsx" TargetMode="External"/><Relationship Id="rId2" Type="http://schemas.microsoft.com/office/2019/04/relationships/externalLinkLongPath" Target="ZEPP_Anal&#237;tico_Processos_Aprova&#231;&#245;es%20-%20TITULOS%20-%2016-04.xlsx?FC862446" TargetMode="External"/><Relationship Id="rId1" Type="http://schemas.openxmlformats.org/officeDocument/2006/relationships/externalLinkPath" Target="file:///\\FC862446\ZEPP_Anal&#237;tico_Processos_Aprova&#231;&#245;es%20-%20TITULOS%20-%2016-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ATUALIZADO 16-04"/>
    </sheetNames>
    <sheetDataSet>
      <sheetData sheetId="0">
        <row r="1">
          <cell r="B1" t="str">
            <v>Código Origem</v>
          </cell>
        </row>
        <row r="2">
          <cell r="B2" t="str">
            <v/>
          </cell>
        </row>
        <row r="3">
          <cell r="B3">
            <v>92477</v>
          </cell>
        </row>
        <row r="4">
          <cell r="B4">
            <v>92409</v>
          </cell>
        </row>
        <row r="5">
          <cell r="B5">
            <v>92407</v>
          </cell>
        </row>
        <row r="6">
          <cell r="B6">
            <v>92404</v>
          </cell>
        </row>
        <row r="7">
          <cell r="B7">
            <v>92402</v>
          </cell>
        </row>
        <row r="8">
          <cell r="B8">
            <v>92400</v>
          </cell>
        </row>
        <row r="9">
          <cell r="B9">
            <v>92059</v>
          </cell>
        </row>
        <row r="10">
          <cell r="B10">
            <v>92031</v>
          </cell>
        </row>
        <row r="11">
          <cell r="B11">
            <v>92019</v>
          </cell>
        </row>
        <row r="12">
          <cell r="B12">
            <v>92011</v>
          </cell>
        </row>
        <row r="13">
          <cell r="B13">
            <v>92009</v>
          </cell>
        </row>
        <row r="14">
          <cell r="B14">
            <v>91949</v>
          </cell>
        </row>
        <row r="15">
          <cell r="B15">
            <v>91938</v>
          </cell>
        </row>
        <row r="16">
          <cell r="B16">
            <v>91931</v>
          </cell>
        </row>
        <row r="17">
          <cell r="B17">
            <v>91908</v>
          </cell>
        </row>
        <row r="18">
          <cell r="B18">
            <v>91905</v>
          </cell>
        </row>
        <row r="19">
          <cell r="B19">
            <v>91903</v>
          </cell>
        </row>
        <row r="20">
          <cell r="B20">
            <v>91535</v>
          </cell>
        </row>
        <row r="21">
          <cell r="B21">
            <v>91399</v>
          </cell>
        </row>
        <row r="22">
          <cell r="B22">
            <v>91371</v>
          </cell>
        </row>
        <row r="23">
          <cell r="B23">
            <v>91326</v>
          </cell>
        </row>
        <row r="24">
          <cell r="B24">
            <v>91297</v>
          </cell>
        </row>
        <row r="25">
          <cell r="B25">
            <v>91289</v>
          </cell>
        </row>
        <row r="26">
          <cell r="B26">
            <v>91286</v>
          </cell>
        </row>
        <row r="27">
          <cell r="B27">
            <v>91268</v>
          </cell>
        </row>
        <row r="28">
          <cell r="B28">
            <v>91165</v>
          </cell>
        </row>
        <row r="29">
          <cell r="B29">
            <v>91079</v>
          </cell>
        </row>
        <row r="30">
          <cell r="B30">
            <v>90381</v>
          </cell>
        </row>
        <row r="31">
          <cell r="B31">
            <v>90348</v>
          </cell>
        </row>
        <row r="32">
          <cell r="B32">
            <v>90338</v>
          </cell>
        </row>
        <row r="33">
          <cell r="B33">
            <v>90337</v>
          </cell>
        </row>
        <row r="34">
          <cell r="B34">
            <v>90335</v>
          </cell>
        </row>
        <row r="35">
          <cell r="B35">
            <v>90333</v>
          </cell>
        </row>
        <row r="36">
          <cell r="B36">
            <v>90332</v>
          </cell>
        </row>
        <row r="37">
          <cell r="B37">
            <v>90331</v>
          </cell>
        </row>
        <row r="38">
          <cell r="B38">
            <v>90328</v>
          </cell>
        </row>
        <row r="39">
          <cell r="B39">
            <v>90185</v>
          </cell>
        </row>
        <row r="40">
          <cell r="B40">
            <v>89426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"/>
  <sheetViews>
    <sheetView showGridLines="0" tabSelected="1" workbookViewId="0">
      <selection activeCell="G53" sqref="G53"/>
    </sheetView>
  </sheetViews>
  <sheetFormatPr defaultRowHeight="15" x14ac:dyDescent="0.25"/>
  <cols>
    <col min="1" max="1" width="13.5703125" bestFit="1" customWidth="1"/>
    <col min="2" max="2" width="14.7109375" bestFit="1" customWidth="1"/>
    <col min="3" max="3" width="15.42578125" bestFit="1" customWidth="1"/>
    <col min="4" max="4" width="13.28515625" customWidth="1"/>
    <col min="5" max="5" width="13.28515625" hidden="1" customWidth="1"/>
    <col min="6" max="8" width="13.28515625" customWidth="1"/>
    <col min="9" max="9" width="80.85546875" bestFit="1" customWidth="1"/>
    <col min="10" max="11" width="16.85546875" bestFit="1" customWidth="1"/>
  </cols>
  <sheetData>
    <row r="1" spans="1:11" x14ac:dyDescent="0.25">
      <c r="A1" s="3"/>
      <c r="B1" s="7" t="s">
        <v>177</v>
      </c>
    </row>
    <row r="2" spans="1:11" x14ac:dyDescent="0.25">
      <c r="A2" s="5" t="s">
        <v>174</v>
      </c>
      <c r="B2" s="5" t="s">
        <v>9</v>
      </c>
      <c r="C2" s="5" t="s">
        <v>9</v>
      </c>
      <c r="D2" s="5">
        <v>93195</v>
      </c>
      <c r="E2" t="e">
        <f>_xlfn.XLOOKUP(D2,'[1]ATUALIZADO 16-04'!$B:$B,'[1]ATUALIZADO 16-04'!$B:$B)</f>
        <v>#N/A</v>
      </c>
      <c r="F2" s="5">
        <v>40</v>
      </c>
      <c r="G2" s="5" t="s">
        <v>10</v>
      </c>
      <c r="H2" s="5" t="s">
        <v>11</v>
      </c>
      <c r="I2" s="5" t="s">
        <v>12</v>
      </c>
      <c r="J2" s="6">
        <v>51180</v>
      </c>
      <c r="K2" s="6">
        <v>44014.8</v>
      </c>
    </row>
    <row r="3" spans="1:11" x14ac:dyDescent="0.25">
      <c r="A3" s="5" t="s">
        <v>174</v>
      </c>
      <c r="B3" s="5" t="s">
        <v>9</v>
      </c>
      <c r="C3" s="5" t="s">
        <v>9</v>
      </c>
      <c r="D3" s="5">
        <v>93188</v>
      </c>
      <c r="E3" t="e">
        <f>_xlfn.XLOOKUP(D3,'[1]ATUALIZADO 16-04'!$B:$B,'[1]ATUALIZADO 16-04'!$B:$B)</f>
        <v>#N/A</v>
      </c>
      <c r="F3" s="5">
        <v>40</v>
      </c>
      <c r="G3" s="5" t="s">
        <v>13</v>
      </c>
      <c r="H3" s="5" t="s">
        <v>9</v>
      </c>
      <c r="I3" s="5" t="s">
        <v>14</v>
      </c>
      <c r="J3" s="6">
        <v>7732.5</v>
      </c>
      <c r="K3" s="6">
        <v>7732.5</v>
      </c>
    </row>
    <row r="4" spans="1:11" s="10" customFormat="1" ht="16.5" customHeight="1" x14ac:dyDescent="0.25">
      <c r="A4" s="5" t="s">
        <v>174</v>
      </c>
      <c r="B4" s="5" t="s">
        <v>15</v>
      </c>
      <c r="C4" s="5" t="s">
        <v>15</v>
      </c>
      <c r="D4" s="5">
        <v>93159</v>
      </c>
      <c r="E4" t="e">
        <f>_xlfn.XLOOKUP(D4,'[1]ATUALIZADO 16-04'!$B:$B,'[1]ATUALIZADO 16-04'!$B:$B)</f>
        <v>#N/A</v>
      </c>
      <c r="F4" s="5">
        <v>40</v>
      </c>
      <c r="G4" s="5" t="s">
        <v>16</v>
      </c>
      <c r="H4" s="5" t="s">
        <v>11</v>
      </c>
      <c r="I4" s="5" t="s">
        <v>17</v>
      </c>
      <c r="J4" s="6">
        <v>30691</v>
      </c>
      <c r="K4" s="6">
        <v>25688.41</v>
      </c>
    </row>
    <row r="5" spans="1:11" x14ac:dyDescent="0.25">
      <c r="A5" s="5" t="s">
        <v>174</v>
      </c>
      <c r="B5" s="5" t="s">
        <v>11</v>
      </c>
      <c r="C5" s="5" t="s">
        <v>11</v>
      </c>
      <c r="D5" s="5">
        <v>93130</v>
      </c>
      <c r="E5" t="e">
        <f>_xlfn.XLOOKUP(D5,'[1]ATUALIZADO 16-04'!$B:$B,'[1]ATUALIZADO 16-04'!$B:$B)</f>
        <v>#N/A</v>
      </c>
      <c r="F5" s="5">
        <v>40</v>
      </c>
      <c r="G5" s="5" t="s">
        <v>18</v>
      </c>
      <c r="H5" s="5" t="s">
        <v>19</v>
      </c>
      <c r="I5" s="5" t="s">
        <v>20</v>
      </c>
      <c r="J5" s="6">
        <v>3552</v>
      </c>
      <c r="K5" s="6">
        <v>3552</v>
      </c>
    </row>
    <row r="6" spans="1:11" x14ac:dyDescent="0.25">
      <c r="A6" s="5" t="s">
        <v>174</v>
      </c>
      <c r="B6" s="5" t="s">
        <v>11</v>
      </c>
      <c r="C6" s="5" t="s">
        <v>11</v>
      </c>
      <c r="D6" s="5">
        <v>93126</v>
      </c>
      <c r="E6" t="e">
        <f>_xlfn.XLOOKUP(D6,'[1]ATUALIZADO 16-04'!$B:$B,'[1]ATUALIZADO 16-04'!$B:$B)</f>
        <v>#N/A</v>
      </c>
      <c r="F6" s="5">
        <v>40</v>
      </c>
      <c r="G6" s="5" t="s">
        <v>21</v>
      </c>
      <c r="H6" s="5" t="s">
        <v>22</v>
      </c>
      <c r="I6" s="5" t="s">
        <v>23</v>
      </c>
      <c r="J6" s="6">
        <v>7747.63</v>
      </c>
      <c r="K6" s="6">
        <v>7747.63</v>
      </c>
    </row>
    <row r="7" spans="1:11" x14ac:dyDescent="0.25">
      <c r="A7" s="5" t="s">
        <v>174</v>
      </c>
      <c r="B7" s="5" t="s">
        <v>11</v>
      </c>
      <c r="C7" s="5" t="s">
        <v>11</v>
      </c>
      <c r="D7" s="5">
        <v>93116</v>
      </c>
      <c r="E7" t="e">
        <f>_xlfn.XLOOKUP(D7,'[1]ATUALIZADO 16-04'!$B:$B,'[1]ATUALIZADO 16-04'!$B:$B)</f>
        <v>#N/A</v>
      </c>
      <c r="F7" s="5">
        <v>40</v>
      </c>
      <c r="G7" s="5" t="s">
        <v>24</v>
      </c>
      <c r="H7" s="5" t="s">
        <v>11</v>
      </c>
      <c r="I7" s="5" t="s">
        <v>25</v>
      </c>
      <c r="J7" s="6">
        <v>61200</v>
      </c>
      <c r="K7" s="6">
        <v>57436.2</v>
      </c>
    </row>
    <row r="8" spans="1:11" x14ac:dyDescent="0.25">
      <c r="A8" s="5" t="s">
        <v>174</v>
      </c>
      <c r="B8" s="5" t="s">
        <v>11</v>
      </c>
      <c r="C8" s="5" t="s">
        <v>11</v>
      </c>
      <c r="D8" s="5">
        <v>93058</v>
      </c>
      <c r="E8" t="e">
        <f>_xlfn.XLOOKUP(D8,'[1]ATUALIZADO 16-04'!$B:$B,'[1]ATUALIZADO 16-04'!$B:$B)</f>
        <v>#N/A</v>
      </c>
      <c r="F8" s="5">
        <v>40</v>
      </c>
      <c r="G8" s="5" t="s">
        <v>30</v>
      </c>
      <c r="H8" s="5" t="s">
        <v>31</v>
      </c>
      <c r="I8" s="5" t="s">
        <v>32</v>
      </c>
      <c r="J8" s="6">
        <v>34800</v>
      </c>
      <c r="K8" s="6">
        <v>32659.8</v>
      </c>
    </row>
    <row r="9" spans="1:11" x14ac:dyDescent="0.25">
      <c r="A9" s="5" t="s">
        <v>174</v>
      </c>
      <c r="B9" s="5" t="s">
        <v>11</v>
      </c>
      <c r="C9" s="5" t="s">
        <v>11</v>
      </c>
      <c r="D9" s="5">
        <v>93057</v>
      </c>
      <c r="E9" t="e">
        <f>_xlfn.XLOOKUP(D9,'[1]ATUALIZADO 16-04'!$B:$B,'[1]ATUALIZADO 16-04'!$B:$B)</f>
        <v>#N/A</v>
      </c>
      <c r="F9" s="5">
        <v>40</v>
      </c>
      <c r="G9" s="5" t="s">
        <v>33</v>
      </c>
      <c r="H9" s="5" t="s">
        <v>34</v>
      </c>
      <c r="I9" s="5" t="s">
        <v>14</v>
      </c>
      <c r="J9" s="6">
        <v>23190</v>
      </c>
      <c r="K9" s="6">
        <v>23190</v>
      </c>
    </row>
    <row r="10" spans="1:11" x14ac:dyDescent="0.25">
      <c r="A10" s="5" t="s">
        <v>174</v>
      </c>
      <c r="B10" s="5" t="s">
        <v>31</v>
      </c>
      <c r="C10" s="5" t="s">
        <v>31</v>
      </c>
      <c r="D10" s="5">
        <v>93039</v>
      </c>
      <c r="E10" t="e">
        <f>_xlfn.XLOOKUP(D10,'[1]ATUALIZADO 16-04'!$B:$B,'[1]ATUALIZADO 16-04'!$B:$B)</f>
        <v>#N/A</v>
      </c>
      <c r="F10" s="5">
        <v>40</v>
      </c>
      <c r="G10" s="5" t="s">
        <v>37</v>
      </c>
      <c r="H10" s="5" t="s">
        <v>31</v>
      </c>
      <c r="I10" s="5" t="s">
        <v>38</v>
      </c>
      <c r="J10" s="6">
        <v>2300</v>
      </c>
      <c r="K10" s="6">
        <v>2300</v>
      </c>
    </row>
    <row r="11" spans="1:11" x14ac:dyDescent="0.25">
      <c r="A11" s="5" t="s">
        <v>174</v>
      </c>
      <c r="B11" s="5" t="s">
        <v>31</v>
      </c>
      <c r="C11" s="5" t="s">
        <v>31</v>
      </c>
      <c r="D11" s="5">
        <v>93033</v>
      </c>
      <c r="E11" t="e">
        <f>_xlfn.XLOOKUP(D11,'[1]ATUALIZADO 16-04'!$B:$B,'[1]ATUALIZADO 16-04'!$B:$B)</f>
        <v>#N/A</v>
      </c>
      <c r="F11" s="5">
        <v>40</v>
      </c>
      <c r="G11" s="5" t="s">
        <v>39</v>
      </c>
      <c r="H11" s="5" t="s">
        <v>31</v>
      </c>
      <c r="I11" s="5" t="s">
        <v>40</v>
      </c>
      <c r="J11" s="6">
        <v>143228.14000000001</v>
      </c>
      <c r="K11" s="6">
        <v>136066.73000000001</v>
      </c>
    </row>
    <row r="12" spans="1:11" x14ac:dyDescent="0.25">
      <c r="A12" s="5" t="s">
        <v>174</v>
      </c>
      <c r="B12" s="5" t="s">
        <v>31</v>
      </c>
      <c r="C12" s="5" t="s">
        <v>31</v>
      </c>
      <c r="D12" s="5">
        <v>93004</v>
      </c>
      <c r="E12" t="e">
        <f>_xlfn.XLOOKUP(D12,'[1]ATUALIZADO 16-04'!$B:$B,'[1]ATUALIZADO 16-04'!$B:$B)</f>
        <v>#N/A</v>
      </c>
      <c r="F12" s="5">
        <v>40</v>
      </c>
      <c r="G12" s="5" t="s">
        <v>42</v>
      </c>
      <c r="H12" s="5" t="s">
        <v>31</v>
      </c>
      <c r="I12" s="5" t="s">
        <v>43</v>
      </c>
      <c r="J12" s="6">
        <v>12432.77</v>
      </c>
      <c r="K12" s="6">
        <v>12432.77</v>
      </c>
    </row>
    <row r="13" spans="1:11" x14ac:dyDescent="0.25">
      <c r="A13" s="5" t="s">
        <v>174</v>
      </c>
      <c r="B13" s="5" t="s">
        <v>31</v>
      </c>
      <c r="C13" s="5" t="s">
        <v>31</v>
      </c>
      <c r="D13" s="5">
        <v>93001</v>
      </c>
      <c r="E13" t="e">
        <f>_xlfn.XLOOKUP(D13,'[1]ATUALIZADO 16-04'!$B:$B,'[1]ATUALIZADO 16-04'!$B:$B)</f>
        <v>#N/A</v>
      </c>
      <c r="F13" s="5">
        <v>40</v>
      </c>
      <c r="G13" s="5" t="s">
        <v>44</v>
      </c>
      <c r="H13" s="5" t="s">
        <v>31</v>
      </c>
      <c r="I13" s="5" t="s">
        <v>45</v>
      </c>
      <c r="J13" s="6">
        <v>13500</v>
      </c>
      <c r="K13" s="6">
        <v>12669.75</v>
      </c>
    </row>
    <row r="14" spans="1:11" x14ac:dyDescent="0.25">
      <c r="A14" s="5" t="s">
        <v>174</v>
      </c>
      <c r="B14" s="5" t="s">
        <v>31</v>
      </c>
      <c r="C14" s="5" t="s">
        <v>31</v>
      </c>
      <c r="D14" s="5">
        <v>92997</v>
      </c>
      <c r="E14" t="e">
        <f>_xlfn.XLOOKUP(D14,'[1]ATUALIZADO 16-04'!$B:$B,'[1]ATUALIZADO 16-04'!$B:$B)</f>
        <v>#N/A</v>
      </c>
      <c r="F14" s="5">
        <v>40</v>
      </c>
      <c r="G14" s="5" t="s">
        <v>46</v>
      </c>
      <c r="H14" s="5" t="s">
        <v>31</v>
      </c>
      <c r="I14" s="5" t="s">
        <v>47</v>
      </c>
      <c r="J14" s="6">
        <v>48800</v>
      </c>
      <c r="K14" s="6">
        <v>45798.8</v>
      </c>
    </row>
    <row r="15" spans="1:11" x14ac:dyDescent="0.25">
      <c r="A15" s="5" t="s">
        <v>174</v>
      </c>
      <c r="B15" s="5" t="s">
        <v>31</v>
      </c>
      <c r="C15" s="5" t="s">
        <v>9</v>
      </c>
      <c r="D15" s="5">
        <v>92996</v>
      </c>
      <c r="E15" t="e">
        <f>_xlfn.XLOOKUP(D15,'[1]ATUALIZADO 16-04'!$B:$B,'[1]ATUALIZADO 16-04'!$B:$B)</f>
        <v>#N/A</v>
      </c>
      <c r="F15" s="5">
        <v>40</v>
      </c>
      <c r="G15" s="5" t="s">
        <v>48</v>
      </c>
      <c r="H15" s="5" t="s">
        <v>31</v>
      </c>
      <c r="I15" s="5" t="s">
        <v>49</v>
      </c>
      <c r="J15" s="6">
        <v>12636.83</v>
      </c>
      <c r="K15" s="6">
        <v>11859.67</v>
      </c>
    </row>
    <row r="16" spans="1:11" x14ac:dyDescent="0.25">
      <c r="A16" s="5" t="s">
        <v>174</v>
      </c>
      <c r="B16" s="5" t="s">
        <v>31</v>
      </c>
      <c r="C16" s="5" t="s">
        <v>31</v>
      </c>
      <c r="D16" s="5">
        <v>92977</v>
      </c>
      <c r="E16" t="e">
        <f>_xlfn.XLOOKUP(D16,'[1]ATUALIZADO 16-04'!$B:$B,'[1]ATUALIZADO 16-04'!$B:$B)</f>
        <v>#N/A</v>
      </c>
      <c r="F16" s="5">
        <v>40</v>
      </c>
      <c r="G16" s="5" t="s">
        <v>50</v>
      </c>
      <c r="H16" s="5" t="s">
        <v>51</v>
      </c>
      <c r="I16" s="5" t="s">
        <v>17</v>
      </c>
      <c r="J16" s="6">
        <v>8780.25</v>
      </c>
      <c r="K16" s="6">
        <v>7362.25</v>
      </c>
    </row>
    <row r="17" spans="1:11" x14ac:dyDescent="0.25">
      <c r="A17" s="5" t="s">
        <v>174</v>
      </c>
      <c r="B17" s="5" t="s">
        <v>31</v>
      </c>
      <c r="C17" s="5" t="s">
        <v>9</v>
      </c>
      <c r="D17" s="5">
        <v>92959</v>
      </c>
      <c r="E17" t="e">
        <f>_xlfn.XLOOKUP(D17,'[1]ATUALIZADO 16-04'!$B:$B,'[1]ATUALIZADO 16-04'!$B:$B)</f>
        <v>#N/A</v>
      </c>
      <c r="F17" s="5">
        <v>40</v>
      </c>
      <c r="G17" s="5" t="s">
        <v>52</v>
      </c>
      <c r="H17" s="5" t="s">
        <v>51</v>
      </c>
      <c r="I17" s="5" t="s">
        <v>53</v>
      </c>
      <c r="J17" s="6">
        <v>9010.7999999999993</v>
      </c>
      <c r="K17" s="6">
        <v>8560.26</v>
      </c>
    </row>
    <row r="18" spans="1:11" x14ac:dyDescent="0.25">
      <c r="A18" s="5" t="s">
        <v>174</v>
      </c>
      <c r="B18" s="5" t="s">
        <v>51</v>
      </c>
      <c r="C18" s="5" t="s">
        <v>31</v>
      </c>
      <c r="D18" s="5">
        <v>92905</v>
      </c>
      <c r="E18" t="e">
        <f>_xlfn.XLOOKUP(D18,'[1]ATUALIZADO 16-04'!$B:$B,'[1]ATUALIZADO 16-04'!$B:$B)</f>
        <v>#N/A</v>
      </c>
      <c r="F18" s="5">
        <v>40</v>
      </c>
      <c r="G18" s="5" t="s">
        <v>54</v>
      </c>
      <c r="H18" s="5" t="s">
        <v>51</v>
      </c>
      <c r="I18" s="5" t="s">
        <v>14</v>
      </c>
      <c r="J18" s="6">
        <v>31777.85</v>
      </c>
      <c r="K18" s="6">
        <v>31777.85</v>
      </c>
    </row>
    <row r="19" spans="1:11" x14ac:dyDescent="0.25">
      <c r="A19" s="5" t="s">
        <v>174</v>
      </c>
      <c r="B19" s="5" t="s">
        <v>51</v>
      </c>
      <c r="C19" s="5" t="s">
        <v>31</v>
      </c>
      <c r="D19" s="5">
        <v>92903</v>
      </c>
      <c r="E19" t="e">
        <f>_xlfn.XLOOKUP(D19,'[1]ATUALIZADO 16-04'!$B:$B,'[1]ATUALIZADO 16-04'!$B:$B)</f>
        <v>#N/A</v>
      </c>
      <c r="F19" s="5">
        <v>40</v>
      </c>
      <c r="G19" s="5" t="s">
        <v>55</v>
      </c>
      <c r="H19" s="5" t="s">
        <v>51</v>
      </c>
      <c r="I19" s="5" t="s">
        <v>56</v>
      </c>
      <c r="J19" s="6">
        <v>2100</v>
      </c>
      <c r="K19" s="6">
        <v>2100</v>
      </c>
    </row>
    <row r="20" spans="1:11" x14ac:dyDescent="0.25">
      <c r="A20" s="5" t="s">
        <v>174</v>
      </c>
      <c r="B20" s="5" t="s">
        <v>51</v>
      </c>
      <c r="C20" s="5" t="s">
        <v>31</v>
      </c>
      <c r="D20" s="5">
        <v>92902</v>
      </c>
      <c r="E20" t="e">
        <f>_xlfn.XLOOKUP(D20,'[1]ATUALIZADO 16-04'!$B:$B,'[1]ATUALIZADO 16-04'!$B:$B)</f>
        <v>#N/A</v>
      </c>
      <c r="F20" s="5">
        <v>40</v>
      </c>
      <c r="G20" s="5" t="s">
        <v>57</v>
      </c>
      <c r="H20" s="5" t="s">
        <v>51</v>
      </c>
      <c r="I20" s="5" t="s">
        <v>56</v>
      </c>
      <c r="J20" s="6">
        <v>2100</v>
      </c>
      <c r="K20" s="6">
        <v>2100</v>
      </c>
    </row>
    <row r="21" spans="1:11" x14ac:dyDescent="0.25">
      <c r="A21" s="5" t="s">
        <v>174</v>
      </c>
      <c r="B21" s="5" t="s">
        <v>51</v>
      </c>
      <c r="C21" s="5" t="s">
        <v>9</v>
      </c>
      <c r="D21" s="5">
        <v>92895</v>
      </c>
      <c r="E21" t="e">
        <f>_xlfn.XLOOKUP(D21,'[1]ATUALIZADO 16-04'!$B:$B,'[1]ATUALIZADO 16-04'!$B:$B)</f>
        <v>#N/A</v>
      </c>
      <c r="F21" s="5">
        <v>40</v>
      </c>
      <c r="G21" s="5" t="s">
        <v>58</v>
      </c>
      <c r="H21" s="5" t="s">
        <v>51</v>
      </c>
      <c r="I21" s="5" t="s">
        <v>59</v>
      </c>
      <c r="J21" s="6">
        <v>142175</v>
      </c>
      <c r="K21" s="6">
        <v>133431.23000000001</v>
      </c>
    </row>
    <row r="22" spans="1:11" x14ac:dyDescent="0.25">
      <c r="A22" s="5" t="s">
        <v>174</v>
      </c>
      <c r="B22" s="5" t="s">
        <v>51</v>
      </c>
      <c r="C22" s="5" t="s">
        <v>9</v>
      </c>
      <c r="D22" s="5">
        <v>92891</v>
      </c>
      <c r="E22" t="e">
        <f>_xlfn.XLOOKUP(D22,'[1]ATUALIZADO 16-04'!$B:$B,'[1]ATUALIZADO 16-04'!$B:$B)</f>
        <v>#N/A</v>
      </c>
      <c r="F22" s="5">
        <v>40</v>
      </c>
      <c r="G22" s="5" t="s">
        <v>39</v>
      </c>
      <c r="H22" s="5" t="s">
        <v>60</v>
      </c>
      <c r="I22" s="5" t="s">
        <v>61</v>
      </c>
      <c r="J22" s="6">
        <v>31042.04</v>
      </c>
      <c r="K22" s="6">
        <v>26075.32</v>
      </c>
    </row>
    <row r="23" spans="1:11" x14ac:dyDescent="0.25">
      <c r="A23" s="5" t="s">
        <v>174</v>
      </c>
      <c r="B23" s="5" t="s">
        <v>51</v>
      </c>
      <c r="C23" s="5" t="s">
        <v>31</v>
      </c>
      <c r="D23" s="5">
        <v>92869</v>
      </c>
      <c r="E23" t="e">
        <f>_xlfn.XLOOKUP(D23,'[1]ATUALIZADO 16-04'!$B:$B,'[1]ATUALIZADO 16-04'!$B:$B)</f>
        <v>#N/A</v>
      </c>
      <c r="F23" s="5">
        <v>40</v>
      </c>
      <c r="G23" s="5" t="s">
        <v>62</v>
      </c>
      <c r="H23" s="5" t="s">
        <v>19</v>
      </c>
      <c r="I23" s="5" t="s">
        <v>63</v>
      </c>
      <c r="J23" s="6">
        <v>350000</v>
      </c>
      <c r="K23" s="6">
        <v>350000</v>
      </c>
    </row>
    <row r="24" spans="1:11" x14ac:dyDescent="0.25">
      <c r="A24" s="5" t="s">
        <v>174</v>
      </c>
      <c r="B24" s="5" t="s">
        <v>19</v>
      </c>
      <c r="C24" s="5" t="s">
        <v>31</v>
      </c>
      <c r="D24" s="5">
        <v>92791</v>
      </c>
      <c r="E24" t="e">
        <f>_xlfn.XLOOKUP(D24,'[1]ATUALIZADO 16-04'!$B:$B,'[1]ATUALIZADO 16-04'!$B:$B)</f>
        <v>#N/A</v>
      </c>
      <c r="F24" s="5">
        <v>40</v>
      </c>
      <c r="G24" s="5" t="s">
        <v>66</v>
      </c>
      <c r="H24" s="5" t="s">
        <v>34</v>
      </c>
      <c r="I24" s="5" t="s">
        <v>67</v>
      </c>
      <c r="J24" s="6">
        <v>6280</v>
      </c>
      <c r="K24" s="6">
        <v>4920.38</v>
      </c>
    </row>
    <row r="25" spans="1:11" x14ac:dyDescent="0.25">
      <c r="A25" s="5" t="s">
        <v>174</v>
      </c>
      <c r="B25" s="5" t="s">
        <v>19</v>
      </c>
      <c r="C25" s="5" t="s">
        <v>31</v>
      </c>
      <c r="D25" s="5">
        <v>92789</v>
      </c>
      <c r="E25" t="e">
        <f>_xlfn.XLOOKUP(D25,'[1]ATUALIZADO 16-04'!$B:$B,'[1]ATUALIZADO 16-04'!$B:$B)</f>
        <v>#N/A</v>
      </c>
      <c r="F25" s="5">
        <v>40</v>
      </c>
      <c r="G25" s="5" t="s">
        <v>68</v>
      </c>
      <c r="H25" s="5" t="s">
        <v>34</v>
      </c>
      <c r="I25" s="5" t="s">
        <v>12</v>
      </c>
      <c r="J25" s="6">
        <v>4343.5</v>
      </c>
      <c r="K25" s="6">
        <v>4343.5</v>
      </c>
    </row>
    <row r="26" spans="1:11" x14ac:dyDescent="0.25">
      <c r="A26" s="5" t="s">
        <v>174</v>
      </c>
      <c r="B26" s="5" t="s">
        <v>19</v>
      </c>
      <c r="C26" s="5" t="s">
        <v>31</v>
      </c>
      <c r="D26" s="5">
        <v>92788</v>
      </c>
      <c r="E26" t="e">
        <f>_xlfn.XLOOKUP(D26,'[1]ATUALIZADO 16-04'!$B:$B,'[1]ATUALIZADO 16-04'!$B:$B)</f>
        <v>#N/A</v>
      </c>
      <c r="F26" s="5">
        <v>40</v>
      </c>
      <c r="G26" s="5" t="s">
        <v>69</v>
      </c>
      <c r="H26" s="5" t="s">
        <v>34</v>
      </c>
      <c r="I26" s="5" t="s">
        <v>12</v>
      </c>
      <c r="J26" s="6">
        <v>766.5</v>
      </c>
      <c r="K26" s="6">
        <v>659.19</v>
      </c>
    </row>
    <row r="27" spans="1:11" x14ac:dyDescent="0.25">
      <c r="A27" s="5" t="s">
        <v>174</v>
      </c>
      <c r="B27" s="5" t="s">
        <v>19</v>
      </c>
      <c r="C27" s="5" t="s">
        <v>31</v>
      </c>
      <c r="D27" s="5">
        <v>92787</v>
      </c>
      <c r="E27" t="e">
        <f>_xlfn.XLOOKUP(D27,'[1]ATUALIZADO 16-04'!$B:$B,'[1]ATUALIZADO 16-04'!$B:$B)</f>
        <v>#N/A</v>
      </c>
      <c r="F27" s="5">
        <v>40</v>
      </c>
      <c r="G27" s="5" t="s">
        <v>70</v>
      </c>
      <c r="H27" s="5" t="s">
        <v>34</v>
      </c>
      <c r="I27" s="5" t="s">
        <v>12</v>
      </c>
      <c r="J27" s="6">
        <v>3629.5</v>
      </c>
      <c r="K27" s="6">
        <v>3629.5</v>
      </c>
    </row>
    <row r="28" spans="1:11" x14ac:dyDescent="0.25">
      <c r="A28" s="5" t="s">
        <v>174</v>
      </c>
      <c r="B28" s="5" t="s">
        <v>19</v>
      </c>
      <c r="C28" s="5" t="s">
        <v>31</v>
      </c>
      <c r="D28" s="5">
        <v>92786</v>
      </c>
      <c r="E28" t="e">
        <f>_xlfn.XLOOKUP(D28,'[1]ATUALIZADO 16-04'!$B:$B,'[1]ATUALIZADO 16-04'!$B:$B)</f>
        <v>#N/A</v>
      </c>
      <c r="F28" s="5">
        <v>40</v>
      </c>
      <c r="G28" s="5" t="s">
        <v>71</v>
      </c>
      <c r="H28" s="5" t="s">
        <v>34</v>
      </c>
      <c r="I28" s="5" t="s">
        <v>12</v>
      </c>
      <c r="J28" s="6">
        <v>640.5</v>
      </c>
      <c r="K28" s="6">
        <v>550.83000000000004</v>
      </c>
    </row>
    <row r="29" spans="1:11" x14ac:dyDescent="0.25">
      <c r="A29" s="5" t="s">
        <v>174</v>
      </c>
      <c r="B29" s="5" t="s">
        <v>19</v>
      </c>
      <c r="C29" s="5" t="s">
        <v>19</v>
      </c>
      <c r="D29" s="5">
        <v>92721</v>
      </c>
      <c r="E29" t="e">
        <f>_xlfn.XLOOKUP(D29,'[1]ATUALIZADO 16-04'!$B:$B,'[1]ATUALIZADO 16-04'!$B:$B)</f>
        <v>#N/A</v>
      </c>
      <c r="F29" s="5">
        <v>40</v>
      </c>
      <c r="G29" s="5" t="s">
        <v>72</v>
      </c>
      <c r="H29" s="5" t="s">
        <v>73</v>
      </c>
      <c r="I29" s="5" t="s">
        <v>74</v>
      </c>
      <c r="J29" s="6">
        <v>8800</v>
      </c>
      <c r="K29" s="6">
        <v>8800</v>
      </c>
    </row>
    <row r="30" spans="1:11" x14ac:dyDescent="0.25">
      <c r="A30" s="5" t="s">
        <v>174</v>
      </c>
      <c r="B30" s="5" t="s">
        <v>19</v>
      </c>
      <c r="C30" s="5" t="s">
        <v>31</v>
      </c>
      <c r="D30" s="5">
        <v>92708</v>
      </c>
      <c r="E30" t="e">
        <f>_xlfn.XLOOKUP(D30,'[1]ATUALIZADO 16-04'!$B:$B,'[1]ATUALIZADO 16-04'!$B:$B)</f>
        <v>#N/A</v>
      </c>
      <c r="F30" s="5">
        <v>40</v>
      </c>
      <c r="G30" s="5" t="s">
        <v>75</v>
      </c>
      <c r="H30" s="5" t="s">
        <v>76</v>
      </c>
      <c r="I30" s="5" t="s">
        <v>77</v>
      </c>
      <c r="J30" s="6">
        <v>1183359.6000000001</v>
      </c>
      <c r="K30" s="6">
        <v>1104666.19</v>
      </c>
    </row>
    <row r="31" spans="1:11" x14ac:dyDescent="0.25">
      <c r="A31" s="5" t="s">
        <v>174</v>
      </c>
      <c r="B31" s="5" t="s">
        <v>19</v>
      </c>
      <c r="C31" s="5" t="s">
        <v>19</v>
      </c>
      <c r="D31" s="5">
        <v>92655</v>
      </c>
      <c r="E31" t="e">
        <f>_xlfn.XLOOKUP(D31,'[1]ATUALIZADO 16-04'!$B:$B,'[1]ATUALIZADO 16-04'!$B:$B)</f>
        <v>#N/A</v>
      </c>
      <c r="F31" s="5">
        <v>40</v>
      </c>
      <c r="G31" s="5" t="s">
        <v>78</v>
      </c>
      <c r="H31" s="5" t="s">
        <v>79</v>
      </c>
      <c r="I31" s="5" t="s">
        <v>80</v>
      </c>
      <c r="J31" s="6">
        <v>1062</v>
      </c>
      <c r="K31" s="6">
        <v>1062</v>
      </c>
    </row>
    <row r="32" spans="1:11" x14ac:dyDescent="0.25">
      <c r="A32" s="5" t="s">
        <v>174</v>
      </c>
      <c r="B32" s="5" t="s">
        <v>34</v>
      </c>
      <c r="C32" s="5" t="s">
        <v>11</v>
      </c>
      <c r="D32" s="5">
        <v>92563</v>
      </c>
      <c r="E32" t="e">
        <f>_xlfn.XLOOKUP(D32,'[1]ATUALIZADO 16-04'!$B:$B,'[1]ATUALIZADO 16-04'!$B:$B)</f>
        <v>#N/A</v>
      </c>
      <c r="F32" s="5">
        <v>40</v>
      </c>
      <c r="G32" s="5" t="s">
        <v>87</v>
      </c>
      <c r="H32" s="5" t="s">
        <v>34</v>
      </c>
      <c r="I32" s="5" t="s">
        <v>14</v>
      </c>
      <c r="J32" s="6">
        <v>9515</v>
      </c>
      <c r="K32" s="6">
        <v>9515</v>
      </c>
    </row>
    <row r="33" spans="1:11" x14ac:dyDescent="0.25">
      <c r="A33" s="5" t="s">
        <v>174</v>
      </c>
      <c r="B33" s="5" t="s">
        <v>22</v>
      </c>
      <c r="C33" s="5" t="s">
        <v>22</v>
      </c>
      <c r="D33" s="5">
        <v>92476</v>
      </c>
      <c r="E33" t="e">
        <f>_xlfn.XLOOKUP(D33,'[1]ATUALIZADO 16-04'!$B:$B,'[1]ATUALIZADO 16-04'!$B:$B)</f>
        <v>#N/A</v>
      </c>
      <c r="F33" s="5">
        <v>40</v>
      </c>
      <c r="G33" s="5" t="s">
        <v>90</v>
      </c>
      <c r="H33" s="5" t="s">
        <v>91</v>
      </c>
      <c r="I33" s="5" t="s">
        <v>92</v>
      </c>
      <c r="J33" s="6">
        <v>6620.16</v>
      </c>
      <c r="K33" s="6">
        <v>6611.3</v>
      </c>
    </row>
    <row r="34" spans="1:11" x14ac:dyDescent="0.25">
      <c r="A34" s="5" t="s">
        <v>174</v>
      </c>
      <c r="B34" s="5" t="s">
        <v>99</v>
      </c>
      <c r="C34" s="5" t="s">
        <v>94</v>
      </c>
      <c r="D34" s="5">
        <v>91945</v>
      </c>
      <c r="E34" t="e">
        <f>_xlfn.XLOOKUP(D34,'[1]ATUALIZADO 16-04'!$B:$B,'[1]ATUALIZADO 16-04'!$B:$B)</f>
        <v>#N/A</v>
      </c>
      <c r="F34" s="5">
        <v>40</v>
      </c>
      <c r="G34" s="5" t="s">
        <v>119</v>
      </c>
      <c r="H34" s="5" t="s">
        <v>99</v>
      </c>
      <c r="I34" s="5" t="s">
        <v>120</v>
      </c>
      <c r="J34" s="6">
        <v>327.64</v>
      </c>
      <c r="K34" s="6">
        <v>327.64</v>
      </c>
    </row>
    <row r="35" spans="1:11" x14ac:dyDescent="0.25">
      <c r="A35" s="5" t="s">
        <v>174</v>
      </c>
      <c r="B35" s="5" t="s">
        <v>99</v>
      </c>
      <c r="C35" s="5" t="s">
        <v>94</v>
      </c>
      <c r="D35" s="5">
        <v>91944</v>
      </c>
      <c r="E35" t="e">
        <f>_xlfn.XLOOKUP(D35,'[1]ATUALIZADO 16-04'!$B:$B,'[1]ATUALIZADO 16-04'!$B:$B)</f>
        <v>#N/A</v>
      </c>
      <c r="F35" s="5">
        <v>40</v>
      </c>
      <c r="G35" s="5" t="s">
        <v>121</v>
      </c>
      <c r="H35" s="5" t="s">
        <v>99</v>
      </c>
      <c r="I35" s="5" t="s">
        <v>120</v>
      </c>
      <c r="J35" s="6">
        <v>6412.5</v>
      </c>
      <c r="K35" s="6">
        <v>6412.5</v>
      </c>
    </row>
    <row r="36" spans="1:11" x14ac:dyDescent="0.25">
      <c r="A36" s="5" t="s">
        <v>174</v>
      </c>
      <c r="B36" s="5" t="s">
        <v>99</v>
      </c>
      <c r="C36" s="5" t="s">
        <v>94</v>
      </c>
      <c r="D36" s="5">
        <v>91943</v>
      </c>
      <c r="E36" t="e">
        <f>_xlfn.XLOOKUP(D36,'[1]ATUALIZADO 16-04'!$B:$B,'[1]ATUALIZADO 16-04'!$B:$B)</f>
        <v>#N/A</v>
      </c>
      <c r="F36" s="5">
        <v>40</v>
      </c>
      <c r="G36" s="5" t="s">
        <v>122</v>
      </c>
      <c r="H36" s="5" t="s">
        <v>99</v>
      </c>
      <c r="I36" s="5" t="s">
        <v>120</v>
      </c>
      <c r="J36" s="6">
        <v>6412.5</v>
      </c>
      <c r="K36" s="6">
        <v>6412.5</v>
      </c>
    </row>
    <row r="37" spans="1:11" x14ac:dyDescent="0.25">
      <c r="A37" s="5" t="s">
        <v>174</v>
      </c>
      <c r="B37" s="5" t="s">
        <v>99</v>
      </c>
      <c r="C37" s="5" t="s">
        <v>94</v>
      </c>
      <c r="D37" s="5">
        <v>91942</v>
      </c>
      <c r="E37" t="e">
        <f>_xlfn.XLOOKUP(D37,'[1]ATUALIZADO 16-04'!$B:$B,'[1]ATUALIZADO 16-04'!$B:$B)</f>
        <v>#N/A</v>
      </c>
      <c r="F37" s="5">
        <v>40</v>
      </c>
      <c r="G37" s="5" t="s">
        <v>123</v>
      </c>
      <c r="H37" s="5" t="s">
        <v>99</v>
      </c>
      <c r="I37" s="5" t="s">
        <v>120</v>
      </c>
      <c r="J37" s="6">
        <v>6412.5</v>
      </c>
      <c r="K37" s="6">
        <v>6412.5</v>
      </c>
    </row>
    <row r="38" spans="1:11" x14ac:dyDescent="0.25">
      <c r="A38" s="5" t="s">
        <v>174</v>
      </c>
      <c r="B38" s="5" t="s">
        <v>99</v>
      </c>
      <c r="C38" s="5" t="s">
        <v>94</v>
      </c>
      <c r="D38" s="5">
        <v>91941</v>
      </c>
      <c r="E38" t="e">
        <f>_xlfn.XLOOKUP(D38,'[1]ATUALIZADO 16-04'!$B:$B,'[1]ATUALIZADO 16-04'!$B:$B)</f>
        <v>#N/A</v>
      </c>
      <c r="F38" s="5">
        <v>40</v>
      </c>
      <c r="G38" s="5" t="s">
        <v>124</v>
      </c>
      <c r="H38" s="5" t="s">
        <v>99</v>
      </c>
      <c r="I38" s="5" t="s">
        <v>120</v>
      </c>
      <c r="J38" s="6">
        <v>43605</v>
      </c>
      <c r="K38" s="6">
        <v>43605</v>
      </c>
    </row>
    <row r="39" spans="1:11" x14ac:dyDescent="0.25">
      <c r="A39" s="5" t="s">
        <v>174</v>
      </c>
      <c r="B39" s="5" t="s">
        <v>99</v>
      </c>
      <c r="C39" s="5" t="s">
        <v>94</v>
      </c>
      <c r="D39" s="5">
        <v>91939</v>
      </c>
      <c r="E39" t="e">
        <f>_xlfn.XLOOKUP(D39,'[1]ATUALIZADO 16-04'!$B:$B,'[1]ATUALIZADO 16-04'!$B:$B)</f>
        <v>#N/A</v>
      </c>
      <c r="F39" s="5">
        <v>40</v>
      </c>
      <c r="G39" s="5" t="s">
        <v>125</v>
      </c>
      <c r="H39" s="5" t="s">
        <v>99</v>
      </c>
      <c r="I39" s="5" t="s">
        <v>120</v>
      </c>
      <c r="J39" s="6">
        <v>43605</v>
      </c>
      <c r="K39" s="6">
        <v>43605</v>
      </c>
    </row>
    <row r="40" spans="1:11" x14ac:dyDescent="0.25">
      <c r="A40" s="5" t="s">
        <v>174</v>
      </c>
      <c r="B40" s="5" t="s">
        <v>133</v>
      </c>
      <c r="C40" s="5" t="s">
        <v>115</v>
      </c>
      <c r="D40" s="5">
        <v>91370</v>
      </c>
      <c r="E40" t="e">
        <f>_xlfn.XLOOKUP(D40,'[1]ATUALIZADO 16-04'!$B:$B,'[1]ATUALIZADO 16-04'!$B:$B)</f>
        <v>#N/A</v>
      </c>
      <c r="F40" s="5">
        <v>40</v>
      </c>
      <c r="G40" s="5" t="s">
        <v>138</v>
      </c>
      <c r="H40" s="5" t="s">
        <v>76</v>
      </c>
      <c r="I40" s="5" t="s">
        <v>137</v>
      </c>
      <c r="J40" s="6">
        <v>1095124.81</v>
      </c>
      <c r="K40" s="6">
        <v>1010482.02</v>
      </c>
    </row>
    <row r="41" spans="1:11" x14ac:dyDescent="0.25">
      <c r="A41" s="5" t="s">
        <v>174</v>
      </c>
      <c r="B41" s="5" t="s">
        <v>76</v>
      </c>
      <c r="C41" s="5" t="s">
        <v>115</v>
      </c>
      <c r="D41" s="5">
        <v>91285</v>
      </c>
      <c r="E41" t="e">
        <f>_xlfn.XLOOKUP(D41,'[1]ATUALIZADO 16-04'!$B:$B,'[1]ATUALIZADO 16-04'!$B:$B)</f>
        <v>#N/A</v>
      </c>
      <c r="F41" s="5">
        <v>40</v>
      </c>
      <c r="G41" s="5" t="s">
        <v>144</v>
      </c>
      <c r="H41" s="5" t="s">
        <v>76</v>
      </c>
      <c r="I41" s="5" t="s">
        <v>137</v>
      </c>
      <c r="J41" s="6">
        <v>167811.73</v>
      </c>
      <c r="K41" s="6">
        <v>152960.4</v>
      </c>
    </row>
    <row r="42" spans="1:11" x14ac:dyDescent="0.25">
      <c r="A42" s="5" t="s">
        <v>174</v>
      </c>
      <c r="B42" s="5" t="s">
        <v>76</v>
      </c>
      <c r="C42" s="5" t="s">
        <v>115</v>
      </c>
      <c r="D42" s="5">
        <v>91282</v>
      </c>
      <c r="E42" t="e">
        <f>_xlfn.XLOOKUP(D42,'[1]ATUALIZADO 16-04'!$B:$B,'[1]ATUALIZADO 16-04'!$B:$B)</f>
        <v>#N/A</v>
      </c>
      <c r="F42" s="5">
        <v>40</v>
      </c>
      <c r="G42" s="5" t="s">
        <v>145</v>
      </c>
      <c r="H42" s="5" t="s">
        <v>76</v>
      </c>
      <c r="I42" s="5" t="s">
        <v>137</v>
      </c>
      <c r="J42" s="6">
        <v>11234.47</v>
      </c>
      <c r="K42" s="6">
        <v>10111.029999999999</v>
      </c>
    </row>
    <row r="43" spans="1:11" x14ac:dyDescent="0.25">
      <c r="A43" s="5" t="s">
        <v>174</v>
      </c>
      <c r="B43" s="5" t="s">
        <v>76</v>
      </c>
      <c r="C43" s="5" t="s">
        <v>115</v>
      </c>
      <c r="D43" s="5">
        <v>91281</v>
      </c>
      <c r="E43" t="e">
        <f>_xlfn.XLOOKUP(D43,'[1]ATUALIZADO 16-04'!$B:$B,'[1]ATUALIZADO 16-04'!$B:$B)</f>
        <v>#N/A</v>
      </c>
      <c r="F43" s="5">
        <v>40</v>
      </c>
      <c r="G43" s="5" t="s">
        <v>146</v>
      </c>
      <c r="H43" s="5" t="s">
        <v>76</v>
      </c>
      <c r="I43" s="5" t="s">
        <v>137</v>
      </c>
      <c r="J43" s="6">
        <v>167811.73</v>
      </c>
      <c r="K43" s="6">
        <v>152960.4</v>
      </c>
    </row>
    <row r="44" spans="1:11" x14ac:dyDescent="0.25">
      <c r="A44" s="5" t="s">
        <v>174</v>
      </c>
      <c r="B44" s="5" t="s">
        <v>76</v>
      </c>
      <c r="C44" s="5" t="s">
        <v>115</v>
      </c>
      <c r="D44" s="5">
        <v>91279</v>
      </c>
      <c r="E44" t="e">
        <f>_xlfn.XLOOKUP(D44,'[1]ATUALIZADO 16-04'!$B:$B,'[1]ATUALIZADO 16-04'!$B:$B)</f>
        <v>#N/A</v>
      </c>
      <c r="F44" s="5">
        <v>40</v>
      </c>
      <c r="G44" s="5" t="s">
        <v>147</v>
      </c>
      <c r="H44" s="5" t="s">
        <v>76</v>
      </c>
      <c r="I44" s="5" t="s">
        <v>137</v>
      </c>
      <c r="J44" s="6">
        <v>11234.47</v>
      </c>
      <c r="K44" s="6">
        <v>10111.029999999999</v>
      </c>
    </row>
    <row r="45" spans="1:11" x14ac:dyDescent="0.25">
      <c r="A45" s="5" t="s">
        <v>174</v>
      </c>
      <c r="B45" s="5" t="s">
        <v>154</v>
      </c>
      <c r="C45" s="5" t="s">
        <v>168</v>
      </c>
      <c r="D45" s="5">
        <v>90326</v>
      </c>
      <c r="E45" t="e">
        <f>_xlfn.XLOOKUP(D45,'[1]ATUALIZADO 16-04'!$B:$B,'[1]ATUALIZADO 16-04'!$B:$B)</f>
        <v>#N/A</v>
      </c>
      <c r="F45" s="5">
        <v>40</v>
      </c>
      <c r="G45" s="5" t="s">
        <v>26</v>
      </c>
      <c r="H45" s="5" t="s">
        <v>158</v>
      </c>
      <c r="I45" s="5" t="s">
        <v>137</v>
      </c>
      <c r="J45" s="6">
        <v>876892.93</v>
      </c>
      <c r="K45" s="6">
        <v>876892.93</v>
      </c>
    </row>
    <row r="46" spans="1:11" x14ac:dyDescent="0.25">
      <c r="A46" s="5"/>
      <c r="B46" s="7" t="s">
        <v>176</v>
      </c>
    </row>
    <row r="47" spans="1:11" x14ac:dyDescent="0.25">
      <c r="A47" s="1"/>
      <c r="B47" s="7" t="s">
        <v>175</v>
      </c>
    </row>
    <row r="48" spans="1:11" ht="15.75" x14ac:dyDescent="0.25">
      <c r="A48" s="8" t="s">
        <v>172</v>
      </c>
      <c r="B48" s="9" t="s">
        <v>0</v>
      </c>
      <c r="C48" s="9" t="s">
        <v>1</v>
      </c>
      <c r="D48" s="9" t="s">
        <v>2</v>
      </c>
      <c r="E48" s="9"/>
      <c r="F48" s="9" t="s">
        <v>3</v>
      </c>
      <c r="G48" s="9" t="s">
        <v>4</v>
      </c>
      <c r="H48" s="9" t="s">
        <v>5</v>
      </c>
      <c r="I48" s="9" t="s">
        <v>6</v>
      </c>
      <c r="J48" s="9" t="s">
        <v>7</v>
      </c>
      <c r="K48" s="9" t="s">
        <v>8</v>
      </c>
    </row>
    <row r="49" spans="1:11" x14ac:dyDescent="0.25">
      <c r="A49" s="3" t="s">
        <v>174</v>
      </c>
      <c r="B49" s="3" t="s">
        <v>11</v>
      </c>
      <c r="C49" s="3" t="s">
        <v>9</v>
      </c>
      <c r="D49" s="3">
        <v>93106</v>
      </c>
      <c r="E49" t="e">
        <f>_xlfn.XLOOKUP(D49,'[1]ATUALIZADO 16-04'!$B:$B,'[1]ATUALIZADO 16-04'!$B:$B)</f>
        <v>#N/A</v>
      </c>
      <c r="F49" s="3">
        <v>40</v>
      </c>
      <c r="G49" s="3" t="s">
        <v>26</v>
      </c>
      <c r="H49" s="3" t="s">
        <v>11</v>
      </c>
      <c r="I49" s="3" t="s">
        <v>27</v>
      </c>
      <c r="J49" s="4">
        <v>1027957.12</v>
      </c>
      <c r="K49" s="4">
        <v>1027957.12</v>
      </c>
    </row>
    <row r="50" spans="1:11" x14ac:dyDescent="0.25">
      <c r="A50" s="3" t="s">
        <v>174</v>
      </c>
      <c r="B50" s="3" t="s">
        <v>11</v>
      </c>
      <c r="C50" s="3" t="s">
        <v>11</v>
      </c>
      <c r="D50" s="3">
        <v>93091</v>
      </c>
      <c r="E50" t="e">
        <f>_xlfn.XLOOKUP(D50,'[1]ATUALIZADO 16-04'!$B:$B,'[1]ATUALIZADO 16-04'!$B:$B)</f>
        <v>#N/A</v>
      </c>
      <c r="F50" s="3">
        <v>40</v>
      </c>
      <c r="G50" s="3" t="s">
        <v>28</v>
      </c>
      <c r="H50" s="3" t="s">
        <v>11</v>
      </c>
      <c r="I50" s="3" t="s">
        <v>29</v>
      </c>
      <c r="J50" s="4">
        <v>500000.09</v>
      </c>
      <c r="K50" s="4">
        <v>500000.09</v>
      </c>
    </row>
    <row r="51" spans="1:11" x14ac:dyDescent="0.25">
      <c r="A51" s="3" t="s">
        <v>174</v>
      </c>
      <c r="B51" s="3" t="s">
        <v>31</v>
      </c>
      <c r="C51" s="3" t="s">
        <v>31</v>
      </c>
      <c r="D51" s="3">
        <v>93048</v>
      </c>
      <c r="E51" t="e">
        <f>_xlfn.XLOOKUP(D51,'[1]ATUALIZADO 16-04'!$B:$B,'[1]ATUALIZADO 16-04'!$B:$B)</f>
        <v>#N/A</v>
      </c>
      <c r="F51" s="3">
        <v>40</v>
      </c>
      <c r="G51" s="3" t="s">
        <v>35</v>
      </c>
      <c r="H51" s="3" t="s">
        <v>31</v>
      </c>
      <c r="I51" s="3" t="s">
        <v>27</v>
      </c>
      <c r="J51" s="4">
        <v>669912</v>
      </c>
      <c r="K51" s="4">
        <v>669912</v>
      </c>
    </row>
    <row r="52" spans="1:11" x14ac:dyDescent="0.25">
      <c r="A52" s="3" t="s">
        <v>174</v>
      </c>
      <c r="B52" s="3" t="s">
        <v>31</v>
      </c>
      <c r="C52" s="3" t="s">
        <v>31</v>
      </c>
      <c r="D52" s="3">
        <v>93045</v>
      </c>
      <c r="E52" t="e">
        <f>_xlfn.XLOOKUP(D52,'[1]ATUALIZADO 16-04'!$B:$B,'[1]ATUALIZADO 16-04'!$B:$B)</f>
        <v>#N/A</v>
      </c>
      <c r="F52" s="3">
        <v>40</v>
      </c>
      <c r="G52" s="3" t="s">
        <v>36</v>
      </c>
      <c r="H52" s="3" t="s">
        <v>31</v>
      </c>
      <c r="I52" s="3" t="s">
        <v>27</v>
      </c>
      <c r="J52" s="4">
        <v>1062600</v>
      </c>
      <c r="K52" s="4">
        <v>1062600</v>
      </c>
    </row>
    <row r="53" spans="1:11" x14ac:dyDescent="0.25">
      <c r="A53" s="3" t="s">
        <v>174</v>
      </c>
      <c r="B53" s="3" t="s">
        <v>31</v>
      </c>
      <c r="C53" s="3" t="s">
        <v>31</v>
      </c>
      <c r="D53" s="3">
        <v>93025</v>
      </c>
      <c r="E53" t="e">
        <f>_xlfn.XLOOKUP(D53,'[1]ATUALIZADO 16-04'!$B:$B,'[1]ATUALIZADO 16-04'!$B:$B)</f>
        <v>#N/A</v>
      </c>
      <c r="F53" s="3">
        <v>40</v>
      </c>
      <c r="G53" s="3" t="s">
        <v>26</v>
      </c>
      <c r="H53" s="3" t="s">
        <v>31</v>
      </c>
      <c r="I53" s="3" t="s">
        <v>41</v>
      </c>
      <c r="J53" s="4">
        <v>200000</v>
      </c>
      <c r="K53" s="4">
        <v>200000</v>
      </c>
    </row>
    <row r="54" spans="1:11" x14ac:dyDescent="0.25">
      <c r="A54" s="3" t="s">
        <v>174</v>
      </c>
      <c r="B54" s="3" t="s">
        <v>19</v>
      </c>
      <c r="C54" s="3" t="s">
        <v>31</v>
      </c>
      <c r="D54" s="3">
        <v>92798</v>
      </c>
      <c r="E54" t="e">
        <f>_xlfn.XLOOKUP(D54,'[1]ATUALIZADO 16-04'!$B:$B,'[1]ATUALIZADO 16-04'!$B:$B)</f>
        <v>#N/A</v>
      </c>
      <c r="F54" s="3">
        <v>40</v>
      </c>
      <c r="G54" s="3" t="s">
        <v>64</v>
      </c>
      <c r="H54" s="3" t="s">
        <v>19</v>
      </c>
      <c r="I54" s="3" t="s">
        <v>65</v>
      </c>
      <c r="J54" s="4">
        <v>393610.92</v>
      </c>
      <c r="K54" s="4">
        <v>393610.92</v>
      </c>
    </row>
    <row r="55" spans="1:11" x14ac:dyDescent="0.25">
      <c r="A55" s="1" t="s">
        <v>173</v>
      </c>
      <c r="B55" s="1" t="s">
        <v>34</v>
      </c>
      <c r="C55" s="1" t="s">
        <v>31</v>
      </c>
      <c r="D55" s="1">
        <v>92646</v>
      </c>
      <c r="E55" s="1" t="e">
        <f>_xlfn.XLOOKUP(D55,'[1]ATUALIZADO 16-04'!$B:$B,'[1]ATUALIZADO 16-04'!$B:$B)</f>
        <v>#N/A</v>
      </c>
      <c r="F55" s="1">
        <v>40</v>
      </c>
      <c r="G55" s="1" t="s">
        <v>26</v>
      </c>
      <c r="H55" s="1" t="s">
        <v>34</v>
      </c>
      <c r="I55" s="1" t="s">
        <v>81</v>
      </c>
      <c r="J55" s="2">
        <v>1850000</v>
      </c>
      <c r="K55" s="2">
        <v>1850000</v>
      </c>
    </row>
    <row r="56" spans="1:11" x14ac:dyDescent="0.25">
      <c r="A56" s="3" t="s">
        <v>174</v>
      </c>
      <c r="B56" s="3" t="s">
        <v>34</v>
      </c>
      <c r="C56" s="3" t="s">
        <v>51</v>
      </c>
      <c r="D56" s="3">
        <v>92627</v>
      </c>
      <c r="E56" t="e">
        <f>_xlfn.XLOOKUP(D56,'[1]ATUALIZADO 16-04'!$B:$B,'[1]ATUALIZADO 16-04'!$B:$B)</f>
        <v>#N/A</v>
      </c>
      <c r="F56" s="3">
        <v>40</v>
      </c>
      <c r="G56" s="3" t="s">
        <v>26</v>
      </c>
      <c r="H56" s="3" t="s">
        <v>34</v>
      </c>
      <c r="I56" s="3" t="s">
        <v>82</v>
      </c>
      <c r="J56" s="4">
        <v>1000000</v>
      </c>
      <c r="K56" s="4">
        <v>1000000</v>
      </c>
    </row>
    <row r="57" spans="1:11" x14ac:dyDescent="0.25">
      <c r="A57" s="3" t="s">
        <v>174</v>
      </c>
      <c r="B57" s="3" t="s">
        <v>34</v>
      </c>
      <c r="C57" s="3" t="s">
        <v>34</v>
      </c>
      <c r="D57" s="3">
        <v>92620</v>
      </c>
      <c r="E57" t="e">
        <f>_xlfn.XLOOKUP(D57,'[1]ATUALIZADO 16-04'!$B:$B,'[1]ATUALIZADO 16-04'!$B:$B)</f>
        <v>#N/A</v>
      </c>
      <c r="F57" s="3">
        <v>40</v>
      </c>
      <c r="G57" s="3" t="s">
        <v>26</v>
      </c>
      <c r="H57" s="3" t="s">
        <v>34</v>
      </c>
      <c r="I57" s="3" t="s">
        <v>83</v>
      </c>
      <c r="J57" s="4">
        <v>9070763.3399999999</v>
      </c>
      <c r="K57" s="4">
        <v>9070763.3399999999</v>
      </c>
    </row>
    <row r="58" spans="1:11" x14ac:dyDescent="0.25">
      <c r="A58" s="3" t="s">
        <v>174</v>
      </c>
      <c r="B58" s="3" t="s">
        <v>34</v>
      </c>
      <c r="C58" s="3" t="s">
        <v>51</v>
      </c>
      <c r="D58" s="3">
        <v>92618</v>
      </c>
      <c r="E58" t="e">
        <f>_xlfn.XLOOKUP(D58,'[1]ATUALIZADO 16-04'!$B:$B,'[1]ATUALIZADO 16-04'!$B:$B)</f>
        <v>#N/A</v>
      </c>
      <c r="F58" s="3">
        <v>40</v>
      </c>
      <c r="G58" s="3" t="s">
        <v>84</v>
      </c>
      <c r="H58" s="3" t="s">
        <v>34</v>
      </c>
      <c r="I58" s="3" t="s">
        <v>85</v>
      </c>
      <c r="J58" s="4">
        <v>18027520.760000002</v>
      </c>
      <c r="K58" s="4">
        <v>18027520.760000002</v>
      </c>
    </row>
    <row r="59" spans="1:11" x14ac:dyDescent="0.25">
      <c r="A59" s="3" t="s">
        <v>174</v>
      </c>
      <c r="B59" s="3" t="s">
        <v>34</v>
      </c>
      <c r="C59" s="3" t="s">
        <v>9</v>
      </c>
      <c r="D59" s="3">
        <v>92616</v>
      </c>
      <c r="E59" t="e">
        <f>_xlfn.XLOOKUP(D59,'[1]ATUALIZADO 16-04'!$B:$B,'[1]ATUALIZADO 16-04'!$B:$B)</f>
        <v>#N/A</v>
      </c>
      <c r="F59" s="3">
        <v>40</v>
      </c>
      <c r="G59" s="3" t="s">
        <v>26</v>
      </c>
      <c r="H59" s="3" t="s">
        <v>34</v>
      </c>
      <c r="I59" s="3" t="s">
        <v>86</v>
      </c>
      <c r="J59" s="4">
        <v>20527831.699999999</v>
      </c>
      <c r="K59" s="4">
        <v>20527831.699999999</v>
      </c>
    </row>
    <row r="60" spans="1:11" x14ac:dyDescent="0.25">
      <c r="A60" s="1" t="s">
        <v>173</v>
      </c>
      <c r="B60" s="1" t="s">
        <v>22</v>
      </c>
      <c r="C60" s="1" t="s">
        <v>22</v>
      </c>
      <c r="D60" s="1">
        <v>92477</v>
      </c>
      <c r="E60">
        <f>_xlfn.XLOOKUP(D60,'[1]ATUALIZADO 16-04'!$B:$B,'[1]ATUALIZADO 16-04'!$B:$B)</f>
        <v>92477</v>
      </c>
      <c r="F60" s="1">
        <v>40</v>
      </c>
      <c r="G60" s="1" t="s">
        <v>88</v>
      </c>
      <c r="H60" s="1" t="s">
        <v>79</v>
      </c>
      <c r="I60" s="1" t="s">
        <v>89</v>
      </c>
      <c r="J60" s="2">
        <v>4300</v>
      </c>
      <c r="K60" s="2">
        <v>4300</v>
      </c>
    </row>
    <row r="61" spans="1:11" x14ac:dyDescent="0.25">
      <c r="A61" s="1" t="s">
        <v>173</v>
      </c>
      <c r="B61" s="1" t="s">
        <v>79</v>
      </c>
      <c r="C61" s="1" t="s">
        <v>79</v>
      </c>
      <c r="D61" s="1">
        <v>92409</v>
      </c>
      <c r="E61">
        <f>_xlfn.XLOOKUP(D61,'[1]ATUALIZADO 16-04'!$B:$B,'[1]ATUALIZADO 16-04'!$B:$B)</f>
        <v>92409</v>
      </c>
      <c r="F61" s="1">
        <v>40</v>
      </c>
      <c r="G61" s="1" t="s">
        <v>93</v>
      </c>
      <c r="H61" s="1" t="s">
        <v>94</v>
      </c>
      <c r="I61" s="1" t="s">
        <v>95</v>
      </c>
      <c r="J61" s="2">
        <v>10620.67</v>
      </c>
      <c r="K61" s="2">
        <v>10619</v>
      </c>
    </row>
    <row r="62" spans="1:11" x14ac:dyDescent="0.25">
      <c r="A62" s="1" t="s">
        <v>173</v>
      </c>
      <c r="B62" s="1" t="s">
        <v>79</v>
      </c>
      <c r="C62" s="1" t="s">
        <v>19</v>
      </c>
      <c r="D62" s="1">
        <v>92407</v>
      </c>
      <c r="E62">
        <f>_xlfn.XLOOKUP(D62,'[1]ATUALIZADO 16-04'!$B:$B,'[1]ATUALIZADO 16-04'!$B:$B)</f>
        <v>92407</v>
      </c>
      <c r="F62" s="1">
        <v>40</v>
      </c>
      <c r="G62" s="1" t="s">
        <v>96</v>
      </c>
      <c r="H62" s="1" t="s">
        <v>94</v>
      </c>
      <c r="I62" s="1" t="s">
        <v>97</v>
      </c>
      <c r="J62" s="2">
        <v>16500</v>
      </c>
      <c r="K62" s="2">
        <v>16500</v>
      </c>
    </row>
    <row r="63" spans="1:11" x14ac:dyDescent="0.25">
      <c r="A63" s="1" t="s">
        <v>173</v>
      </c>
      <c r="B63" s="1" t="s">
        <v>79</v>
      </c>
      <c r="C63" s="1" t="s">
        <v>79</v>
      </c>
      <c r="D63" s="1">
        <v>92404</v>
      </c>
      <c r="E63">
        <f>_xlfn.XLOOKUP(D63,'[1]ATUALIZADO 16-04'!$B:$B,'[1]ATUALIZADO 16-04'!$B:$B)</f>
        <v>92404</v>
      </c>
      <c r="F63" s="1">
        <v>40</v>
      </c>
      <c r="G63" s="1" t="s">
        <v>98</v>
      </c>
      <c r="H63" s="1" t="s">
        <v>99</v>
      </c>
      <c r="I63" s="1" t="s">
        <v>100</v>
      </c>
      <c r="J63" s="2">
        <v>3861.11</v>
      </c>
      <c r="K63" s="2">
        <v>3861.11</v>
      </c>
    </row>
    <row r="64" spans="1:11" x14ac:dyDescent="0.25">
      <c r="A64" s="1" t="s">
        <v>173</v>
      </c>
      <c r="B64" s="1" t="s">
        <v>79</v>
      </c>
      <c r="C64" s="1" t="s">
        <v>79</v>
      </c>
      <c r="D64" s="1">
        <v>92402</v>
      </c>
      <c r="E64">
        <f>_xlfn.XLOOKUP(D64,'[1]ATUALIZADO 16-04'!$B:$B,'[1]ATUALIZADO 16-04'!$B:$B)</f>
        <v>92402</v>
      </c>
      <c r="F64" s="1">
        <v>40</v>
      </c>
      <c r="G64" s="1" t="s">
        <v>101</v>
      </c>
      <c r="H64" s="1" t="s">
        <v>99</v>
      </c>
      <c r="I64" s="1" t="s">
        <v>102</v>
      </c>
      <c r="J64" s="2">
        <v>4972</v>
      </c>
      <c r="K64" s="2">
        <v>4972</v>
      </c>
    </row>
    <row r="65" spans="1:11" x14ac:dyDescent="0.25">
      <c r="A65" s="1" t="s">
        <v>173</v>
      </c>
      <c r="B65" s="1" t="s">
        <v>79</v>
      </c>
      <c r="C65" s="1" t="s">
        <v>79</v>
      </c>
      <c r="D65" s="1">
        <v>92400</v>
      </c>
      <c r="E65">
        <f>_xlfn.XLOOKUP(D65,'[1]ATUALIZADO 16-04'!$B:$B,'[1]ATUALIZADO 16-04'!$B:$B)</f>
        <v>92400</v>
      </c>
      <c r="F65" s="1">
        <v>40</v>
      </c>
      <c r="G65" s="1" t="s">
        <v>103</v>
      </c>
      <c r="H65" s="1" t="s">
        <v>99</v>
      </c>
      <c r="I65" s="1" t="s">
        <v>104</v>
      </c>
      <c r="J65" s="2">
        <v>7099.2</v>
      </c>
      <c r="K65" s="2">
        <v>7099.2</v>
      </c>
    </row>
    <row r="66" spans="1:11" x14ac:dyDescent="0.25">
      <c r="A66" s="1" t="s">
        <v>173</v>
      </c>
      <c r="B66" s="1" t="s">
        <v>94</v>
      </c>
      <c r="C66" s="1" t="s">
        <v>94</v>
      </c>
      <c r="D66" s="1">
        <v>92059</v>
      </c>
      <c r="E66">
        <f>_xlfn.XLOOKUP(D66,'[1]ATUALIZADO 16-04'!$B:$B,'[1]ATUALIZADO 16-04'!$B:$B)</f>
        <v>92059</v>
      </c>
      <c r="F66" s="1">
        <v>40</v>
      </c>
      <c r="G66" s="1" t="s">
        <v>105</v>
      </c>
      <c r="H66" s="1" t="s">
        <v>73</v>
      </c>
      <c r="I66" s="1" t="s">
        <v>106</v>
      </c>
      <c r="J66" s="2">
        <v>32280</v>
      </c>
      <c r="K66" s="2">
        <v>32280</v>
      </c>
    </row>
    <row r="67" spans="1:11" x14ac:dyDescent="0.25">
      <c r="A67" s="1" t="s">
        <v>173</v>
      </c>
      <c r="B67" s="1" t="s">
        <v>99</v>
      </c>
      <c r="C67" s="1" t="s">
        <v>99</v>
      </c>
      <c r="D67" s="1">
        <v>92031</v>
      </c>
      <c r="E67">
        <f>_xlfn.XLOOKUP(D67,'[1]ATUALIZADO 16-04'!$B:$B,'[1]ATUALIZADO 16-04'!$B:$B)</f>
        <v>92031</v>
      </c>
      <c r="F67" s="1">
        <v>40</v>
      </c>
      <c r="G67" s="1" t="s">
        <v>107</v>
      </c>
      <c r="H67" s="1" t="s">
        <v>108</v>
      </c>
      <c r="I67" s="1" t="s">
        <v>109</v>
      </c>
      <c r="J67" s="2">
        <v>6635</v>
      </c>
      <c r="K67" s="2">
        <v>6635</v>
      </c>
    </row>
    <row r="68" spans="1:11" x14ac:dyDescent="0.25">
      <c r="A68" s="1" t="s">
        <v>173</v>
      </c>
      <c r="B68" s="1" t="s">
        <v>99</v>
      </c>
      <c r="C68" s="1" t="s">
        <v>99</v>
      </c>
      <c r="D68" s="1">
        <v>92019</v>
      </c>
      <c r="E68">
        <f>_xlfn.XLOOKUP(D68,'[1]ATUALIZADO 16-04'!$B:$B,'[1]ATUALIZADO 16-04'!$B:$B)</f>
        <v>92019</v>
      </c>
      <c r="F68" s="1">
        <v>40</v>
      </c>
      <c r="G68" s="1" t="s">
        <v>110</v>
      </c>
      <c r="H68" s="1" t="s">
        <v>73</v>
      </c>
      <c r="I68" s="1" t="s">
        <v>111</v>
      </c>
      <c r="J68" s="2">
        <v>1367.37</v>
      </c>
      <c r="K68" s="2">
        <v>1367.37</v>
      </c>
    </row>
    <row r="69" spans="1:11" x14ac:dyDescent="0.25">
      <c r="A69" s="1" t="s">
        <v>173</v>
      </c>
      <c r="B69" s="1" t="s">
        <v>99</v>
      </c>
      <c r="C69" s="1" t="s">
        <v>99</v>
      </c>
      <c r="D69" s="1">
        <v>92011</v>
      </c>
      <c r="E69">
        <f>_xlfn.XLOOKUP(D69,'[1]ATUALIZADO 16-04'!$B:$B,'[1]ATUALIZADO 16-04'!$B:$B)</f>
        <v>92011</v>
      </c>
      <c r="F69" s="1">
        <v>40</v>
      </c>
      <c r="G69" s="1" t="s">
        <v>112</v>
      </c>
      <c r="H69" s="1" t="s">
        <v>73</v>
      </c>
      <c r="I69" s="1" t="s">
        <v>113</v>
      </c>
      <c r="J69" s="2">
        <v>795</v>
      </c>
      <c r="K69" s="2">
        <v>795</v>
      </c>
    </row>
    <row r="70" spans="1:11" x14ac:dyDescent="0.25">
      <c r="A70" s="1" t="s">
        <v>173</v>
      </c>
      <c r="B70" s="1" t="s">
        <v>99</v>
      </c>
      <c r="C70" s="1" t="s">
        <v>99</v>
      </c>
      <c r="D70" s="1">
        <v>92009</v>
      </c>
      <c r="E70">
        <f>_xlfn.XLOOKUP(D70,'[1]ATUALIZADO 16-04'!$B:$B,'[1]ATUALIZADO 16-04'!$B:$B)</f>
        <v>92009</v>
      </c>
      <c r="F70" s="1">
        <v>40</v>
      </c>
      <c r="G70" s="1" t="s">
        <v>114</v>
      </c>
      <c r="H70" s="1" t="s">
        <v>115</v>
      </c>
      <c r="I70" s="1" t="s">
        <v>23</v>
      </c>
      <c r="J70" s="2">
        <v>183.06</v>
      </c>
      <c r="K70" s="2">
        <v>183.06</v>
      </c>
    </row>
    <row r="71" spans="1:11" x14ac:dyDescent="0.25">
      <c r="A71" s="1" t="s">
        <v>173</v>
      </c>
      <c r="B71" s="1" t="s">
        <v>99</v>
      </c>
      <c r="C71" s="1" t="s">
        <v>99</v>
      </c>
      <c r="D71" s="1">
        <v>91949</v>
      </c>
      <c r="E71">
        <f>_xlfn.XLOOKUP(D71,'[1]ATUALIZADO 16-04'!$B:$B,'[1]ATUALIZADO 16-04'!$B:$B)</f>
        <v>91949</v>
      </c>
      <c r="F71" s="1">
        <v>40</v>
      </c>
      <c r="G71" s="1" t="s">
        <v>116</v>
      </c>
      <c r="H71" s="1" t="s">
        <v>117</v>
      </c>
      <c r="I71" s="1" t="s">
        <v>118</v>
      </c>
      <c r="J71" s="2">
        <v>93280</v>
      </c>
      <c r="K71" s="2">
        <v>93280</v>
      </c>
    </row>
    <row r="72" spans="1:11" x14ac:dyDescent="0.25">
      <c r="A72" s="1" t="s">
        <v>173</v>
      </c>
      <c r="B72" s="1" t="s">
        <v>99</v>
      </c>
      <c r="C72" s="1" t="s">
        <v>94</v>
      </c>
      <c r="D72" s="1">
        <v>91938</v>
      </c>
      <c r="E72">
        <f>_xlfn.XLOOKUP(D72,'[1]ATUALIZADO 16-04'!$B:$B,'[1]ATUALIZADO 16-04'!$B:$B)</f>
        <v>91938</v>
      </c>
      <c r="F72" s="1">
        <v>40</v>
      </c>
      <c r="G72" s="1" t="s">
        <v>26</v>
      </c>
      <c r="H72" s="1" t="s">
        <v>99</v>
      </c>
      <c r="I72" s="1" t="s">
        <v>120</v>
      </c>
      <c r="J72" s="2">
        <v>58140</v>
      </c>
      <c r="K72" s="2">
        <v>58140</v>
      </c>
    </row>
    <row r="73" spans="1:11" x14ac:dyDescent="0.25">
      <c r="A73" s="1" t="s">
        <v>173</v>
      </c>
      <c r="B73" s="1" t="s">
        <v>99</v>
      </c>
      <c r="C73" s="1" t="s">
        <v>99</v>
      </c>
      <c r="D73" s="1">
        <v>91931</v>
      </c>
      <c r="E73">
        <f>_xlfn.XLOOKUP(D73,'[1]ATUALIZADO 16-04'!$B:$B,'[1]ATUALIZADO 16-04'!$B:$B)</f>
        <v>91931</v>
      </c>
      <c r="F73" s="1">
        <v>40</v>
      </c>
      <c r="G73" s="1" t="s">
        <v>126</v>
      </c>
      <c r="H73" s="1" t="s">
        <v>117</v>
      </c>
      <c r="I73" s="1" t="s">
        <v>38</v>
      </c>
      <c r="J73" s="2">
        <v>2300</v>
      </c>
      <c r="K73" s="2">
        <v>2300</v>
      </c>
    </row>
    <row r="74" spans="1:11" x14ac:dyDescent="0.25">
      <c r="A74" s="1" t="s">
        <v>173</v>
      </c>
      <c r="B74" s="1" t="s">
        <v>117</v>
      </c>
      <c r="C74" s="1" t="s">
        <v>117</v>
      </c>
      <c r="D74" s="1">
        <v>91908</v>
      </c>
      <c r="E74">
        <f>_xlfn.XLOOKUP(D74,'[1]ATUALIZADO 16-04'!$B:$B,'[1]ATUALIZADO 16-04'!$B:$B)</f>
        <v>91908</v>
      </c>
      <c r="F74" s="1">
        <v>40</v>
      </c>
      <c r="G74" s="1" t="s">
        <v>127</v>
      </c>
      <c r="H74" s="1" t="s">
        <v>73</v>
      </c>
      <c r="I74" s="1" t="s">
        <v>128</v>
      </c>
      <c r="J74" s="2">
        <v>40745.599999999999</v>
      </c>
      <c r="K74" s="2">
        <v>40745.599999999999</v>
      </c>
    </row>
    <row r="75" spans="1:11" x14ac:dyDescent="0.25">
      <c r="A75" s="1" t="s">
        <v>173</v>
      </c>
      <c r="B75" s="1" t="s">
        <v>117</v>
      </c>
      <c r="C75" s="1" t="s">
        <v>117</v>
      </c>
      <c r="D75" s="1">
        <v>91905</v>
      </c>
      <c r="E75">
        <f>_xlfn.XLOOKUP(D75,'[1]ATUALIZADO 16-04'!$B:$B,'[1]ATUALIZADO 16-04'!$B:$B)</f>
        <v>91905</v>
      </c>
      <c r="F75" s="1">
        <v>40</v>
      </c>
      <c r="G75" s="1" t="s">
        <v>129</v>
      </c>
      <c r="H75" s="1" t="s">
        <v>73</v>
      </c>
      <c r="I75" s="1" t="s">
        <v>128</v>
      </c>
      <c r="J75" s="2">
        <v>42224</v>
      </c>
      <c r="K75" s="2">
        <v>42224</v>
      </c>
    </row>
    <row r="76" spans="1:11" x14ac:dyDescent="0.25">
      <c r="A76" s="1" t="s">
        <v>173</v>
      </c>
      <c r="B76" s="1" t="s">
        <v>117</v>
      </c>
      <c r="C76" s="1" t="s">
        <v>117</v>
      </c>
      <c r="D76" s="1">
        <v>91903</v>
      </c>
      <c r="E76">
        <f>_xlfn.XLOOKUP(D76,'[1]ATUALIZADO 16-04'!$B:$B,'[1]ATUALIZADO 16-04'!$B:$B)</f>
        <v>91903</v>
      </c>
      <c r="F76" s="1">
        <v>40</v>
      </c>
      <c r="G76" s="1" t="s">
        <v>130</v>
      </c>
      <c r="H76" s="1" t="s">
        <v>73</v>
      </c>
      <c r="I76" s="1" t="s">
        <v>128</v>
      </c>
      <c r="J76" s="2">
        <v>15575</v>
      </c>
      <c r="K76" s="2">
        <v>15575</v>
      </c>
    </row>
    <row r="77" spans="1:11" x14ac:dyDescent="0.25">
      <c r="A77" s="1" t="s">
        <v>173</v>
      </c>
      <c r="B77" s="1" t="s">
        <v>131</v>
      </c>
      <c r="C77" s="1" t="s">
        <v>131</v>
      </c>
      <c r="D77" s="1">
        <v>91535</v>
      </c>
      <c r="E77">
        <f>_xlfn.XLOOKUP(D77,'[1]ATUALIZADO 16-04'!$B:$B,'[1]ATUALIZADO 16-04'!$B:$B)</f>
        <v>91535</v>
      </c>
      <c r="F77" s="1">
        <v>40</v>
      </c>
      <c r="G77" s="1" t="s">
        <v>132</v>
      </c>
      <c r="H77" s="1" t="s">
        <v>76</v>
      </c>
      <c r="I77" s="1" t="s">
        <v>77</v>
      </c>
      <c r="J77" s="2">
        <v>2176885.6800000002</v>
      </c>
      <c r="K77" s="2">
        <v>2032122.79</v>
      </c>
    </row>
    <row r="78" spans="1:11" x14ac:dyDescent="0.25">
      <c r="A78" s="1" t="s">
        <v>173</v>
      </c>
      <c r="B78" s="1" t="s">
        <v>133</v>
      </c>
      <c r="C78" s="1" t="s">
        <v>115</v>
      </c>
      <c r="D78" s="1">
        <v>91399</v>
      </c>
      <c r="E78">
        <f>_xlfn.XLOOKUP(D78,'[1]ATUALIZADO 16-04'!$B:$B,'[1]ATUALIZADO 16-04'!$B:$B)</f>
        <v>91399</v>
      </c>
      <c r="F78" s="1">
        <v>40</v>
      </c>
      <c r="G78" s="1" t="s">
        <v>134</v>
      </c>
      <c r="H78" s="1" t="s">
        <v>76</v>
      </c>
      <c r="I78" s="1" t="s">
        <v>135</v>
      </c>
      <c r="J78" s="2">
        <v>1434897.95</v>
      </c>
      <c r="K78" s="2">
        <v>1267732.3400000001</v>
      </c>
    </row>
    <row r="79" spans="1:11" x14ac:dyDescent="0.25">
      <c r="A79" s="1" t="s">
        <v>173</v>
      </c>
      <c r="B79" s="1" t="s">
        <v>133</v>
      </c>
      <c r="C79" s="1" t="s">
        <v>115</v>
      </c>
      <c r="D79" s="1">
        <v>91371</v>
      </c>
      <c r="E79">
        <f>_xlfn.XLOOKUP(D79,'[1]ATUALIZADO 16-04'!$B:$B,'[1]ATUALIZADO 16-04'!$B:$B)</f>
        <v>91371</v>
      </c>
      <c r="F79" s="1">
        <v>40</v>
      </c>
      <c r="G79" s="1" t="s">
        <v>136</v>
      </c>
      <c r="H79" s="1" t="s">
        <v>133</v>
      </c>
      <c r="I79" s="1" t="s">
        <v>137</v>
      </c>
      <c r="J79" s="2">
        <v>2666189.0299999998</v>
      </c>
      <c r="K79" s="2">
        <v>2430231.2999999998</v>
      </c>
    </row>
    <row r="80" spans="1:11" x14ac:dyDescent="0.25">
      <c r="A80" s="1" t="s">
        <v>173</v>
      </c>
      <c r="B80" s="1" t="s">
        <v>76</v>
      </c>
      <c r="C80" s="1" t="s">
        <v>115</v>
      </c>
      <c r="D80" s="1">
        <v>91326</v>
      </c>
      <c r="E80">
        <f>_xlfn.XLOOKUP(D80,'[1]ATUALIZADO 16-04'!$B:$B,'[1]ATUALIZADO 16-04'!$B:$B)</f>
        <v>91326</v>
      </c>
      <c r="F80" s="1">
        <v>40</v>
      </c>
      <c r="G80" s="1" t="s">
        <v>139</v>
      </c>
      <c r="H80" s="1" t="s">
        <v>76</v>
      </c>
      <c r="I80" s="1" t="s">
        <v>140</v>
      </c>
      <c r="J80" s="2">
        <v>36576.339999999997</v>
      </c>
      <c r="K80" s="2">
        <v>32918.71</v>
      </c>
    </row>
    <row r="81" spans="1:11" x14ac:dyDescent="0.25">
      <c r="A81" s="1" t="s">
        <v>173</v>
      </c>
      <c r="B81" s="1" t="s">
        <v>76</v>
      </c>
      <c r="C81" s="1" t="s">
        <v>115</v>
      </c>
      <c r="D81" s="1">
        <v>91297</v>
      </c>
      <c r="E81">
        <f>_xlfn.XLOOKUP(D81,'[1]ATUALIZADO 16-04'!$B:$B,'[1]ATUALIZADO 16-04'!$B:$B)</f>
        <v>91297</v>
      </c>
      <c r="F81" s="1">
        <v>40</v>
      </c>
      <c r="G81" s="1" t="s">
        <v>141</v>
      </c>
      <c r="H81" s="1" t="s">
        <v>76</v>
      </c>
      <c r="I81" s="1" t="s">
        <v>137</v>
      </c>
      <c r="J81" s="2">
        <v>259763.55</v>
      </c>
      <c r="K81" s="2">
        <v>233787.2</v>
      </c>
    </row>
    <row r="82" spans="1:11" x14ac:dyDescent="0.25">
      <c r="A82" s="1" t="s">
        <v>173</v>
      </c>
      <c r="B82" s="1" t="s">
        <v>76</v>
      </c>
      <c r="C82" s="1" t="s">
        <v>115</v>
      </c>
      <c r="D82" s="1">
        <v>91289</v>
      </c>
      <c r="E82">
        <f>_xlfn.XLOOKUP(D82,'[1]ATUALIZADO 16-04'!$B:$B,'[1]ATUALIZADO 16-04'!$B:$B)</f>
        <v>91289</v>
      </c>
      <c r="F82" s="1">
        <v>40</v>
      </c>
      <c r="G82" s="1" t="s">
        <v>142</v>
      </c>
      <c r="H82" s="1" t="s">
        <v>76</v>
      </c>
      <c r="I82" s="1" t="s">
        <v>137</v>
      </c>
      <c r="J82" s="2">
        <v>1155672.06</v>
      </c>
      <c r="K82" s="2">
        <v>1053395.0900000001</v>
      </c>
    </row>
    <row r="83" spans="1:11" x14ac:dyDescent="0.25">
      <c r="A83" s="1" t="s">
        <v>173</v>
      </c>
      <c r="B83" s="1" t="s">
        <v>76</v>
      </c>
      <c r="C83" s="1" t="s">
        <v>115</v>
      </c>
      <c r="D83" s="1">
        <v>91286</v>
      </c>
      <c r="E83">
        <f>_xlfn.XLOOKUP(D83,'[1]ATUALIZADO 16-04'!$B:$B,'[1]ATUALIZADO 16-04'!$B:$B)</f>
        <v>91286</v>
      </c>
      <c r="F83" s="1">
        <v>40</v>
      </c>
      <c r="G83" s="1" t="s">
        <v>143</v>
      </c>
      <c r="H83" s="1" t="s">
        <v>76</v>
      </c>
      <c r="I83" s="1" t="s">
        <v>137</v>
      </c>
      <c r="J83" s="2">
        <v>77368.62</v>
      </c>
      <c r="K83" s="2">
        <v>69631.759999999995</v>
      </c>
    </row>
    <row r="84" spans="1:11" x14ac:dyDescent="0.25">
      <c r="A84" s="1" t="s">
        <v>173</v>
      </c>
      <c r="B84" s="1" t="s">
        <v>76</v>
      </c>
      <c r="C84" s="1" t="s">
        <v>115</v>
      </c>
      <c r="D84" s="1">
        <v>91268</v>
      </c>
      <c r="E84">
        <f>_xlfn.XLOOKUP(D84,'[1]ATUALIZADO 16-04'!$B:$B,'[1]ATUALIZADO 16-04'!$B:$B)</f>
        <v>91268</v>
      </c>
      <c r="F84" s="1">
        <v>40</v>
      </c>
      <c r="G84" s="1" t="s">
        <v>148</v>
      </c>
      <c r="H84" s="1" t="s">
        <v>76</v>
      </c>
      <c r="I84" s="1" t="s">
        <v>43</v>
      </c>
      <c r="J84" s="2">
        <v>9787.5</v>
      </c>
      <c r="K84" s="2">
        <v>9787.5</v>
      </c>
    </row>
    <row r="85" spans="1:11" x14ac:dyDescent="0.25">
      <c r="A85" s="1" t="s">
        <v>173</v>
      </c>
      <c r="B85" s="1" t="s">
        <v>76</v>
      </c>
      <c r="C85" s="1" t="s">
        <v>76</v>
      </c>
      <c r="D85" s="1">
        <v>91165</v>
      </c>
      <c r="E85">
        <f>_xlfn.XLOOKUP(D85,'[1]ATUALIZADO 16-04'!$B:$B,'[1]ATUALIZADO 16-04'!$B:$B)</f>
        <v>91165</v>
      </c>
      <c r="F85" s="1">
        <v>40</v>
      </c>
      <c r="G85" s="1" t="s">
        <v>149</v>
      </c>
      <c r="H85" s="1" t="s">
        <v>150</v>
      </c>
      <c r="I85" s="1" t="s">
        <v>151</v>
      </c>
      <c r="J85" s="2">
        <v>7000</v>
      </c>
      <c r="K85" s="2">
        <v>7000</v>
      </c>
    </row>
    <row r="86" spans="1:11" x14ac:dyDescent="0.25">
      <c r="A86" s="1" t="s">
        <v>173</v>
      </c>
      <c r="B86" s="1" t="s">
        <v>150</v>
      </c>
      <c r="C86" s="1" t="s">
        <v>76</v>
      </c>
      <c r="D86" s="1">
        <v>91079</v>
      </c>
      <c r="E86">
        <f>_xlfn.XLOOKUP(D86,'[1]ATUALIZADO 16-04'!$B:$B,'[1]ATUALIZADO 16-04'!$B:$B)</f>
        <v>91079</v>
      </c>
      <c r="F86" s="1">
        <v>40</v>
      </c>
      <c r="G86" s="1" t="s">
        <v>152</v>
      </c>
      <c r="H86" s="1" t="s">
        <v>91</v>
      </c>
      <c r="I86" s="1" t="s">
        <v>153</v>
      </c>
      <c r="J86" s="2">
        <v>11921</v>
      </c>
      <c r="K86" s="2">
        <v>11921</v>
      </c>
    </row>
    <row r="87" spans="1:11" x14ac:dyDescent="0.25">
      <c r="A87" s="1" t="s">
        <v>173</v>
      </c>
      <c r="B87" s="1" t="s">
        <v>154</v>
      </c>
      <c r="C87" s="1" t="s">
        <v>154</v>
      </c>
      <c r="D87" s="1">
        <v>90381</v>
      </c>
      <c r="E87">
        <f>_xlfn.XLOOKUP(D87,'[1]ATUALIZADO 16-04'!$B:$B,'[1]ATUALIZADO 16-04'!$B:$B)</f>
        <v>90381</v>
      </c>
      <c r="F87" s="1">
        <v>40</v>
      </c>
      <c r="G87" s="1" t="s">
        <v>155</v>
      </c>
      <c r="H87" s="1" t="s">
        <v>154</v>
      </c>
      <c r="I87" s="1" t="s">
        <v>156</v>
      </c>
      <c r="J87" s="2">
        <v>5920.95</v>
      </c>
      <c r="K87" s="2">
        <v>5920.95</v>
      </c>
    </row>
    <row r="88" spans="1:11" x14ac:dyDescent="0.25">
      <c r="A88" s="1" t="s">
        <v>173</v>
      </c>
      <c r="B88" s="1" t="s">
        <v>154</v>
      </c>
      <c r="C88" s="1" t="s">
        <v>133</v>
      </c>
      <c r="D88" s="1">
        <v>90348</v>
      </c>
      <c r="E88">
        <f>_xlfn.XLOOKUP(D88,'[1]ATUALIZADO 16-04'!$B:$B,'[1]ATUALIZADO 16-04'!$B:$B)</f>
        <v>90348</v>
      </c>
      <c r="F88" s="1">
        <v>40</v>
      </c>
      <c r="G88" s="1" t="s">
        <v>157</v>
      </c>
      <c r="H88" s="1" t="s">
        <v>158</v>
      </c>
      <c r="I88" s="1" t="s">
        <v>159</v>
      </c>
      <c r="J88" s="2">
        <v>75000</v>
      </c>
      <c r="K88" s="2">
        <v>75000</v>
      </c>
    </row>
    <row r="89" spans="1:11" x14ac:dyDescent="0.25">
      <c r="A89" s="1" t="s">
        <v>173</v>
      </c>
      <c r="B89" s="1" t="s">
        <v>154</v>
      </c>
      <c r="C89" s="1" t="s">
        <v>154</v>
      </c>
      <c r="D89" s="1">
        <v>90338</v>
      </c>
      <c r="E89">
        <f>_xlfn.XLOOKUP(D89,'[1]ATUALIZADO 16-04'!$B:$B,'[1]ATUALIZADO 16-04'!$B:$B)</f>
        <v>90338</v>
      </c>
      <c r="F89" s="1">
        <v>40</v>
      </c>
      <c r="G89" s="1" t="s">
        <v>160</v>
      </c>
      <c r="H89" s="1" t="s">
        <v>158</v>
      </c>
      <c r="I89" s="1" t="s">
        <v>47</v>
      </c>
      <c r="J89" s="2">
        <v>73200</v>
      </c>
      <c r="K89" s="2">
        <v>73200</v>
      </c>
    </row>
    <row r="90" spans="1:11" x14ac:dyDescent="0.25">
      <c r="A90" s="1" t="s">
        <v>173</v>
      </c>
      <c r="B90" s="1" t="s">
        <v>154</v>
      </c>
      <c r="C90" s="1" t="s">
        <v>154</v>
      </c>
      <c r="D90" s="1">
        <v>90337</v>
      </c>
      <c r="E90">
        <f>_xlfn.XLOOKUP(D90,'[1]ATUALIZADO 16-04'!$B:$B,'[1]ATUALIZADO 16-04'!$B:$B)</f>
        <v>90337</v>
      </c>
      <c r="F90" s="1">
        <v>40</v>
      </c>
      <c r="G90" s="1" t="s">
        <v>161</v>
      </c>
      <c r="H90" s="1" t="s">
        <v>158</v>
      </c>
      <c r="I90" s="1" t="s">
        <v>162</v>
      </c>
      <c r="J90" s="2">
        <v>90000</v>
      </c>
      <c r="K90" s="2">
        <v>90000</v>
      </c>
    </row>
    <row r="91" spans="1:11" x14ac:dyDescent="0.25">
      <c r="A91" s="1" t="s">
        <v>173</v>
      </c>
      <c r="B91" s="1" t="s">
        <v>154</v>
      </c>
      <c r="C91" s="1" t="s">
        <v>133</v>
      </c>
      <c r="D91" s="1">
        <v>90335</v>
      </c>
      <c r="E91">
        <f>_xlfn.XLOOKUP(D91,'[1]ATUALIZADO 16-04'!$B:$B,'[1]ATUALIZADO 16-04'!$B:$B)</f>
        <v>90335</v>
      </c>
      <c r="F91" s="1">
        <v>40</v>
      </c>
      <c r="G91" s="1" t="s">
        <v>163</v>
      </c>
      <c r="H91" s="1" t="s">
        <v>158</v>
      </c>
      <c r="I91" s="1" t="s">
        <v>49</v>
      </c>
      <c r="J91" s="2">
        <v>113731.45</v>
      </c>
      <c r="K91" s="2">
        <v>106736.97</v>
      </c>
    </row>
    <row r="92" spans="1:11" x14ac:dyDescent="0.25">
      <c r="A92" s="1" t="s">
        <v>173</v>
      </c>
      <c r="B92" s="1" t="s">
        <v>154</v>
      </c>
      <c r="C92" s="1" t="s">
        <v>154</v>
      </c>
      <c r="D92" s="1">
        <v>90333</v>
      </c>
      <c r="E92">
        <f>_xlfn.XLOOKUP(D92,'[1]ATUALIZADO 16-04'!$B:$B,'[1]ATUALIZADO 16-04'!$B:$B)</f>
        <v>90333</v>
      </c>
      <c r="F92" s="1">
        <v>40</v>
      </c>
      <c r="G92" s="1" t="s">
        <v>164</v>
      </c>
      <c r="H92" s="1" t="s">
        <v>165</v>
      </c>
      <c r="I92" s="1" t="s">
        <v>45</v>
      </c>
      <c r="J92" s="2">
        <v>13500</v>
      </c>
      <c r="K92" s="2">
        <v>13500</v>
      </c>
    </row>
    <row r="93" spans="1:11" x14ac:dyDescent="0.25">
      <c r="A93" s="1" t="s">
        <v>173</v>
      </c>
      <c r="B93" s="1" t="s">
        <v>154</v>
      </c>
      <c r="C93" s="1" t="s">
        <v>154</v>
      </c>
      <c r="D93" s="1">
        <v>90332</v>
      </c>
      <c r="E93">
        <f>_xlfn.XLOOKUP(D93,'[1]ATUALIZADO 16-04'!$B:$B,'[1]ATUALIZADO 16-04'!$B:$B)</f>
        <v>90332</v>
      </c>
      <c r="F93" s="1">
        <v>40</v>
      </c>
      <c r="G93" s="1" t="s">
        <v>166</v>
      </c>
      <c r="H93" s="1" t="s">
        <v>165</v>
      </c>
      <c r="I93" s="1" t="s">
        <v>32</v>
      </c>
      <c r="J93" s="2">
        <v>43500</v>
      </c>
      <c r="K93" s="2">
        <v>43500</v>
      </c>
    </row>
    <row r="94" spans="1:11" x14ac:dyDescent="0.25">
      <c r="A94" s="1" t="s">
        <v>173</v>
      </c>
      <c r="B94" s="1" t="s">
        <v>154</v>
      </c>
      <c r="C94" s="1" t="s">
        <v>154</v>
      </c>
      <c r="D94" s="1">
        <v>90331</v>
      </c>
      <c r="E94">
        <f>_xlfn.XLOOKUP(D94,'[1]ATUALIZADO 16-04'!$B:$B,'[1]ATUALIZADO 16-04'!$B:$B)</f>
        <v>90331</v>
      </c>
      <c r="F94" s="1">
        <v>40</v>
      </c>
      <c r="G94" s="1" t="s">
        <v>167</v>
      </c>
      <c r="H94" s="1" t="s">
        <v>165</v>
      </c>
      <c r="I94" s="1" t="s">
        <v>25</v>
      </c>
      <c r="J94" s="2">
        <v>550000</v>
      </c>
      <c r="K94" s="2">
        <v>550000</v>
      </c>
    </row>
    <row r="95" spans="1:11" x14ac:dyDescent="0.25">
      <c r="A95" s="1" t="s">
        <v>173</v>
      </c>
      <c r="B95" s="1" t="s">
        <v>154</v>
      </c>
      <c r="C95" s="1" t="s">
        <v>168</v>
      </c>
      <c r="D95" s="1">
        <v>90328</v>
      </c>
      <c r="E95">
        <f>_xlfn.XLOOKUP(D95,'[1]ATUALIZADO 16-04'!$B:$B,'[1]ATUALIZADO 16-04'!$B:$B)</f>
        <v>90328</v>
      </c>
      <c r="F95" s="1">
        <v>40</v>
      </c>
      <c r="G95" s="1" t="s">
        <v>125</v>
      </c>
      <c r="H95" s="1" t="s">
        <v>158</v>
      </c>
      <c r="I95" s="1" t="s">
        <v>137</v>
      </c>
      <c r="J95" s="2">
        <v>6713272.4400000004</v>
      </c>
      <c r="K95" s="2">
        <v>6713272.4400000004</v>
      </c>
    </row>
    <row r="96" spans="1:11" x14ac:dyDescent="0.25">
      <c r="A96" s="1" t="s">
        <v>173</v>
      </c>
      <c r="B96" s="1" t="s">
        <v>165</v>
      </c>
      <c r="C96" s="1" t="s">
        <v>165</v>
      </c>
      <c r="D96" s="1">
        <v>90185</v>
      </c>
      <c r="E96">
        <f>_xlfn.XLOOKUP(D96,'[1]ATUALIZADO 16-04'!$B:$B,'[1]ATUALIZADO 16-04'!$B:$B)</f>
        <v>90185</v>
      </c>
      <c r="F96" s="1">
        <v>40</v>
      </c>
      <c r="G96" s="1" t="s">
        <v>169</v>
      </c>
      <c r="H96" s="1" t="s">
        <v>170</v>
      </c>
      <c r="I96" s="1" t="s">
        <v>137</v>
      </c>
      <c r="J96" s="2">
        <v>5000000</v>
      </c>
      <c r="K96" s="2">
        <v>5000000</v>
      </c>
    </row>
    <row r="97" spans="1:11" x14ac:dyDescent="0.25">
      <c r="A97" s="1" t="s">
        <v>173</v>
      </c>
      <c r="B97" s="1" t="s">
        <v>171</v>
      </c>
      <c r="C97" s="1" t="s">
        <v>76</v>
      </c>
      <c r="D97" s="1">
        <v>89426</v>
      </c>
      <c r="E97">
        <f>_xlfn.XLOOKUP(D97,'[1]ATUALIZADO 16-04'!$B:$B,'[1]ATUALIZADO 16-04'!$B:$B)</f>
        <v>89426</v>
      </c>
      <c r="F97" s="1">
        <v>40</v>
      </c>
      <c r="G97" s="1" t="s">
        <v>64</v>
      </c>
      <c r="H97" s="1" t="s">
        <v>171</v>
      </c>
      <c r="I97" s="1" t="s">
        <v>135</v>
      </c>
      <c r="J97" s="2">
        <v>3128735.56</v>
      </c>
      <c r="K97" s="2">
        <v>3128735.56</v>
      </c>
    </row>
  </sheetData>
  <autoFilter ref="A1:K97" xr:uid="{00000000-0001-0000-0000-000000000000}"/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C6B91B56666A46B8E988F3A40CE3F7" ma:contentTypeVersion="12" ma:contentTypeDescription="Crie um novo documento." ma:contentTypeScope="" ma:versionID="87c8b47d7caba48b62700196122c4098">
  <xsd:schema xmlns:xsd="http://www.w3.org/2001/XMLSchema" xmlns:xs="http://www.w3.org/2001/XMLSchema" xmlns:p="http://schemas.microsoft.com/office/2006/metadata/properties" xmlns:ns2="f07c5de3-9a7e-4746-8864-4639822a3b04" xmlns:ns3="fa6617d2-e089-4eba-9d23-c7e770ea425c" targetNamespace="http://schemas.microsoft.com/office/2006/metadata/properties" ma:root="true" ma:fieldsID="90ef2e78cb0c6940f6652c9c7194c0d3" ns2:_="" ns3:_="">
    <xsd:import namespace="f07c5de3-9a7e-4746-8864-4639822a3b04"/>
    <xsd:import namespace="fa6617d2-e089-4eba-9d23-c7e770ea4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c5de3-9a7e-4746-8864-4639822a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de020e-c5a3-4c57-b93d-65b1013625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617d2-e089-4eba-9d23-c7e770ea42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22585-283e-4626-a7a3-3c6362f6353d}" ma:internalName="TaxCatchAll" ma:showField="CatchAllData" ma:web="fa6617d2-e089-4eba-9d23-c7e770ea4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7c5de3-9a7e-4746-8864-4639822a3b04">
      <Terms xmlns="http://schemas.microsoft.com/office/infopath/2007/PartnerControls"/>
    </lcf76f155ced4ddcb4097134ff3c332f>
    <TaxCatchAll xmlns="fa6617d2-e089-4eba-9d23-c7e770ea425c" xsi:nil="true"/>
  </documentManagement>
</p:properties>
</file>

<file path=customXml/itemProps1.xml><?xml version="1.0" encoding="utf-8"?>
<ds:datastoreItem xmlns:ds="http://schemas.openxmlformats.org/officeDocument/2006/customXml" ds:itemID="{1C629DBA-B2A8-4DDE-8866-2744A2CF28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7c5de3-9a7e-4746-8864-4639822a3b04"/>
    <ds:schemaRef ds:uri="fa6617d2-e089-4eba-9d23-c7e770ea42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ADC9B6-BB8E-43AB-B158-FFA94CDDB2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C1D284-5E12-4F94-9BD2-C8C927B96B01}">
  <ds:schemaRefs>
    <ds:schemaRef ds:uri="http://schemas.microsoft.com/office/2006/metadata/properties"/>
    <ds:schemaRef ds:uri="http://schemas.microsoft.com/office/infopath/2007/PartnerControls"/>
    <ds:schemaRef ds:uri="f07c5de3-9a7e-4746-8864-4639822a3b04"/>
    <ds:schemaRef ds:uri="fa6617d2-e089-4eba-9d23-c7e770ea425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2026-04-20T16:08:42Z</dcterms:created>
  <dcterms:modified xsi:type="dcterms:W3CDTF">2026-04-22T11:37:55Z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0x01010071C6B91B56666A46B8E988F3A40CE3F7</vt:lpwstr>
  </property>
  <property fmtid="{D5CDD505-2E9C-101B-9397-08002B2CF9AE}" pid="3" name="MediaServiceImageTags">
    <vt:lpwstr/>
  </property>
</Properties>
</file>