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32" documentId="11_679E446788E76346BA3C14462B37F4A83C3D186A" xr6:coauthVersionLast="47" xr6:coauthVersionMax="47" xr10:uidLastSave="{53B041D3-4E3F-44FC-8A72-CBD0DA62970D}"/>
  <bookViews>
    <workbookView xWindow="-21720" yWindow="1020" windowWidth="21840" windowHeight="1302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Sheet1!$A$1:$G$221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" i="1"/>
</calcChain>
</file>

<file path=xl/sharedStrings.xml><?xml version="1.0" encoding="utf-8"?>
<sst xmlns="http://schemas.openxmlformats.org/spreadsheetml/2006/main" count="667" uniqueCount="299">
  <si>
    <t>Título</t>
  </si>
  <si>
    <t>Documento</t>
  </si>
  <si>
    <t>Nº documento</t>
  </si>
  <si>
    <t>Credor</t>
  </si>
  <si>
    <t>Valor original</t>
  </si>
  <si>
    <t>Valor líquido</t>
  </si>
  <si>
    <t xml:space="preserve">CAU </t>
  </si>
  <si>
    <t>200-3-100</t>
  </si>
  <si>
    <t>QPC ENGENHARIA LTDA</t>
  </si>
  <si>
    <t>NFSC</t>
  </si>
  <si>
    <t>199</t>
  </si>
  <si>
    <t>198</t>
  </si>
  <si>
    <t>200-3-014</t>
  </si>
  <si>
    <t xml:space="preserve">LCL GEOTECNIA E SONDAGEM LTDA  </t>
  </si>
  <si>
    <t>411</t>
  </si>
  <si>
    <t>ADVC</t>
  </si>
  <si>
    <t>01</t>
  </si>
  <si>
    <t>FF INFRA E ENGENHARIA LTDA</t>
  </si>
  <si>
    <t>58161</t>
  </si>
  <si>
    <t>AMARAL GERENCIAMENTO DE RESIDUOS LTDA.</t>
  </si>
  <si>
    <t xml:space="preserve">CFC </t>
  </si>
  <si>
    <t>248</t>
  </si>
  <si>
    <t>LC ADIA - LOCACAO DE VEICULOS LTDA</t>
  </si>
  <si>
    <t>14179</t>
  </si>
  <si>
    <t>QUALYSAN LOCACAO DE BENS MOVEIS EIRELI</t>
  </si>
  <si>
    <t xml:space="preserve">NFC </t>
  </si>
  <si>
    <t>15477</t>
  </si>
  <si>
    <t>CABOS E LAMPADAS COMERCIO DE MATERIAS ELETRICOS DE ALTA E BAIXA TENSAO EIRELI</t>
  </si>
  <si>
    <t>20186</t>
  </si>
  <si>
    <t>MACCAFERRI SKAPS INDUSTRIA E COMERCIO DE ARTEFATOS PLASTICOS LTDA</t>
  </si>
  <si>
    <t>353055</t>
  </si>
  <si>
    <t>MACCAFERRI DO BRASIL LTDA</t>
  </si>
  <si>
    <t>7408</t>
  </si>
  <si>
    <t>ANKARI COMERCIAL DE TINTAS LTDA</t>
  </si>
  <si>
    <t>349095</t>
  </si>
  <si>
    <t>PEDREIRAS CARANGI LTDA</t>
  </si>
  <si>
    <t>124738</t>
  </si>
  <si>
    <t>PARATEC - PARA RAIOS E ACESSORIOS LTDA</t>
  </si>
  <si>
    <t>353</t>
  </si>
  <si>
    <t>TRANSPECO TRANSPORTES LTDA</t>
  </si>
  <si>
    <t>FATC</t>
  </si>
  <si>
    <t>15495</t>
  </si>
  <si>
    <t>BEDATEC COMERCIO E LOCACOES DE CONTAINNERS EIRELI</t>
  </si>
  <si>
    <t>NEFC</t>
  </si>
  <si>
    <t>51864</t>
  </si>
  <si>
    <t>SECUR-COMERCIAL IMPORTADORA E EXPORTADORA LTDA</t>
  </si>
  <si>
    <t>289864</t>
  </si>
  <si>
    <t>WEG EQUIPAMENTOS ELETRICOS S/A</t>
  </si>
  <si>
    <t>346</t>
  </si>
  <si>
    <t>BRASIL METAL INDUSTRIA METALICA LTDA</t>
  </si>
  <si>
    <t>3358</t>
  </si>
  <si>
    <t>MAQFILTROS SOLUCOES EM AGUA LTDA</t>
  </si>
  <si>
    <t>81198</t>
  </si>
  <si>
    <t>ELETRICA NOVA BAHIA COMERCIO DE MATERIAIS ELETRICOS LTDA</t>
  </si>
  <si>
    <t>81208</t>
  </si>
  <si>
    <t>290331</t>
  </si>
  <si>
    <t>BAHIATECH MATERIAIS ELETRICOS LTDA</t>
  </si>
  <si>
    <t>4622</t>
  </si>
  <si>
    <t>CL COMERCIO E SERVICOS DE EQUIPAMENTOS ELETRICOS LTDA</t>
  </si>
  <si>
    <t>78076</t>
  </si>
  <si>
    <t>MT COMERCIAL ELETRICA LTDA</t>
  </si>
  <si>
    <t>5191</t>
  </si>
  <si>
    <t>PWS BRASIL COMERCIAL EIRELI</t>
  </si>
  <si>
    <t>1289501</t>
  </si>
  <si>
    <t>TUPER S/A</t>
  </si>
  <si>
    <t>316643</t>
  </si>
  <si>
    <t>10901</t>
  </si>
  <si>
    <t>DIPAWA NORDESTE INDÚSTRIA COMÉRCIO E CONSTRUTORA LTDA</t>
  </si>
  <si>
    <t>107133</t>
  </si>
  <si>
    <t>INDUSTRIA DE TRANSFORMADORES ITAIPU LTDA</t>
  </si>
  <si>
    <t>29157</t>
  </si>
  <si>
    <t>FERROPRONTO LTDA</t>
  </si>
  <si>
    <t>29152</t>
  </si>
  <si>
    <t>862605</t>
  </si>
  <si>
    <t>INTERNATIONAL INDUSTRIA AUTOMOTIVA DA AMERICA DO SUL LTDA.</t>
  </si>
  <si>
    <t>6952</t>
  </si>
  <si>
    <t>TW MANUTENÇÃO E AUTOMAÇÃO INDUSTRIAL LTDA.</t>
  </si>
  <si>
    <t>195</t>
  </si>
  <si>
    <t>7370</t>
  </si>
  <si>
    <t>194</t>
  </si>
  <si>
    <t>15695</t>
  </si>
  <si>
    <t>ELIZABETH CIMENTOS S/A</t>
  </si>
  <si>
    <t>193</t>
  </si>
  <si>
    <t>15692</t>
  </si>
  <si>
    <t>628930</t>
  </si>
  <si>
    <t>DOCOL METAIS SANITARIOS LTDA</t>
  </si>
  <si>
    <t>332542</t>
  </si>
  <si>
    <t>TERWAL MAQUINAS LTDA</t>
  </si>
  <si>
    <t>45800</t>
  </si>
  <si>
    <t>COBREMACK INDUSTRIA DE CONDUTORES ELETRICOS EIRELI</t>
  </si>
  <si>
    <t>45799</t>
  </si>
  <si>
    <t>121771</t>
  </si>
  <si>
    <t>ELETROPOLL ELETRODUTOS METALICOS LTDA</t>
  </si>
  <si>
    <t>96141</t>
  </si>
  <si>
    <t>ARCELORMITTAL BRASIL S.A.</t>
  </si>
  <si>
    <t>348051</t>
  </si>
  <si>
    <t>348354</t>
  </si>
  <si>
    <t>348359</t>
  </si>
  <si>
    <t>348387</t>
  </si>
  <si>
    <t>348385</t>
  </si>
  <si>
    <t>348086</t>
  </si>
  <si>
    <t>29137</t>
  </si>
  <si>
    <t>29102</t>
  </si>
  <si>
    <t>14155</t>
  </si>
  <si>
    <t>29054</t>
  </si>
  <si>
    <t>345943</t>
  </si>
  <si>
    <t>4862</t>
  </si>
  <si>
    <t>GERACAO E ENERGIA SERVICOS E COMERCIO LTDA</t>
  </si>
  <si>
    <t>15572</t>
  </si>
  <si>
    <t>58</t>
  </si>
  <si>
    <t>BEM TE VI COMERCIO DE MADEIRA LTDA</t>
  </si>
  <si>
    <t>208</t>
  </si>
  <si>
    <t>M ANDRADE MAQUINAS E EQUIPAMENTOS EIRELI</t>
  </si>
  <si>
    <t>1072</t>
  </si>
  <si>
    <t>200-3-019</t>
  </si>
  <si>
    <t>AQUAGEO PROJETOS E PERFURACOES LTDA</t>
  </si>
  <si>
    <t>69</t>
  </si>
  <si>
    <t>64643</t>
  </si>
  <si>
    <t>BMD TEXTEIS LTDA</t>
  </si>
  <si>
    <t>64619</t>
  </si>
  <si>
    <t>64618</t>
  </si>
  <si>
    <t>3212</t>
  </si>
  <si>
    <t>MARTINS E SILVA COMERCIO DE MERCADORIAS LTDA</t>
  </si>
  <si>
    <t>14113</t>
  </si>
  <si>
    <t>734</t>
  </si>
  <si>
    <t>SOLUCAO TOLDOS EIRELI</t>
  </si>
  <si>
    <t>1489</t>
  </si>
  <si>
    <t>ALBERTO JOSE DOS SANTOS</t>
  </si>
  <si>
    <t>79221</t>
  </si>
  <si>
    <t>3170</t>
  </si>
  <si>
    <t>2448</t>
  </si>
  <si>
    <t>ANTONIO CARDOSO MARTINS</t>
  </si>
  <si>
    <t>1569</t>
  </si>
  <si>
    <t>VEDAMAX INDUSTRIA LTDA</t>
  </si>
  <si>
    <t>79237</t>
  </si>
  <si>
    <t>02</t>
  </si>
  <si>
    <t>ARTEMP ENGENHARIA TERMICA LTDA</t>
  </si>
  <si>
    <t>14112</t>
  </si>
  <si>
    <t>14107</t>
  </si>
  <si>
    <t>200-3-024</t>
  </si>
  <si>
    <t>BOME EMPREENDIMENTOS E SERVICOS LTDA</t>
  </si>
  <si>
    <t>63</t>
  </si>
  <si>
    <t>51658</t>
  </si>
  <si>
    <t>T &amp; A CONSTRUCAO PRE-FABRICADA S/A</t>
  </si>
  <si>
    <t>585</t>
  </si>
  <si>
    <t>LESSA EVENTOS LTDA</t>
  </si>
  <si>
    <t>283</t>
  </si>
  <si>
    <t>LAEROMEC - SOLUCOES EM ENGENHARIA LTDA</t>
  </si>
  <si>
    <t>10716</t>
  </si>
  <si>
    <t>ENTEL COMERCIO E SERVICOS LTDA</t>
  </si>
  <si>
    <t>10714</t>
  </si>
  <si>
    <t>183</t>
  </si>
  <si>
    <t>184</t>
  </si>
  <si>
    <t>200-3-000</t>
  </si>
  <si>
    <t>185</t>
  </si>
  <si>
    <t>187</t>
  </si>
  <si>
    <t>186</t>
  </si>
  <si>
    <t>394</t>
  </si>
  <si>
    <t>255235</t>
  </si>
  <si>
    <t>TRANSPORTADORA DE DIESEL CAVALO MARINHO LTDA</t>
  </si>
  <si>
    <t>255236</t>
  </si>
  <si>
    <t>255237</t>
  </si>
  <si>
    <t>255239</t>
  </si>
  <si>
    <t>255240</t>
  </si>
  <si>
    <t>255241</t>
  </si>
  <si>
    <t>255242</t>
  </si>
  <si>
    <t>255243</t>
  </si>
  <si>
    <t>489</t>
  </si>
  <si>
    <t>VENDRAMINI ENGENHARIA LTDA</t>
  </si>
  <si>
    <t>200-3-018</t>
  </si>
  <si>
    <t>630</t>
  </si>
  <si>
    <t>200-3-015</t>
  </si>
  <si>
    <t>MAGALHAES JUNIOR LOCACAO E SERVICOS LTDA</t>
  </si>
  <si>
    <t>1170</t>
  </si>
  <si>
    <t>29309</t>
  </si>
  <si>
    <t>TRAPICHE MINERACAO LTDA</t>
  </si>
  <si>
    <t>1343</t>
  </si>
  <si>
    <t>DPE ARQUITETURA E ENGENHARIA S/S</t>
  </si>
  <si>
    <t>200-3-016</t>
  </si>
  <si>
    <t xml:space="preserve">GEO2 ENGENHARIA LTDA </t>
  </si>
  <si>
    <t>762</t>
  </si>
  <si>
    <t>5079</t>
  </si>
  <si>
    <t>LITORAL TINTAS COMERCIO MATERIAIS DE CONSTRUCAO EIRELI</t>
  </si>
  <si>
    <t>113819</t>
  </si>
  <si>
    <t>OMEGA FERRAMENTAS E MAQUINAS LTDA</t>
  </si>
  <si>
    <t>1354</t>
  </si>
  <si>
    <t>REV1 PROJETOS INTEGRADOS LTDA</t>
  </si>
  <si>
    <t>285034</t>
  </si>
  <si>
    <t>106121</t>
  </si>
  <si>
    <t>SAARA LOCACAO DE TENDAS EIRELI</t>
  </si>
  <si>
    <t>67</t>
  </si>
  <si>
    <t>582</t>
  </si>
  <si>
    <t>200-3-022</t>
  </si>
  <si>
    <t>SOLOBAHIA ENGENHARIA E TECNOLOGIA LTDA</t>
  </si>
  <si>
    <t>2739</t>
  </si>
  <si>
    <t>28947</t>
  </si>
  <si>
    <t>FABRICK - FABRICACAO DE PRE MOLDADOS S.A.</t>
  </si>
  <si>
    <t>15259</t>
  </si>
  <si>
    <t>488</t>
  </si>
  <si>
    <t>KOPRON DO BRASIL COMERCIO E INDUSTRIA DE EQUIPAMENTOS DE LOGISTICA LTDA.</t>
  </si>
  <si>
    <t>2951</t>
  </si>
  <si>
    <t>SOTEC FABRICACAO DE ESTRUTURAS METALICAS E SERVICOS LTDA</t>
  </si>
  <si>
    <t>848</t>
  </si>
  <si>
    <t>DO VAL ENGENHARIA CONSULTIVA SOCIEDADE SIMPLES</t>
  </si>
  <si>
    <t>567</t>
  </si>
  <si>
    <t>20365</t>
  </si>
  <si>
    <t>20366</t>
  </si>
  <si>
    <t>3004</t>
  </si>
  <si>
    <t>LEONARDO SANTOS GONCALVES PRODUCAO E SOLUCOES EM VIDEOS</t>
  </si>
  <si>
    <t>57</t>
  </si>
  <si>
    <t>KAIZ ENGENHARIA LTDA</t>
  </si>
  <si>
    <t>2164</t>
  </si>
  <si>
    <t>NUCLEORA PLANEJAMENTO, ASSESSORIA E DESENVOLVIMENTO COMERCIAL LTDA</t>
  </si>
  <si>
    <t>9003</t>
  </si>
  <si>
    <t>LPE ENGENHARIA E CONSULTORIA LTDA</t>
  </si>
  <si>
    <t>666</t>
  </si>
  <si>
    <t>ARQUITETURA JAPI PROJETOS E CONSULTORIA EIRELI</t>
  </si>
  <si>
    <t>2729</t>
  </si>
  <si>
    <t>754</t>
  </si>
  <si>
    <t>577</t>
  </si>
  <si>
    <t>6200</t>
  </si>
  <si>
    <t>SOFTCOMP COMERCIO SERVICOS TELECOMUNICACOES E INFORMATICA EIRELI</t>
  </si>
  <si>
    <t>6202</t>
  </si>
  <si>
    <t>152</t>
  </si>
  <si>
    <t>SPM ENGENHARIA SOCIEDADE SIMPLES LTDA.</t>
  </si>
  <si>
    <t>953</t>
  </si>
  <si>
    <t>BIOFUTURO ENGENHARIA E SOLUCOES AMBIENTAIS EIRELI</t>
  </si>
  <si>
    <t>001</t>
  </si>
  <si>
    <t>VOC ENGENHARIA E CONSTRUCAO LTDA</t>
  </si>
  <si>
    <t>57863</t>
  </si>
  <si>
    <t>14080</t>
  </si>
  <si>
    <t>14079</t>
  </si>
  <si>
    <t>1466</t>
  </si>
  <si>
    <t>2564</t>
  </si>
  <si>
    <t>1442</t>
  </si>
  <si>
    <t>TERRAM ENGENHARIA DE INFRAESTRUTURA LTDA</t>
  </si>
  <si>
    <t>1410</t>
  </si>
  <si>
    <t>1409</t>
  </si>
  <si>
    <t>376910</t>
  </si>
  <si>
    <t>ATACADAO DO PAPEL LTDA</t>
  </si>
  <si>
    <t xml:space="preserve">ARTEMP ENGENHARIA DE INSTALAÇÕES LTDA </t>
  </si>
  <si>
    <t>7264</t>
  </si>
  <si>
    <t>ROTULA METALURGICA LTDA</t>
  </si>
  <si>
    <t>568</t>
  </si>
  <si>
    <t>4807</t>
  </si>
  <si>
    <t>1947471</t>
  </si>
  <si>
    <t>FORTLEV INDUSTRIA E COMERCIO DE PLASTICOS LTDA</t>
  </si>
  <si>
    <t>2445</t>
  </si>
  <si>
    <t>3266</t>
  </si>
  <si>
    <t>ADUANA COMERCIO DE GEOSSINTETICOS LTDA</t>
  </si>
  <si>
    <t>4852</t>
  </si>
  <si>
    <t>LIGUE COMERCIO DE GEOSSINTETICOS LTDA</t>
  </si>
  <si>
    <t>728</t>
  </si>
  <si>
    <t>5975</t>
  </si>
  <si>
    <t>MIX MADEIREIRA LTDA</t>
  </si>
  <si>
    <t>368600</t>
  </si>
  <si>
    <t>FORTPEL COMERCIO DE DESCARTAVEIS LTDA</t>
  </si>
  <si>
    <t>5045</t>
  </si>
  <si>
    <t>15180</t>
  </si>
  <si>
    <t>07</t>
  </si>
  <si>
    <t>THYSSENKRUPP ELEVADORES SA</t>
  </si>
  <si>
    <t>06</t>
  </si>
  <si>
    <t>05</t>
  </si>
  <si>
    <t>04</t>
  </si>
  <si>
    <t>03</t>
  </si>
  <si>
    <t>2995</t>
  </si>
  <si>
    <t>254322</t>
  </si>
  <si>
    <t>254321</t>
  </si>
  <si>
    <t>254319</t>
  </si>
  <si>
    <t>1441</t>
  </si>
  <si>
    <t>20261156</t>
  </si>
  <si>
    <t>175</t>
  </si>
  <si>
    <t>174</t>
  </si>
  <si>
    <t>2026376</t>
  </si>
  <si>
    <t>170</t>
  </si>
  <si>
    <t>169</t>
  </si>
  <si>
    <t>168</t>
  </si>
  <si>
    <t>167</t>
  </si>
  <si>
    <t>166</t>
  </si>
  <si>
    <t>165</t>
  </si>
  <si>
    <t>164</t>
  </si>
  <si>
    <t>47</t>
  </si>
  <si>
    <t xml:space="preserve">NCT </t>
  </si>
  <si>
    <t>31</t>
  </si>
  <si>
    <t>HIDRO LOGICA CONSULTORIA E TREINAMENTO LTDA</t>
  </si>
  <si>
    <t>6653</t>
  </si>
  <si>
    <t>A J S SOUZA SERVICOS GRAFICOS</t>
  </si>
  <si>
    <t>1309</t>
  </si>
  <si>
    <t>20262415</t>
  </si>
  <si>
    <t>GEOTECHNIQUE CONSULTORIA E ENGENHARIA LTDA</t>
  </si>
  <si>
    <t>8932</t>
  </si>
  <si>
    <t>1322</t>
  </si>
  <si>
    <t>653</t>
  </si>
  <si>
    <t>2145</t>
  </si>
  <si>
    <t>830</t>
  </si>
  <si>
    <t>474</t>
  </si>
  <si>
    <t xml:space="preserve">ADV </t>
  </si>
  <si>
    <t>2026.01</t>
  </si>
  <si>
    <t>ZEPP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</si>
</sst>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left" vertical="center"/>
    </xf>
    <xf numFmtId="44" fontId="0" fillId="2" borderId="0" xfId="0" applyNumberFormat="1" applyFill="1" applyAlignment="1">
      <alignment horizontal="left" vertical="center"/>
    </xf>
    <xf numFmtId="0" fontId="0" fillId="0" borderId="0" xfId="0" applyAlignment="1">
      <alignment horizontal="left" vertical="center"/>
    </xf>
    <xf numFmtId="44" fontId="0" fillId="0" borderId="0" xfId="0" applyNumberFormat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abrgerenciamento.sharepoint.com/sites/LYO004SIMOESFILHOG200/Documentos%20Compartilhados/03.%20CUSTOS/3.0%20MEDI&#199;&#213;ES%20APROVADAS%20E%20NF'S/1.%20ROMANEIOS/0.APROVADOS%20NO%20ZEPP/ZEPP/ZEPP_Anal&#237;tico_Processos_Aprova&#231;&#245;es%20-%20TITULOS%20-%2019-05.xlsx" TargetMode="External"/><Relationship Id="rId2" Type="http://schemas.microsoft.com/office/2019/04/relationships/externalLinkLongPath" Target="/sites/LYO004SIMOESFILHOG200/Documentos%20Compartilhados/03.%20CUSTOS/3.0%20MEDI&#199;&#213;ES%20APROVADAS%20E%20NF'S/1.%20ROMANEIOS/0.APROVADOS%20NO%20ZEPP/ZEPP/ZEPP_Anal&#237;tico_Processos_Aprova&#231;&#245;es%20-%20TITULOS%20-%2019-05.xlsx?AB31E8FB" TargetMode="External"/><Relationship Id="rId1" Type="http://schemas.openxmlformats.org/officeDocument/2006/relationships/externalLinkPath" Target="file:///\\AB31E8FB\ZEPP_Anal&#237;tico_Processos_Aprova&#231;&#245;es%20-%20TITULOS%20-%2019-05.xlsx" TargetMode="External"/><Relationship Id="rId4" Type="http://schemas.openxmlformats.org/officeDocument/2006/relationships/externalLinkPath" Target="../ZEPP/ZEPP_Anal&#237;tico_Processos_Aprova&#231;&#245;es%20-%20TITULOS%20-%2019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Data"/>
    </sheetNames>
    <sheetDataSet>
      <sheetData sheetId="0">
        <row r="1">
          <cell r="E1" t="str">
            <v>Código Origem</v>
          </cell>
        </row>
        <row r="2">
          <cell r="E2">
            <v>95210</v>
          </cell>
        </row>
        <row r="3">
          <cell r="E3">
            <v>95204</v>
          </cell>
        </row>
        <row r="4">
          <cell r="E4">
            <v>95203</v>
          </cell>
        </row>
        <row r="5">
          <cell r="E5">
            <v>95197</v>
          </cell>
        </row>
        <row r="6">
          <cell r="E6">
            <v>95173</v>
          </cell>
        </row>
        <row r="7">
          <cell r="E7">
            <v>95162</v>
          </cell>
        </row>
        <row r="8">
          <cell r="E8">
            <v>95150</v>
          </cell>
        </row>
        <row r="9">
          <cell r="E9">
            <v>95103</v>
          </cell>
        </row>
        <row r="10">
          <cell r="E10">
            <v>95092</v>
          </cell>
        </row>
        <row r="11">
          <cell r="E11">
            <v>95088</v>
          </cell>
        </row>
        <row r="12">
          <cell r="E12">
            <v>95084</v>
          </cell>
        </row>
        <row r="13">
          <cell r="E13">
            <v>95075</v>
          </cell>
        </row>
        <row r="14">
          <cell r="E14">
            <v>95043</v>
          </cell>
        </row>
        <row r="15">
          <cell r="E15">
            <v>94977</v>
          </cell>
        </row>
        <row r="16">
          <cell r="E16">
            <v>94639</v>
          </cell>
        </row>
        <row r="17">
          <cell r="E17">
            <v>94929</v>
          </cell>
        </row>
        <row r="18">
          <cell r="E18">
            <v>94925</v>
          </cell>
        </row>
        <row r="19">
          <cell r="E19">
            <v>94901</v>
          </cell>
        </row>
        <row r="20">
          <cell r="E20">
            <v>94874</v>
          </cell>
        </row>
        <row r="21">
          <cell r="E21">
            <v>94050</v>
          </cell>
        </row>
        <row r="22">
          <cell r="E22">
            <v>94638</v>
          </cell>
        </row>
        <row r="23">
          <cell r="E23">
            <v>93818</v>
          </cell>
        </row>
        <row r="24">
          <cell r="E24">
            <v>94854</v>
          </cell>
        </row>
        <row r="25">
          <cell r="E25">
            <v>94058</v>
          </cell>
        </row>
        <row r="26">
          <cell r="E26">
            <v>94054</v>
          </cell>
        </row>
        <row r="27">
          <cell r="E27">
            <v>93832</v>
          </cell>
        </row>
        <row r="28">
          <cell r="E28">
            <v>94808</v>
          </cell>
        </row>
        <row r="29">
          <cell r="E29">
            <v>93830</v>
          </cell>
        </row>
        <row r="30">
          <cell r="E30">
            <v>93311</v>
          </cell>
        </row>
        <row r="31">
          <cell r="E31">
            <v>91939</v>
          </cell>
        </row>
        <row r="32">
          <cell r="E32">
            <v>94760</v>
          </cell>
        </row>
        <row r="33">
          <cell r="E33">
            <v>94760</v>
          </cell>
        </row>
        <row r="34">
          <cell r="E34">
            <v>94760</v>
          </cell>
        </row>
        <row r="35">
          <cell r="E35">
            <v>93834</v>
          </cell>
        </row>
        <row r="36">
          <cell r="E36">
            <v>94662</v>
          </cell>
        </row>
        <row r="37">
          <cell r="E37">
            <v>94839</v>
          </cell>
        </row>
        <row r="38">
          <cell r="E38">
            <v>94660</v>
          </cell>
        </row>
        <row r="39">
          <cell r="E39">
            <v>94835</v>
          </cell>
        </row>
        <row r="40">
          <cell r="E40">
            <v>94658</v>
          </cell>
        </row>
        <row r="41">
          <cell r="E41">
            <v>94818</v>
          </cell>
        </row>
        <row r="42">
          <cell r="E42">
            <v>94805</v>
          </cell>
        </row>
        <row r="43">
          <cell r="E43">
            <v>94796</v>
          </cell>
        </row>
        <row r="44">
          <cell r="E44">
            <v>93650</v>
          </cell>
        </row>
        <row r="45">
          <cell r="E45">
            <v>94218</v>
          </cell>
        </row>
        <row r="46">
          <cell r="E46">
            <v>94120</v>
          </cell>
        </row>
        <row r="47">
          <cell r="E47">
            <v>94609</v>
          </cell>
        </row>
        <row r="48">
          <cell r="E48">
            <v>94602</v>
          </cell>
        </row>
        <row r="49">
          <cell r="E49">
            <v>94600</v>
          </cell>
        </row>
        <row r="50">
          <cell r="E50">
            <v>94598</v>
          </cell>
        </row>
        <row r="51">
          <cell r="E51">
            <v>94597</v>
          </cell>
        </row>
        <row r="52">
          <cell r="E52">
            <v>94596</v>
          </cell>
        </row>
        <row r="53">
          <cell r="E53">
            <v>94514</v>
          </cell>
        </row>
        <row r="54">
          <cell r="E54">
            <v>94335</v>
          </cell>
        </row>
        <row r="55">
          <cell r="E55">
            <v>94242</v>
          </cell>
        </row>
        <row r="56">
          <cell r="E56">
            <v>94789</v>
          </cell>
        </row>
        <row r="57">
          <cell r="E57">
            <v>93764</v>
          </cell>
        </row>
        <row r="58">
          <cell r="E58">
            <v>94759</v>
          </cell>
        </row>
        <row r="59">
          <cell r="E59">
            <v>94644</v>
          </cell>
        </row>
        <row r="60">
          <cell r="E60">
            <v>94051</v>
          </cell>
        </row>
        <row r="61">
          <cell r="E61">
            <v>94640</v>
          </cell>
        </row>
        <row r="62">
          <cell r="E62">
            <v>94637</v>
          </cell>
        </row>
        <row r="63">
          <cell r="E63">
            <v>94935</v>
          </cell>
        </row>
        <row r="64">
          <cell r="E64">
            <v>94659</v>
          </cell>
        </row>
        <row r="65">
          <cell r="E65">
            <v>94656</v>
          </cell>
        </row>
        <row r="66">
          <cell r="E66">
            <v>93776</v>
          </cell>
        </row>
        <row r="67">
          <cell r="E67">
            <v>94853</v>
          </cell>
        </row>
        <row r="68">
          <cell r="E68">
            <v>93675</v>
          </cell>
        </row>
        <row r="69">
          <cell r="E69">
            <v>93654</v>
          </cell>
        </row>
        <row r="70">
          <cell r="E70">
            <v>94852</v>
          </cell>
        </row>
        <row r="71">
          <cell r="E71">
            <v>93649</v>
          </cell>
        </row>
        <row r="72">
          <cell r="E72">
            <v>93647</v>
          </cell>
        </row>
        <row r="73">
          <cell r="E73">
            <v>93646</v>
          </cell>
        </row>
        <row r="74">
          <cell r="E74">
            <v>93642</v>
          </cell>
        </row>
        <row r="75">
          <cell r="E75">
            <v>93637</v>
          </cell>
        </row>
        <row r="76">
          <cell r="E76">
            <v>93631</v>
          </cell>
        </row>
        <row r="77">
          <cell r="E77">
            <v>93557</v>
          </cell>
        </row>
        <row r="78">
          <cell r="E78">
            <v>93550</v>
          </cell>
        </row>
        <row r="79">
          <cell r="E79">
            <v>93505</v>
          </cell>
        </row>
        <row r="80">
          <cell r="E80">
            <v>93504</v>
          </cell>
        </row>
        <row r="81">
          <cell r="E81">
            <v>93475</v>
          </cell>
        </row>
        <row r="82">
          <cell r="E82">
            <v>93451</v>
          </cell>
        </row>
        <row r="83">
          <cell r="E83">
            <v>93443</v>
          </cell>
        </row>
        <row r="84">
          <cell r="E84">
            <v>93433</v>
          </cell>
        </row>
        <row r="85">
          <cell r="E85">
            <v>93431</v>
          </cell>
        </row>
        <row r="86">
          <cell r="E86">
            <v>93402</v>
          </cell>
        </row>
        <row r="87">
          <cell r="E87">
            <v>93400</v>
          </cell>
        </row>
        <row r="88">
          <cell r="E88">
            <v>93397</v>
          </cell>
        </row>
        <row r="89">
          <cell r="E89">
            <v>93396</v>
          </cell>
        </row>
        <row r="90">
          <cell r="E90">
            <v>93394</v>
          </cell>
        </row>
        <row r="91">
          <cell r="E91">
            <v>93393</v>
          </cell>
        </row>
        <row r="92">
          <cell r="E92">
            <v>93392</v>
          </cell>
        </row>
        <row r="93">
          <cell r="E93">
            <v>93384</v>
          </cell>
        </row>
        <row r="94">
          <cell r="E94">
            <v>93383</v>
          </cell>
        </row>
        <row r="95">
          <cell r="E95">
            <v>93379</v>
          </cell>
        </row>
        <row r="96">
          <cell r="E96">
            <v>93378</v>
          </cell>
        </row>
        <row r="97">
          <cell r="E97">
            <v>93372</v>
          </cell>
        </row>
        <row r="98">
          <cell r="E98">
            <v>93371</v>
          </cell>
        </row>
        <row r="99">
          <cell r="E99">
            <v>93370</v>
          </cell>
        </row>
        <row r="100">
          <cell r="E100">
            <v>93369</v>
          </cell>
        </row>
        <row r="101">
          <cell r="E101">
            <v>93368</v>
          </cell>
        </row>
        <row r="102">
          <cell r="E102">
            <v>93367</v>
          </cell>
        </row>
        <row r="103">
          <cell r="E103">
            <v>93330</v>
          </cell>
        </row>
        <row r="104">
          <cell r="E104">
            <v>93328</v>
          </cell>
        </row>
        <row r="105">
          <cell r="E105">
            <v>93327</v>
          </cell>
        </row>
        <row r="106">
          <cell r="E106">
            <v>93321</v>
          </cell>
        </row>
        <row r="107">
          <cell r="E107">
            <v>93320</v>
          </cell>
        </row>
        <row r="108">
          <cell r="E108">
            <v>94847</v>
          </cell>
        </row>
        <row r="109">
          <cell r="E109">
            <v>93300</v>
          </cell>
        </row>
        <row r="110">
          <cell r="E110">
            <v>93299</v>
          </cell>
        </row>
        <row r="111">
          <cell r="E111">
            <v>93298</v>
          </cell>
        </row>
        <row r="112">
          <cell r="E112">
            <v>93295</v>
          </cell>
        </row>
        <row r="113">
          <cell r="E113">
            <v>93294</v>
          </cell>
        </row>
        <row r="114">
          <cell r="E114">
            <v>93248</v>
          </cell>
        </row>
        <row r="115">
          <cell r="E115">
            <v>93240</v>
          </cell>
        </row>
        <row r="116">
          <cell r="E116">
            <v>93225</v>
          </cell>
        </row>
        <row r="117">
          <cell r="E117">
            <v>93205</v>
          </cell>
        </row>
        <row r="118">
          <cell r="E118">
            <v>93204</v>
          </cell>
        </row>
        <row r="119">
          <cell r="E119">
            <v>93188</v>
          </cell>
        </row>
        <row r="120">
          <cell r="E120">
            <v>93160</v>
          </cell>
        </row>
        <row r="121">
          <cell r="E121">
            <v>93159</v>
          </cell>
        </row>
        <row r="122">
          <cell r="E122">
            <v>93130</v>
          </cell>
        </row>
        <row r="123">
          <cell r="E123">
            <v>93126</v>
          </cell>
        </row>
        <row r="124">
          <cell r="E124">
            <v>93116</v>
          </cell>
        </row>
        <row r="125">
          <cell r="E125">
            <v>93106</v>
          </cell>
        </row>
        <row r="126">
          <cell r="E126">
            <v>93091</v>
          </cell>
        </row>
        <row r="127">
          <cell r="E127">
            <v>93058</v>
          </cell>
        </row>
        <row r="128">
          <cell r="E128">
            <v>93057</v>
          </cell>
        </row>
        <row r="129">
          <cell r="E129">
            <v>93048</v>
          </cell>
        </row>
        <row r="130">
          <cell r="E130">
            <v>93045</v>
          </cell>
        </row>
        <row r="131">
          <cell r="E131">
            <v>93039</v>
          </cell>
        </row>
        <row r="132">
          <cell r="E132">
            <v>93025</v>
          </cell>
        </row>
        <row r="133">
          <cell r="E133">
            <v>93004</v>
          </cell>
        </row>
        <row r="134">
          <cell r="E134">
            <v>93001</v>
          </cell>
        </row>
        <row r="135">
          <cell r="E135">
            <v>92997</v>
          </cell>
        </row>
        <row r="136">
          <cell r="E136">
            <v>92996</v>
          </cell>
        </row>
        <row r="137">
          <cell r="E137">
            <v>92978</v>
          </cell>
        </row>
        <row r="138">
          <cell r="E138">
            <v>92977</v>
          </cell>
        </row>
        <row r="139">
          <cell r="E139">
            <v>92960</v>
          </cell>
        </row>
        <row r="140">
          <cell r="E140">
            <v>92959</v>
          </cell>
        </row>
        <row r="141">
          <cell r="E141">
            <v>92905</v>
          </cell>
        </row>
        <row r="142">
          <cell r="E142">
            <v>92903</v>
          </cell>
        </row>
        <row r="143">
          <cell r="E143">
            <v>92902</v>
          </cell>
        </row>
        <row r="144">
          <cell r="E144">
            <v>92895</v>
          </cell>
        </row>
        <row r="145">
          <cell r="E145">
            <v>92869</v>
          </cell>
        </row>
        <row r="146">
          <cell r="E146">
            <v>92798</v>
          </cell>
        </row>
        <row r="147">
          <cell r="E147">
            <v>92791</v>
          </cell>
        </row>
        <row r="148">
          <cell r="E148">
            <v>92789</v>
          </cell>
        </row>
        <row r="149">
          <cell r="E149">
            <v>92787</v>
          </cell>
        </row>
        <row r="150">
          <cell r="E150">
            <v>92721</v>
          </cell>
        </row>
        <row r="151">
          <cell r="E151">
            <v>92717</v>
          </cell>
        </row>
        <row r="152">
          <cell r="E152">
            <v>92708</v>
          </cell>
        </row>
        <row r="153">
          <cell r="E153">
            <v>92707</v>
          </cell>
        </row>
        <row r="154">
          <cell r="E154">
            <v>92655</v>
          </cell>
        </row>
        <row r="155">
          <cell r="E155">
            <v>92646</v>
          </cell>
        </row>
        <row r="156">
          <cell r="E156">
            <v>92627</v>
          </cell>
        </row>
        <row r="157">
          <cell r="E157">
            <v>92620</v>
          </cell>
        </row>
        <row r="158">
          <cell r="E158">
            <v>92618</v>
          </cell>
        </row>
        <row r="159">
          <cell r="E159">
            <v>92616</v>
          </cell>
        </row>
        <row r="160">
          <cell r="E160">
            <v>92563</v>
          </cell>
        </row>
        <row r="161">
          <cell r="E161">
            <v>92477</v>
          </cell>
        </row>
        <row r="162">
          <cell r="E162">
            <v>92409</v>
          </cell>
        </row>
        <row r="163">
          <cell r="E163">
            <v>92407</v>
          </cell>
        </row>
        <row r="164">
          <cell r="E164">
            <v>92402</v>
          </cell>
        </row>
        <row r="165">
          <cell r="E165">
            <v>92400</v>
          </cell>
        </row>
        <row r="166">
          <cell r="E166">
            <v>92059</v>
          </cell>
        </row>
        <row r="167">
          <cell r="E167">
            <v>92031</v>
          </cell>
        </row>
        <row r="168">
          <cell r="E168">
            <v>92019</v>
          </cell>
        </row>
        <row r="169">
          <cell r="E169">
            <v>92011</v>
          </cell>
        </row>
        <row r="170">
          <cell r="E170">
            <v>92009</v>
          </cell>
        </row>
        <row r="171">
          <cell r="E171">
            <v>91945</v>
          </cell>
        </row>
        <row r="172">
          <cell r="E172">
            <v>91944</v>
          </cell>
        </row>
        <row r="173">
          <cell r="E173">
            <v>91943</v>
          </cell>
        </row>
        <row r="174">
          <cell r="E174">
            <v>91942</v>
          </cell>
        </row>
        <row r="175">
          <cell r="E175">
            <v>91941</v>
          </cell>
        </row>
        <row r="176">
          <cell r="E176">
            <v>94661</v>
          </cell>
        </row>
        <row r="177">
          <cell r="E177">
            <v>91938</v>
          </cell>
        </row>
        <row r="178">
          <cell r="E178">
            <v>91931</v>
          </cell>
        </row>
        <row r="179">
          <cell r="E179">
            <v>91908</v>
          </cell>
        </row>
        <row r="180">
          <cell r="E180">
            <v>91905</v>
          </cell>
        </row>
        <row r="181">
          <cell r="E181">
            <v>91903</v>
          </cell>
        </row>
        <row r="182">
          <cell r="E182">
            <v>91535</v>
          </cell>
        </row>
        <row r="183">
          <cell r="E183">
            <v>91400</v>
          </cell>
        </row>
        <row r="184">
          <cell r="E184">
            <v>91399</v>
          </cell>
        </row>
        <row r="185">
          <cell r="E185">
            <v>91371</v>
          </cell>
        </row>
        <row r="186">
          <cell r="E186">
            <v>91327</v>
          </cell>
        </row>
        <row r="187">
          <cell r="E187">
            <v>91326</v>
          </cell>
        </row>
        <row r="188">
          <cell r="E188">
            <v>91298</v>
          </cell>
        </row>
        <row r="189">
          <cell r="E189">
            <v>91297</v>
          </cell>
        </row>
        <row r="190">
          <cell r="E190">
            <v>91289</v>
          </cell>
        </row>
        <row r="191">
          <cell r="E191">
            <v>91287</v>
          </cell>
        </row>
        <row r="192">
          <cell r="E192">
            <v>91286</v>
          </cell>
        </row>
        <row r="193">
          <cell r="E193">
            <v>91283</v>
          </cell>
        </row>
        <row r="194">
          <cell r="E194">
            <v>91280</v>
          </cell>
        </row>
        <row r="195">
          <cell r="E195">
            <v>91268</v>
          </cell>
        </row>
        <row r="196">
          <cell r="E196">
            <v>91165</v>
          </cell>
        </row>
        <row r="197">
          <cell r="E197">
            <v>91079</v>
          </cell>
        </row>
        <row r="198">
          <cell r="E198">
            <v>90381</v>
          </cell>
        </row>
        <row r="199">
          <cell r="E199">
            <v>90348</v>
          </cell>
        </row>
        <row r="200">
          <cell r="E200">
            <v>90338</v>
          </cell>
        </row>
        <row r="201">
          <cell r="E201">
            <v>90337</v>
          </cell>
        </row>
        <row r="202">
          <cell r="E202">
            <v>90335</v>
          </cell>
        </row>
        <row r="203">
          <cell r="E203">
            <v>90333</v>
          </cell>
        </row>
        <row r="204">
          <cell r="E204">
            <v>90332</v>
          </cell>
        </row>
        <row r="205">
          <cell r="E205">
            <v>90331</v>
          </cell>
        </row>
        <row r="206">
          <cell r="E206">
            <v>90328</v>
          </cell>
        </row>
        <row r="207">
          <cell r="E207">
            <v>90326</v>
          </cell>
        </row>
        <row r="208">
          <cell r="E208">
            <v>90185</v>
          </cell>
        </row>
        <row r="209">
          <cell r="E209">
            <v>89426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1"/>
  <sheetViews>
    <sheetView showGridLines="0" tabSelected="1" workbookViewId="0">
      <pane ySplit="1" topLeftCell="A2" activePane="bottomLeft" state="frozen"/>
      <selection pane="bottomLeft" activeCell="E20" sqref="E20"/>
    </sheetView>
  </sheetViews>
  <sheetFormatPr defaultRowHeight="15" x14ac:dyDescent="0.25"/>
  <cols>
    <col min="1" max="1" width="9.140625" style="3"/>
    <col min="2" max="4" width="13.28515625" style="3" customWidth="1"/>
    <col min="5" max="5" width="80.85546875" style="3" bestFit="1" customWidth="1"/>
    <col min="6" max="7" width="18" style="4" bestFit="1" customWidth="1"/>
    <col min="8" max="16384" width="9.140625" style="3"/>
  </cols>
  <sheetData>
    <row r="1" spans="1:7" x14ac:dyDescent="0.25">
      <c r="A1" s="1" t="s">
        <v>298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</row>
    <row r="2" spans="1:7" x14ac:dyDescent="0.25">
      <c r="A2" s="3" t="e">
        <f>_xlfn.XLOOKUP(B2,[1]Data!$E:$E,[1]Data!$E:$E)</f>
        <v>#N/A</v>
      </c>
      <c r="B2" s="3">
        <v>95213</v>
      </c>
      <c r="C2" s="3" t="s">
        <v>6</v>
      </c>
      <c r="D2" s="3" t="s">
        <v>7</v>
      </c>
      <c r="E2" s="3" t="s">
        <v>8</v>
      </c>
      <c r="F2" s="4">
        <v>561.72</v>
      </c>
      <c r="G2" s="4">
        <v>561.72</v>
      </c>
    </row>
    <row r="3" spans="1:7" x14ac:dyDescent="0.25">
      <c r="A3" s="3" t="e">
        <f>_xlfn.XLOOKUP(B3,[1]Data!$E:$E,[1]Data!$E:$E)</f>
        <v>#N/A</v>
      </c>
      <c r="B3" s="3">
        <v>95212</v>
      </c>
      <c r="C3" s="3" t="s">
        <v>9</v>
      </c>
      <c r="D3" s="3" t="s">
        <v>10</v>
      </c>
      <c r="E3" s="3" t="s">
        <v>8</v>
      </c>
      <c r="F3" s="4">
        <v>11234.47</v>
      </c>
      <c r="G3" s="4">
        <v>10111.030000000001</v>
      </c>
    </row>
    <row r="4" spans="1:7" x14ac:dyDescent="0.25">
      <c r="A4" s="3">
        <f>_xlfn.XLOOKUP(B4,[1]Data!$E:$E,[1]Data!$E:$E)</f>
        <v>95210</v>
      </c>
      <c r="B4" s="3">
        <v>95210</v>
      </c>
      <c r="C4" s="3" t="s">
        <v>9</v>
      </c>
      <c r="D4" s="3" t="s">
        <v>11</v>
      </c>
      <c r="E4" s="3" t="s">
        <v>8</v>
      </c>
      <c r="F4" s="4">
        <v>167811.73</v>
      </c>
      <c r="G4" s="4">
        <v>152960.4</v>
      </c>
    </row>
    <row r="5" spans="1:7" x14ac:dyDescent="0.25">
      <c r="A5" s="3">
        <f>_xlfn.XLOOKUP(B5,[1]Data!$E:$E,[1]Data!$E:$E)</f>
        <v>95204</v>
      </c>
      <c r="B5" s="3">
        <v>95204</v>
      </c>
      <c r="C5" s="3" t="s">
        <v>6</v>
      </c>
      <c r="D5" s="3" t="s">
        <v>12</v>
      </c>
      <c r="E5" s="3" t="s">
        <v>13</v>
      </c>
      <c r="F5" s="4">
        <v>2719.97</v>
      </c>
      <c r="G5" s="4">
        <v>2719.97</v>
      </c>
    </row>
    <row r="6" spans="1:7" x14ac:dyDescent="0.25">
      <c r="A6" s="3">
        <f>_xlfn.XLOOKUP(B6,[1]Data!$E:$E,[1]Data!$E:$E)</f>
        <v>95203</v>
      </c>
      <c r="B6" s="3">
        <v>95203</v>
      </c>
      <c r="C6" s="3" t="s">
        <v>9</v>
      </c>
      <c r="D6" s="3" t="s">
        <v>14</v>
      </c>
      <c r="E6" s="3" t="s">
        <v>13</v>
      </c>
      <c r="F6" s="4">
        <v>54399.46</v>
      </c>
      <c r="G6" s="4">
        <v>48959.519999999997</v>
      </c>
    </row>
    <row r="7" spans="1:7" x14ac:dyDescent="0.25">
      <c r="A7" s="3">
        <f>_xlfn.XLOOKUP(B7,[1]Data!$E:$E,[1]Data!$E:$E)</f>
        <v>95197</v>
      </c>
      <c r="B7" s="3">
        <v>95197</v>
      </c>
      <c r="C7" s="3" t="s">
        <v>15</v>
      </c>
      <c r="D7" s="3" t="s">
        <v>16</v>
      </c>
      <c r="E7" s="3" t="s">
        <v>17</v>
      </c>
      <c r="F7" s="4">
        <v>3430000</v>
      </c>
      <c r="G7" s="4">
        <v>3430000</v>
      </c>
    </row>
    <row r="8" spans="1:7" x14ac:dyDescent="0.25">
      <c r="A8" s="3">
        <f>_xlfn.XLOOKUP(B8,[1]Data!$E:$E,[1]Data!$E:$E)</f>
        <v>95173</v>
      </c>
      <c r="B8" s="3">
        <v>95173</v>
      </c>
      <c r="C8" s="3" t="s">
        <v>9</v>
      </c>
      <c r="D8" s="3" t="s">
        <v>18</v>
      </c>
      <c r="E8" s="3" t="s">
        <v>19</v>
      </c>
      <c r="F8" s="4">
        <v>1820</v>
      </c>
      <c r="G8" s="4">
        <v>1425.97</v>
      </c>
    </row>
    <row r="9" spans="1:7" x14ac:dyDescent="0.25">
      <c r="A9" s="3">
        <f>_xlfn.XLOOKUP(B9,[1]Data!$E:$E,[1]Data!$E:$E)</f>
        <v>95162</v>
      </c>
      <c r="B9" s="3">
        <v>95162</v>
      </c>
      <c r="C9" s="3" t="s">
        <v>20</v>
      </c>
      <c r="D9" s="3" t="s">
        <v>21</v>
      </c>
      <c r="E9" s="3" t="s">
        <v>22</v>
      </c>
      <c r="F9" s="4">
        <v>56510</v>
      </c>
      <c r="G9" s="4">
        <v>56510</v>
      </c>
    </row>
    <row r="10" spans="1:7" x14ac:dyDescent="0.25">
      <c r="A10" s="3">
        <f>_xlfn.XLOOKUP(B10,[1]Data!$E:$E,[1]Data!$E:$E)</f>
        <v>95150</v>
      </c>
      <c r="B10" s="3">
        <v>95150</v>
      </c>
      <c r="C10" s="3" t="s">
        <v>9</v>
      </c>
      <c r="D10" s="3" t="s">
        <v>23</v>
      </c>
      <c r="E10" s="3" t="s">
        <v>24</v>
      </c>
      <c r="F10" s="4">
        <v>3815</v>
      </c>
      <c r="G10" s="4">
        <v>3815</v>
      </c>
    </row>
    <row r="11" spans="1:7" x14ac:dyDescent="0.25">
      <c r="A11" s="3">
        <f>_xlfn.XLOOKUP(B11,[1]Data!$E:$E,[1]Data!$E:$E)</f>
        <v>95103</v>
      </c>
      <c r="B11" s="3">
        <v>95103</v>
      </c>
      <c r="C11" s="3" t="s">
        <v>25</v>
      </c>
      <c r="D11" s="3" t="s">
        <v>26</v>
      </c>
      <c r="E11" s="3" t="s">
        <v>27</v>
      </c>
      <c r="F11" s="4">
        <v>1773.32</v>
      </c>
      <c r="G11" s="4">
        <v>1773.32</v>
      </c>
    </row>
    <row r="12" spans="1:7" x14ac:dyDescent="0.25">
      <c r="A12" s="3">
        <f>_xlfn.XLOOKUP(B12,[1]Data!$E:$E,[1]Data!$E:$E)</f>
        <v>95092</v>
      </c>
      <c r="B12" s="3">
        <v>95092</v>
      </c>
      <c r="C12" s="3" t="s">
        <v>25</v>
      </c>
      <c r="D12" s="3" t="s">
        <v>28</v>
      </c>
      <c r="E12" s="3" t="s">
        <v>29</v>
      </c>
      <c r="F12" s="4">
        <v>49953.7</v>
      </c>
      <c r="G12" s="4">
        <v>49953.7</v>
      </c>
    </row>
    <row r="13" spans="1:7" x14ac:dyDescent="0.25">
      <c r="A13" s="3">
        <f>_xlfn.XLOOKUP(B13,[1]Data!$E:$E,[1]Data!$E:$E)</f>
        <v>95088</v>
      </c>
      <c r="B13" s="3">
        <v>95088</v>
      </c>
      <c r="C13" s="3" t="s">
        <v>25</v>
      </c>
      <c r="D13" s="3" t="s">
        <v>30</v>
      </c>
      <c r="E13" s="3" t="s">
        <v>31</v>
      </c>
      <c r="F13" s="4">
        <v>51744</v>
      </c>
      <c r="G13" s="4">
        <v>51744</v>
      </c>
    </row>
    <row r="14" spans="1:7" x14ac:dyDescent="0.25">
      <c r="A14" s="3">
        <f>_xlfn.XLOOKUP(B14,[1]Data!$E:$E,[1]Data!$E:$E)</f>
        <v>95084</v>
      </c>
      <c r="B14" s="3">
        <v>95084</v>
      </c>
      <c r="C14" s="3" t="s">
        <v>25</v>
      </c>
      <c r="D14" s="3" t="s">
        <v>32</v>
      </c>
      <c r="E14" s="3" t="s">
        <v>33</v>
      </c>
      <c r="F14" s="4">
        <v>1537.87</v>
      </c>
      <c r="G14" s="4">
        <v>1537.87</v>
      </c>
    </row>
    <row r="15" spans="1:7" x14ac:dyDescent="0.25">
      <c r="A15" s="3">
        <f>_xlfn.XLOOKUP(B15,[1]Data!$E:$E,[1]Data!$E:$E)</f>
        <v>95075</v>
      </c>
      <c r="B15" s="3">
        <v>95075</v>
      </c>
      <c r="C15" s="3" t="s">
        <v>25</v>
      </c>
      <c r="D15" s="3" t="s">
        <v>34</v>
      </c>
      <c r="E15" s="3" t="s">
        <v>35</v>
      </c>
      <c r="F15" s="4">
        <v>1596.62</v>
      </c>
      <c r="G15" s="4">
        <v>1596.62</v>
      </c>
    </row>
    <row r="16" spans="1:7" x14ac:dyDescent="0.25">
      <c r="A16" s="3">
        <f>_xlfn.XLOOKUP(B16,[1]Data!$E:$E,[1]Data!$E:$E)</f>
        <v>95043</v>
      </c>
      <c r="B16" s="3">
        <v>95043</v>
      </c>
      <c r="C16" s="3" t="s">
        <v>25</v>
      </c>
      <c r="D16" s="3" t="s">
        <v>36</v>
      </c>
      <c r="E16" s="3" t="s">
        <v>37</v>
      </c>
      <c r="F16" s="4">
        <v>29391</v>
      </c>
      <c r="G16" s="4">
        <v>29391</v>
      </c>
    </row>
    <row r="17" spans="1:7" x14ac:dyDescent="0.25">
      <c r="A17" s="3">
        <f>_xlfn.XLOOKUP(B17,[1]Data!$E:$E,[1]Data!$E:$E)</f>
        <v>94977</v>
      </c>
      <c r="B17" s="3">
        <v>94977</v>
      </c>
      <c r="C17" s="3" t="s">
        <v>25</v>
      </c>
      <c r="D17" s="3" t="s">
        <v>38</v>
      </c>
      <c r="E17" s="3" t="s">
        <v>39</v>
      </c>
      <c r="F17" s="4">
        <v>351997.24</v>
      </c>
      <c r="G17" s="4">
        <v>351997.24</v>
      </c>
    </row>
    <row r="18" spans="1:7" x14ac:dyDescent="0.25">
      <c r="A18" s="3">
        <f>_xlfn.XLOOKUP(B18,[1]Data!$E:$E,[1]Data!$E:$E)</f>
        <v>94935</v>
      </c>
      <c r="B18" s="3">
        <v>94935</v>
      </c>
      <c r="C18" s="3" t="s">
        <v>40</v>
      </c>
      <c r="D18" s="3" t="s">
        <v>41</v>
      </c>
      <c r="E18" s="3" t="s">
        <v>42</v>
      </c>
      <c r="F18" s="4">
        <v>1650</v>
      </c>
      <c r="G18" s="4">
        <v>1650</v>
      </c>
    </row>
    <row r="19" spans="1:7" x14ac:dyDescent="0.25">
      <c r="A19" s="3">
        <f>_xlfn.XLOOKUP(B19,[1]Data!$E:$E,[1]Data!$E:$E)</f>
        <v>94929</v>
      </c>
      <c r="B19" s="3">
        <v>94929</v>
      </c>
      <c r="C19" s="3" t="s">
        <v>43</v>
      </c>
      <c r="D19" s="3" t="s">
        <v>44</v>
      </c>
      <c r="E19" s="3" t="s">
        <v>45</v>
      </c>
      <c r="F19" s="4">
        <v>513756.51</v>
      </c>
      <c r="G19" s="4">
        <v>513756.51</v>
      </c>
    </row>
    <row r="20" spans="1:7" x14ac:dyDescent="0.25">
      <c r="A20" s="3">
        <f>_xlfn.XLOOKUP(B20,[1]Data!$E:$E,[1]Data!$E:$E)</f>
        <v>94925</v>
      </c>
      <c r="B20" s="3">
        <v>94925</v>
      </c>
      <c r="C20" s="3" t="s">
        <v>43</v>
      </c>
      <c r="D20" s="3" t="s">
        <v>46</v>
      </c>
      <c r="E20" s="3" t="s">
        <v>47</v>
      </c>
      <c r="F20" s="4">
        <v>350538</v>
      </c>
      <c r="G20" s="4">
        <v>350538</v>
      </c>
    </row>
    <row r="21" spans="1:7" x14ac:dyDescent="0.25">
      <c r="A21" s="3">
        <f>_xlfn.XLOOKUP(B21,[1]Data!$E:$E,[1]Data!$E:$E)</f>
        <v>94901</v>
      </c>
      <c r="B21" s="3">
        <v>94901</v>
      </c>
      <c r="C21" s="3" t="s">
        <v>15</v>
      </c>
      <c r="D21" s="3" t="s">
        <v>16</v>
      </c>
      <c r="E21" s="3" t="s">
        <v>8</v>
      </c>
      <c r="F21" s="4">
        <v>280000</v>
      </c>
      <c r="G21" s="4">
        <v>280000</v>
      </c>
    </row>
    <row r="22" spans="1:7" x14ac:dyDescent="0.25">
      <c r="A22" s="3">
        <f>_xlfn.XLOOKUP(B22,[1]Data!$E:$E,[1]Data!$E:$E)</f>
        <v>94874</v>
      </c>
      <c r="B22" s="3">
        <v>94874</v>
      </c>
      <c r="C22" s="3" t="s">
        <v>43</v>
      </c>
      <c r="D22" s="3" t="s">
        <v>48</v>
      </c>
      <c r="E22" s="3" t="s">
        <v>49</v>
      </c>
      <c r="F22" s="4">
        <v>1000000</v>
      </c>
      <c r="G22" s="4">
        <v>1000000</v>
      </c>
    </row>
    <row r="23" spans="1:7" x14ac:dyDescent="0.25">
      <c r="A23" s="3">
        <f>_xlfn.XLOOKUP(B23,[1]Data!$E:$E,[1]Data!$E:$E)</f>
        <v>94854</v>
      </c>
      <c r="B23" s="3">
        <v>94854</v>
      </c>
      <c r="C23" s="3" t="s">
        <v>25</v>
      </c>
      <c r="D23" s="3" t="s">
        <v>50</v>
      </c>
      <c r="E23" s="3" t="s">
        <v>51</v>
      </c>
      <c r="F23" s="4">
        <v>1035</v>
      </c>
      <c r="G23" s="4">
        <v>1035</v>
      </c>
    </row>
    <row r="24" spans="1:7" x14ac:dyDescent="0.25">
      <c r="A24" s="3">
        <f>_xlfn.XLOOKUP(B24,[1]Data!$E:$E,[1]Data!$E:$E)</f>
        <v>94853</v>
      </c>
      <c r="B24" s="3">
        <v>94853</v>
      </c>
      <c r="C24" s="3" t="s">
        <v>25</v>
      </c>
      <c r="D24" s="3" t="s">
        <v>52</v>
      </c>
      <c r="E24" s="3" t="s">
        <v>53</v>
      </c>
      <c r="F24" s="4">
        <v>759.6</v>
      </c>
      <c r="G24" s="4">
        <v>759.6</v>
      </c>
    </row>
    <row r="25" spans="1:7" x14ac:dyDescent="0.25">
      <c r="A25" s="3">
        <f>_xlfn.XLOOKUP(B25,[1]Data!$E:$E,[1]Data!$E:$E)</f>
        <v>94852</v>
      </c>
      <c r="B25" s="3">
        <v>94852</v>
      </c>
      <c r="C25" s="3" t="s">
        <v>25</v>
      </c>
      <c r="D25" s="3" t="s">
        <v>54</v>
      </c>
      <c r="E25" s="3" t="s">
        <v>53</v>
      </c>
      <c r="F25" s="4">
        <v>758.5</v>
      </c>
      <c r="G25" s="4">
        <v>758.5</v>
      </c>
    </row>
    <row r="26" spans="1:7" x14ac:dyDescent="0.25">
      <c r="A26" s="3">
        <f>_xlfn.XLOOKUP(B26,[1]Data!$E:$E,[1]Data!$E:$E)</f>
        <v>94847</v>
      </c>
      <c r="B26" s="3">
        <v>94847</v>
      </c>
      <c r="C26" s="3" t="s">
        <v>25</v>
      </c>
      <c r="D26" s="3" t="s">
        <v>55</v>
      </c>
      <c r="E26" s="3" t="s">
        <v>56</v>
      </c>
      <c r="F26" s="4">
        <v>308.87</v>
      </c>
      <c r="G26" s="4">
        <v>308.87</v>
      </c>
    </row>
    <row r="27" spans="1:7" x14ac:dyDescent="0.25">
      <c r="A27" s="3">
        <f>_xlfn.XLOOKUP(B27,[1]Data!$E:$E,[1]Data!$E:$E)</f>
        <v>94839</v>
      </c>
      <c r="B27" s="3">
        <v>94839</v>
      </c>
      <c r="C27" s="3" t="s">
        <v>43</v>
      </c>
      <c r="D27" s="3" t="s">
        <v>57</v>
      </c>
      <c r="E27" s="3" t="s">
        <v>58</v>
      </c>
      <c r="F27" s="4">
        <v>45500</v>
      </c>
      <c r="G27" s="4">
        <v>45500</v>
      </c>
    </row>
    <row r="28" spans="1:7" x14ac:dyDescent="0.25">
      <c r="A28" s="3">
        <f>_xlfn.XLOOKUP(B28,[1]Data!$E:$E,[1]Data!$E:$E)</f>
        <v>94835</v>
      </c>
      <c r="B28" s="3">
        <v>94835</v>
      </c>
      <c r="C28" s="3" t="s">
        <v>43</v>
      </c>
      <c r="D28" s="3" t="s">
        <v>59</v>
      </c>
      <c r="E28" s="3" t="s">
        <v>60</v>
      </c>
      <c r="F28" s="4">
        <v>78094</v>
      </c>
      <c r="G28" s="4">
        <v>78094</v>
      </c>
    </row>
    <row r="29" spans="1:7" x14ac:dyDescent="0.25">
      <c r="A29" s="3">
        <f>_xlfn.XLOOKUP(B29,[1]Data!$E:$E,[1]Data!$E:$E)</f>
        <v>94818</v>
      </c>
      <c r="B29" s="3">
        <v>94818</v>
      </c>
      <c r="C29" s="3" t="s">
        <v>43</v>
      </c>
      <c r="D29" s="3" t="s">
        <v>61</v>
      </c>
      <c r="E29" s="3" t="s">
        <v>62</v>
      </c>
      <c r="F29" s="4">
        <v>1110992.3400000001</v>
      </c>
      <c r="G29" s="4">
        <v>1110992.3400000001</v>
      </c>
    </row>
    <row r="30" spans="1:7" x14ac:dyDescent="0.25">
      <c r="A30" s="3">
        <f>_xlfn.XLOOKUP(B30,[1]Data!$E:$E,[1]Data!$E:$E)</f>
        <v>94808</v>
      </c>
      <c r="B30" s="3">
        <v>94808</v>
      </c>
      <c r="C30" s="3" t="s">
        <v>43</v>
      </c>
      <c r="D30" s="3" t="s">
        <v>63</v>
      </c>
      <c r="E30" s="3" t="s">
        <v>64</v>
      </c>
      <c r="F30" s="4">
        <v>1629766.36</v>
      </c>
      <c r="G30" s="4">
        <v>1629766.36</v>
      </c>
    </row>
    <row r="31" spans="1:7" x14ac:dyDescent="0.25">
      <c r="A31" s="3">
        <f>_xlfn.XLOOKUP(B31,[1]Data!$E:$E,[1]Data!$E:$E)</f>
        <v>94805</v>
      </c>
      <c r="B31" s="3">
        <v>94805</v>
      </c>
      <c r="C31" s="3" t="s">
        <v>43</v>
      </c>
      <c r="D31" s="3" t="s">
        <v>65</v>
      </c>
      <c r="E31" s="3" t="s">
        <v>64</v>
      </c>
      <c r="F31" s="4">
        <v>117747.6</v>
      </c>
      <c r="G31" s="4">
        <v>117747.6</v>
      </c>
    </row>
    <row r="32" spans="1:7" x14ac:dyDescent="0.25">
      <c r="A32" s="3">
        <f>_xlfn.XLOOKUP(B32,[1]Data!$E:$E,[1]Data!$E:$E)</f>
        <v>94796</v>
      </c>
      <c r="B32" s="3">
        <v>94796</v>
      </c>
      <c r="C32" s="3" t="s">
        <v>43</v>
      </c>
      <c r="D32" s="3" t="s">
        <v>66</v>
      </c>
      <c r="E32" s="3" t="s">
        <v>67</v>
      </c>
      <c r="F32" s="4">
        <v>639200</v>
      </c>
      <c r="G32" s="4">
        <v>639200</v>
      </c>
    </row>
    <row r="33" spans="1:7" x14ac:dyDescent="0.25">
      <c r="A33" s="3">
        <f>_xlfn.XLOOKUP(B33,[1]Data!$E:$E,[1]Data!$E:$E)</f>
        <v>94789</v>
      </c>
      <c r="B33" s="3">
        <v>94789</v>
      </c>
      <c r="C33" s="3" t="s">
        <v>43</v>
      </c>
      <c r="D33" s="3" t="s">
        <v>68</v>
      </c>
      <c r="E33" s="3" t="s">
        <v>69</v>
      </c>
      <c r="F33" s="4">
        <v>214500.24</v>
      </c>
      <c r="G33" s="4">
        <v>214500.24</v>
      </c>
    </row>
    <row r="34" spans="1:7" x14ac:dyDescent="0.25">
      <c r="A34" s="3" t="e">
        <f>_xlfn.XLOOKUP(B34,[1]Data!$E:$E,[1]Data!$E:$E)</f>
        <v>#N/A</v>
      </c>
      <c r="B34" s="3">
        <v>94771</v>
      </c>
      <c r="C34" s="3" t="s">
        <v>9</v>
      </c>
      <c r="D34" s="3" t="s">
        <v>70</v>
      </c>
      <c r="E34" s="3" t="s">
        <v>71</v>
      </c>
      <c r="F34" s="4">
        <v>3657.6</v>
      </c>
      <c r="G34" s="4">
        <v>3657.6</v>
      </c>
    </row>
    <row r="35" spans="1:7" x14ac:dyDescent="0.25">
      <c r="A35" s="3" t="e">
        <f>_xlfn.XLOOKUP(B35,[1]Data!$E:$E,[1]Data!$E:$E)</f>
        <v>#N/A</v>
      </c>
      <c r="B35" s="3">
        <v>94770</v>
      </c>
      <c r="C35" s="3" t="s">
        <v>9</v>
      </c>
      <c r="D35" s="3" t="s">
        <v>72</v>
      </c>
      <c r="E35" s="3" t="s">
        <v>71</v>
      </c>
      <c r="F35" s="4">
        <v>11340.8</v>
      </c>
      <c r="G35" s="4">
        <v>11340.8</v>
      </c>
    </row>
    <row r="36" spans="1:7" x14ac:dyDescent="0.25">
      <c r="A36" s="3">
        <f>_xlfn.XLOOKUP(B36,[1]Data!$E:$E,[1]Data!$E:$E)</f>
        <v>94760</v>
      </c>
      <c r="B36" s="3">
        <v>94760</v>
      </c>
      <c r="C36" s="3" t="s">
        <v>43</v>
      </c>
      <c r="D36" s="3" t="s">
        <v>73</v>
      </c>
      <c r="E36" s="3" t="s">
        <v>74</v>
      </c>
      <c r="F36" s="4">
        <v>322894.53999999998</v>
      </c>
      <c r="G36" s="4">
        <v>322894.53999999998</v>
      </c>
    </row>
    <row r="37" spans="1:7" x14ac:dyDescent="0.25">
      <c r="A37" s="3">
        <f>_xlfn.XLOOKUP(B37,[1]Data!$E:$E,[1]Data!$E:$E)</f>
        <v>94759</v>
      </c>
      <c r="B37" s="3">
        <v>94759</v>
      </c>
      <c r="C37" s="3" t="s">
        <v>43</v>
      </c>
      <c r="D37" s="3" t="s">
        <v>75</v>
      </c>
      <c r="E37" s="3" t="s">
        <v>76</v>
      </c>
      <c r="F37" s="4">
        <v>30784</v>
      </c>
      <c r="G37" s="4">
        <v>30784</v>
      </c>
    </row>
    <row r="38" spans="1:7" x14ac:dyDescent="0.25">
      <c r="A38" s="3">
        <f>_xlfn.XLOOKUP(B38,[1]Data!$E:$E,[1]Data!$E:$E)</f>
        <v>94662</v>
      </c>
      <c r="B38" s="3">
        <v>94662</v>
      </c>
      <c r="C38" s="3" t="s">
        <v>9</v>
      </c>
      <c r="D38" s="3" t="s">
        <v>77</v>
      </c>
      <c r="E38" s="3" t="s">
        <v>8</v>
      </c>
      <c r="F38" s="4">
        <v>532457.23</v>
      </c>
      <c r="G38" s="4">
        <v>505834.37</v>
      </c>
    </row>
    <row r="39" spans="1:7" x14ac:dyDescent="0.25">
      <c r="A39" s="3">
        <f>_xlfn.XLOOKUP(B39,[1]Data!$E:$E,[1]Data!$E:$E)</f>
        <v>94661</v>
      </c>
      <c r="B39" s="3">
        <v>94661</v>
      </c>
      <c r="C39" s="3" t="s">
        <v>25</v>
      </c>
      <c r="D39" s="3" t="s">
        <v>78</v>
      </c>
      <c r="E39" s="3" t="s">
        <v>33</v>
      </c>
      <c r="F39" s="4">
        <v>2439.6</v>
      </c>
      <c r="G39" s="4">
        <v>2439.6</v>
      </c>
    </row>
    <row r="40" spans="1:7" x14ac:dyDescent="0.25">
      <c r="A40" s="3">
        <f>_xlfn.XLOOKUP(B40,[1]Data!$E:$E,[1]Data!$E:$E)</f>
        <v>94660</v>
      </c>
      <c r="B40" s="3">
        <v>94660</v>
      </c>
      <c r="C40" s="3" t="s">
        <v>9</v>
      </c>
      <c r="D40" s="3" t="s">
        <v>79</v>
      </c>
      <c r="E40" s="3" t="s">
        <v>8</v>
      </c>
      <c r="F40" s="4">
        <v>207090.9</v>
      </c>
      <c r="G40" s="4">
        <v>196736.36</v>
      </c>
    </row>
    <row r="41" spans="1:7" x14ac:dyDescent="0.25">
      <c r="A41" s="3">
        <f>_xlfn.XLOOKUP(B41,[1]Data!$E:$E,[1]Data!$E:$E)</f>
        <v>94659</v>
      </c>
      <c r="B41" s="3">
        <v>94659</v>
      </c>
      <c r="C41" s="3" t="s">
        <v>25</v>
      </c>
      <c r="D41" s="3" t="s">
        <v>80</v>
      </c>
      <c r="E41" s="3" t="s">
        <v>81</v>
      </c>
      <c r="F41" s="4">
        <v>11985.26</v>
      </c>
      <c r="G41" s="4">
        <v>11984</v>
      </c>
    </row>
    <row r="42" spans="1:7" x14ac:dyDescent="0.25">
      <c r="A42" s="3">
        <f>_xlfn.XLOOKUP(B42,[1]Data!$E:$E,[1]Data!$E:$E)</f>
        <v>94658</v>
      </c>
      <c r="B42" s="3">
        <v>94658</v>
      </c>
      <c r="C42" s="3" t="s">
        <v>9</v>
      </c>
      <c r="D42" s="3" t="s">
        <v>82</v>
      </c>
      <c r="E42" s="3" t="s">
        <v>8</v>
      </c>
      <c r="F42" s="4">
        <v>453155.09</v>
      </c>
      <c r="G42" s="4">
        <v>430497.34</v>
      </c>
    </row>
    <row r="43" spans="1:7" x14ac:dyDescent="0.25">
      <c r="A43" s="3">
        <f>_xlfn.XLOOKUP(B43,[1]Data!$E:$E,[1]Data!$E:$E)</f>
        <v>94656</v>
      </c>
      <c r="B43" s="3">
        <v>94656</v>
      </c>
      <c r="C43" s="3" t="s">
        <v>25</v>
      </c>
      <c r="D43" s="3" t="s">
        <v>83</v>
      </c>
      <c r="E43" s="3" t="s">
        <v>81</v>
      </c>
      <c r="F43" s="4">
        <v>11985.26</v>
      </c>
      <c r="G43" s="4">
        <v>11984</v>
      </c>
    </row>
    <row r="44" spans="1:7" x14ac:dyDescent="0.25">
      <c r="A44" s="3">
        <f>_xlfn.XLOOKUP(B44,[1]Data!$E:$E,[1]Data!$E:$E)</f>
        <v>94644</v>
      </c>
      <c r="B44" s="3">
        <v>94644</v>
      </c>
      <c r="C44" s="3" t="s">
        <v>43</v>
      </c>
      <c r="D44" s="3" t="s">
        <v>84</v>
      </c>
      <c r="E44" s="3" t="s">
        <v>85</v>
      </c>
      <c r="F44" s="4">
        <v>145400.09</v>
      </c>
      <c r="G44" s="4">
        <v>145400.09</v>
      </c>
    </row>
    <row r="45" spans="1:7" x14ac:dyDescent="0.25">
      <c r="A45" s="3">
        <f>_xlfn.XLOOKUP(B45,[1]Data!$E:$E,[1]Data!$E:$E)</f>
        <v>94640</v>
      </c>
      <c r="B45" s="3">
        <v>94640</v>
      </c>
      <c r="C45" s="3" t="s">
        <v>43</v>
      </c>
      <c r="D45" s="3" t="s">
        <v>86</v>
      </c>
      <c r="E45" s="3" t="s">
        <v>87</v>
      </c>
      <c r="F45" s="4">
        <v>184216</v>
      </c>
      <c r="G45" s="4">
        <v>184216</v>
      </c>
    </row>
    <row r="46" spans="1:7" x14ac:dyDescent="0.25">
      <c r="A46" s="3">
        <f>_xlfn.XLOOKUP(B46,[1]Data!$E:$E,[1]Data!$E:$E)</f>
        <v>94639</v>
      </c>
      <c r="B46" s="3">
        <v>94639</v>
      </c>
      <c r="C46" s="3" t="s">
        <v>43</v>
      </c>
      <c r="D46" s="3" t="s">
        <v>88</v>
      </c>
      <c r="E46" s="3" t="s">
        <v>89</v>
      </c>
      <c r="F46" s="4">
        <v>61746.03</v>
      </c>
      <c r="G46" s="4">
        <v>61746.03</v>
      </c>
    </row>
    <row r="47" spans="1:7" x14ac:dyDescent="0.25">
      <c r="A47" s="3">
        <f>_xlfn.XLOOKUP(B47,[1]Data!$E:$E,[1]Data!$E:$E)</f>
        <v>94638</v>
      </c>
      <c r="B47" s="3">
        <v>94638</v>
      </c>
      <c r="C47" s="3" t="s">
        <v>43</v>
      </c>
      <c r="D47" s="3" t="s">
        <v>90</v>
      </c>
      <c r="E47" s="3" t="s">
        <v>89</v>
      </c>
      <c r="F47" s="4">
        <v>145790.66</v>
      </c>
      <c r="G47" s="4">
        <v>145790.66</v>
      </c>
    </row>
    <row r="48" spans="1:7" x14ac:dyDescent="0.25">
      <c r="A48" s="3">
        <f>_xlfn.XLOOKUP(B48,[1]Data!$E:$E,[1]Data!$E:$E)</f>
        <v>94637</v>
      </c>
      <c r="B48" s="3">
        <v>94637</v>
      </c>
      <c r="C48" s="3" t="s">
        <v>43</v>
      </c>
      <c r="D48" s="3" t="s">
        <v>91</v>
      </c>
      <c r="E48" s="3" t="s">
        <v>92</v>
      </c>
      <c r="F48" s="4">
        <v>1070985.47</v>
      </c>
      <c r="G48" s="4">
        <v>1070985.47</v>
      </c>
    </row>
    <row r="49" spans="1:7" x14ac:dyDescent="0.25">
      <c r="A49" s="3" t="e">
        <f>_xlfn.XLOOKUP(B49,[1]Data!$E:$E,[1]Data!$E:$E)</f>
        <v>#N/A</v>
      </c>
      <c r="B49" s="3">
        <v>94633</v>
      </c>
      <c r="C49" s="3" t="s">
        <v>25</v>
      </c>
      <c r="D49" s="3" t="s">
        <v>93</v>
      </c>
      <c r="E49" s="3" t="s">
        <v>94</v>
      </c>
      <c r="F49" s="4">
        <v>7812.7</v>
      </c>
      <c r="G49" s="4">
        <v>7812.7</v>
      </c>
    </row>
    <row r="50" spans="1:7" x14ac:dyDescent="0.25">
      <c r="A50" s="3">
        <f>_xlfn.XLOOKUP(B50,[1]Data!$E:$E,[1]Data!$E:$E)</f>
        <v>94609</v>
      </c>
      <c r="B50" s="3">
        <v>94609</v>
      </c>
      <c r="C50" s="3" t="s">
        <v>25</v>
      </c>
      <c r="D50" s="3" t="s">
        <v>95</v>
      </c>
      <c r="E50" s="3" t="s">
        <v>35</v>
      </c>
      <c r="F50" s="4">
        <v>4096.3100000000004</v>
      </c>
      <c r="G50" s="4">
        <v>4096.3100000000004</v>
      </c>
    </row>
    <row r="51" spans="1:7" x14ac:dyDescent="0.25">
      <c r="A51" s="3">
        <f>_xlfn.XLOOKUP(B51,[1]Data!$E:$E,[1]Data!$E:$E)</f>
        <v>94602</v>
      </c>
      <c r="B51" s="3">
        <v>94602</v>
      </c>
      <c r="C51" s="3" t="s">
        <v>25</v>
      </c>
      <c r="D51" s="3" t="s">
        <v>96</v>
      </c>
      <c r="E51" s="3" t="s">
        <v>35</v>
      </c>
      <c r="F51" s="4">
        <v>4252.4799999999996</v>
      </c>
      <c r="G51" s="4">
        <v>4252.4799999999996</v>
      </c>
    </row>
    <row r="52" spans="1:7" x14ac:dyDescent="0.25">
      <c r="A52" s="3">
        <f>_xlfn.XLOOKUP(B52,[1]Data!$E:$E,[1]Data!$E:$E)</f>
        <v>94600</v>
      </c>
      <c r="B52" s="3">
        <v>94600</v>
      </c>
      <c r="C52" s="3" t="s">
        <v>25</v>
      </c>
      <c r="D52" s="3" t="s">
        <v>97</v>
      </c>
      <c r="E52" s="3" t="s">
        <v>35</v>
      </c>
      <c r="F52" s="4">
        <v>4320.38</v>
      </c>
      <c r="G52" s="4">
        <v>4320.38</v>
      </c>
    </row>
    <row r="53" spans="1:7" x14ac:dyDescent="0.25">
      <c r="A53" s="3">
        <f>_xlfn.XLOOKUP(B53,[1]Data!$E:$E,[1]Data!$E:$E)</f>
        <v>94598</v>
      </c>
      <c r="B53" s="3">
        <v>94598</v>
      </c>
      <c r="C53" s="3" t="s">
        <v>25</v>
      </c>
      <c r="D53" s="3" t="s">
        <v>98</v>
      </c>
      <c r="E53" s="3" t="s">
        <v>35</v>
      </c>
      <c r="F53" s="4">
        <v>4306.8</v>
      </c>
      <c r="G53" s="4">
        <v>4306.8</v>
      </c>
    </row>
    <row r="54" spans="1:7" x14ac:dyDescent="0.25">
      <c r="A54" s="3">
        <f>_xlfn.XLOOKUP(B54,[1]Data!$E:$E,[1]Data!$E:$E)</f>
        <v>94597</v>
      </c>
      <c r="B54" s="3">
        <v>94597</v>
      </c>
      <c r="C54" s="3" t="s">
        <v>25</v>
      </c>
      <c r="D54" s="3" t="s">
        <v>99</v>
      </c>
      <c r="E54" s="3" t="s">
        <v>35</v>
      </c>
      <c r="F54" s="4">
        <v>4268</v>
      </c>
      <c r="G54" s="4">
        <v>4268</v>
      </c>
    </row>
    <row r="55" spans="1:7" x14ac:dyDescent="0.25">
      <c r="A55" s="3">
        <f>_xlfn.XLOOKUP(B55,[1]Data!$E:$E,[1]Data!$E:$E)</f>
        <v>94596</v>
      </c>
      <c r="B55" s="3">
        <v>94596</v>
      </c>
      <c r="C55" s="3" t="s">
        <v>25</v>
      </c>
      <c r="D55" s="3" t="s">
        <v>100</v>
      </c>
      <c r="E55" s="3" t="s">
        <v>35</v>
      </c>
      <c r="F55" s="4">
        <v>4074</v>
      </c>
      <c r="G55" s="4">
        <v>4074</v>
      </c>
    </row>
    <row r="56" spans="1:7" x14ac:dyDescent="0.25">
      <c r="A56" s="3" t="e">
        <f>_xlfn.XLOOKUP(B56,[1]Data!$E:$E,[1]Data!$E:$E)</f>
        <v>#N/A</v>
      </c>
      <c r="B56" s="3">
        <v>94576</v>
      </c>
      <c r="C56" s="3" t="s">
        <v>9</v>
      </c>
      <c r="D56" s="3" t="s">
        <v>101</v>
      </c>
      <c r="E56" s="3" t="s">
        <v>71</v>
      </c>
      <c r="F56" s="4">
        <v>11340.8</v>
      </c>
      <c r="G56" s="4">
        <v>11340.8</v>
      </c>
    </row>
    <row r="57" spans="1:7" x14ac:dyDescent="0.25">
      <c r="A57" s="3" t="e">
        <f>_xlfn.XLOOKUP(B57,[1]Data!$E:$E,[1]Data!$E:$E)</f>
        <v>#N/A</v>
      </c>
      <c r="B57" s="3">
        <v>94569</v>
      </c>
      <c r="C57" s="3" t="s">
        <v>9</v>
      </c>
      <c r="D57" s="3" t="s">
        <v>102</v>
      </c>
      <c r="E57" s="3" t="s">
        <v>71</v>
      </c>
      <c r="F57" s="4">
        <v>11340.8</v>
      </c>
      <c r="G57" s="4">
        <v>11340.8</v>
      </c>
    </row>
    <row r="58" spans="1:7" x14ac:dyDescent="0.25">
      <c r="A58" s="3">
        <f>_xlfn.XLOOKUP(B58,[1]Data!$E:$E,[1]Data!$E:$E)</f>
        <v>94514</v>
      </c>
      <c r="B58" s="3">
        <v>94514</v>
      </c>
      <c r="C58" s="3" t="s">
        <v>9</v>
      </c>
      <c r="D58" s="3" t="s">
        <v>103</v>
      </c>
      <c r="E58" s="3" t="s">
        <v>24</v>
      </c>
      <c r="F58" s="4">
        <v>56410</v>
      </c>
      <c r="G58" s="4">
        <v>45325.440000000002</v>
      </c>
    </row>
    <row r="59" spans="1:7" x14ac:dyDescent="0.25">
      <c r="A59" s="3" t="e">
        <f>_xlfn.XLOOKUP(B59,[1]Data!$E:$E,[1]Data!$E:$E)</f>
        <v>#N/A</v>
      </c>
      <c r="B59" s="3">
        <v>94404</v>
      </c>
      <c r="C59" s="3" t="s">
        <v>9</v>
      </c>
      <c r="D59" s="3" t="s">
        <v>104</v>
      </c>
      <c r="E59" s="3" t="s">
        <v>71</v>
      </c>
      <c r="F59" s="4">
        <v>1117.5999999999999</v>
      </c>
      <c r="G59" s="4">
        <v>1117.5999999999999</v>
      </c>
    </row>
    <row r="60" spans="1:7" x14ac:dyDescent="0.25">
      <c r="A60" s="3">
        <f>_xlfn.XLOOKUP(B60,[1]Data!$E:$E,[1]Data!$E:$E)</f>
        <v>94335</v>
      </c>
      <c r="B60" s="3">
        <v>94335</v>
      </c>
      <c r="C60" s="3" t="s">
        <v>43</v>
      </c>
      <c r="D60" s="3" t="s">
        <v>105</v>
      </c>
      <c r="E60" s="3" t="s">
        <v>35</v>
      </c>
      <c r="F60" s="4">
        <v>93280</v>
      </c>
      <c r="G60" s="4">
        <v>93280</v>
      </c>
    </row>
    <row r="61" spans="1:7" x14ac:dyDescent="0.25">
      <c r="A61" s="3">
        <f>_xlfn.XLOOKUP(B61,[1]Data!$E:$E,[1]Data!$E:$E)</f>
        <v>94242</v>
      </c>
      <c r="B61" s="3">
        <v>94242</v>
      </c>
      <c r="C61" s="3" t="s">
        <v>9</v>
      </c>
      <c r="D61" s="3" t="s">
        <v>106</v>
      </c>
      <c r="E61" s="3" t="s">
        <v>107</v>
      </c>
      <c r="F61" s="4">
        <v>4302</v>
      </c>
      <c r="G61" s="4">
        <v>4300</v>
      </c>
    </row>
    <row r="62" spans="1:7" x14ac:dyDescent="0.25">
      <c r="A62" s="3">
        <f>_xlfn.XLOOKUP(B62,[1]Data!$E:$E,[1]Data!$E:$E)</f>
        <v>94218</v>
      </c>
      <c r="B62" s="3">
        <v>94218</v>
      </c>
      <c r="C62" s="3" t="s">
        <v>25</v>
      </c>
      <c r="D62" s="3" t="s">
        <v>108</v>
      </c>
      <c r="E62" s="3" t="s">
        <v>81</v>
      </c>
      <c r="F62" s="4">
        <v>11564</v>
      </c>
      <c r="G62" s="4">
        <v>11564</v>
      </c>
    </row>
    <row r="63" spans="1:7" x14ac:dyDescent="0.25">
      <c r="A63" s="3">
        <f>_xlfn.XLOOKUP(B63,[1]Data!$E:$E,[1]Data!$E:$E)</f>
        <v>94120</v>
      </c>
      <c r="B63" s="3">
        <v>94120</v>
      </c>
      <c r="C63" s="3" t="s">
        <v>25</v>
      </c>
      <c r="D63" s="3" t="s">
        <v>109</v>
      </c>
      <c r="E63" s="3" t="s">
        <v>110</v>
      </c>
      <c r="F63" s="4">
        <v>11747.5</v>
      </c>
      <c r="G63" s="4">
        <v>11747.5</v>
      </c>
    </row>
    <row r="64" spans="1:7" x14ac:dyDescent="0.25">
      <c r="A64" s="3">
        <f>_xlfn.XLOOKUP(B64,[1]Data!$E:$E,[1]Data!$E:$E)</f>
        <v>94058</v>
      </c>
      <c r="B64" s="3">
        <v>94058</v>
      </c>
      <c r="C64" s="3" t="s">
        <v>40</v>
      </c>
      <c r="D64" s="3" t="s">
        <v>111</v>
      </c>
      <c r="E64" s="3" t="s">
        <v>112</v>
      </c>
      <c r="F64" s="4">
        <v>10115</v>
      </c>
      <c r="G64" s="4">
        <v>10115</v>
      </c>
    </row>
    <row r="65" spans="1:7" x14ac:dyDescent="0.25">
      <c r="A65" s="3">
        <f>_xlfn.XLOOKUP(B65,[1]Data!$E:$E,[1]Data!$E:$E)</f>
        <v>94054</v>
      </c>
      <c r="B65" s="3">
        <v>94054</v>
      </c>
      <c r="C65" s="3" t="s">
        <v>9</v>
      </c>
      <c r="D65" s="3" t="s">
        <v>113</v>
      </c>
      <c r="E65" s="3" t="s">
        <v>112</v>
      </c>
      <c r="F65" s="4">
        <v>1785</v>
      </c>
      <c r="G65" s="4">
        <v>1666.3</v>
      </c>
    </row>
    <row r="66" spans="1:7" x14ac:dyDescent="0.25">
      <c r="A66" s="3">
        <f>_xlfn.XLOOKUP(B66,[1]Data!$E:$E,[1]Data!$E:$E)</f>
        <v>94051</v>
      </c>
      <c r="B66" s="3">
        <v>94051</v>
      </c>
      <c r="C66" s="3" t="s">
        <v>6</v>
      </c>
      <c r="D66" s="3" t="s">
        <v>114</v>
      </c>
      <c r="E66" s="3" t="s">
        <v>115</v>
      </c>
      <c r="F66" s="4">
        <v>7161.41</v>
      </c>
      <c r="G66" s="4">
        <v>7161.41</v>
      </c>
    </row>
    <row r="67" spans="1:7" x14ac:dyDescent="0.25">
      <c r="A67" s="3">
        <f>_xlfn.XLOOKUP(B67,[1]Data!$E:$E,[1]Data!$E:$E)</f>
        <v>94050</v>
      </c>
      <c r="B67" s="3">
        <v>94050</v>
      </c>
      <c r="C67" s="3" t="s">
        <v>9</v>
      </c>
      <c r="D67" s="3" t="s">
        <v>116</v>
      </c>
      <c r="E67" s="3" t="s">
        <v>115</v>
      </c>
      <c r="F67" s="4">
        <v>143228.14000000001</v>
      </c>
      <c r="G67" s="4">
        <v>128905.33</v>
      </c>
    </row>
    <row r="68" spans="1:7" x14ac:dyDescent="0.25">
      <c r="A68" s="3">
        <f>_xlfn.XLOOKUP(B68,[1]Data!$E:$E,[1]Data!$E:$E)</f>
        <v>93834</v>
      </c>
      <c r="B68" s="3">
        <v>93834</v>
      </c>
      <c r="C68" s="3" t="s">
        <v>25</v>
      </c>
      <c r="D68" s="3" t="s">
        <v>117</v>
      </c>
      <c r="E68" s="3" t="s">
        <v>118</v>
      </c>
      <c r="F68" s="4">
        <v>423560.41</v>
      </c>
      <c r="G68" s="4">
        <v>423560.41</v>
      </c>
    </row>
    <row r="69" spans="1:7" x14ac:dyDescent="0.25">
      <c r="A69" s="3">
        <f>_xlfn.XLOOKUP(B69,[1]Data!$E:$E,[1]Data!$E:$E)</f>
        <v>93832</v>
      </c>
      <c r="B69" s="3">
        <v>93832</v>
      </c>
      <c r="C69" s="3" t="s">
        <v>25</v>
      </c>
      <c r="D69" s="3" t="s">
        <v>119</v>
      </c>
      <c r="E69" s="3" t="s">
        <v>118</v>
      </c>
      <c r="F69" s="4">
        <v>45858.69</v>
      </c>
      <c r="G69" s="4">
        <v>45858.69</v>
      </c>
    </row>
    <row r="70" spans="1:7" x14ac:dyDescent="0.25">
      <c r="A70" s="3">
        <f>_xlfn.XLOOKUP(B70,[1]Data!$E:$E,[1]Data!$E:$E)</f>
        <v>93830</v>
      </c>
      <c r="B70" s="3">
        <v>93830</v>
      </c>
      <c r="C70" s="3" t="s">
        <v>25</v>
      </c>
      <c r="D70" s="3" t="s">
        <v>120</v>
      </c>
      <c r="E70" s="3" t="s">
        <v>118</v>
      </c>
      <c r="F70" s="4">
        <v>512122.89</v>
      </c>
      <c r="G70" s="4">
        <v>512122.89</v>
      </c>
    </row>
    <row r="71" spans="1:7" x14ac:dyDescent="0.25">
      <c r="A71" s="3">
        <f>_xlfn.XLOOKUP(B71,[1]Data!$E:$E,[1]Data!$E:$E)</f>
        <v>93818</v>
      </c>
      <c r="B71" s="3">
        <v>93818</v>
      </c>
      <c r="C71" s="3" t="s">
        <v>25</v>
      </c>
      <c r="D71" s="3" t="s">
        <v>121</v>
      </c>
      <c r="E71" s="3" t="s">
        <v>122</v>
      </c>
      <c r="F71" s="4">
        <v>3114.11</v>
      </c>
      <c r="G71" s="4">
        <v>3114.11</v>
      </c>
    </row>
    <row r="72" spans="1:7" x14ac:dyDescent="0.25">
      <c r="A72" s="3">
        <f>_xlfn.XLOOKUP(B72,[1]Data!$E:$E,[1]Data!$E:$E)</f>
        <v>93776</v>
      </c>
      <c r="B72" s="3">
        <v>93776</v>
      </c>
      <c r="C72" s="3" t="s">
        <v>9</v>
      </c>
      <c r="D72" s="3" t="s">
        <v>123</v>
      </c>
      <c r="E72" s="3" t="s">
        <v>24</v>
      </c>
      <c r="F72" s="4">
        <v>51180</v>
      </c>
      <c r="G72" s="4">
        <v>41123.129999999997</v>
      </c>
    </row>
    <row r="73" spans="1:7" x14ac:dyDescent="0.25">
      <c r="A73" s="3">
        <f>_xlfn.XLOOKUP(B73,[1]Data!$E:$E,[1]Data!$E:$E)</f>
        <v>93764</v>
      </c>
      <c r="B73" s="3">
        <v>93764</v>
      </c>
      <c r="C73" s="3" t="s">
        <v>25</v>
      </c>
      <c r="D73" s="3" t="s">
        <v>124</v>
      </c>
      <c r="E73" s="3" t="s">
        <v>125</v>
      </c>
      <c r="F73" s="4">
        <v>3150</v>
      </c>
      <c r="G73" s="4">
        <v>3150</v>
      </c>
    </row>
    <row r="74" spans="1:7" x14ac:dyDescent="0.25">
      <c r="A74" s="3">
        <f>_xlfn.XLOOKUP(B74,[1]Data!$E:$E,[1]Data!$E:$E)</f>
        <v>93675</v>
      </c>
      <c r="B74" s="3">
        <v>93675</v>
      </c>
      <c r="C74" s="3" t="s">
        <v>40</v>
      </c>
      <c r="D74" s="3" t="s">
        <v>126</v>
      </c>
      <c r="E74" s="3" t="s">
        <v>127</v>
      </c>
      <c r="F74" s="4">
        <v>36042.800000000003</v>
      </c>
      <c r="G74" s="4">
        <v>36042.800000000003</v>
      </c>
    </row>
    <row r="75" spans="1:7" x14ac:dyDescent="0.25">
      <c r="A75" s="3">
        <f>_xlfn.XLOOKUP(B75,[1]Data!$E:$E,[1]Data!$E:$E)</f>
        <v>93654</v>
      </c>
      <c r="B75" s="3">
        <v>93654</v>
      </c>
      <c r="C75" s="3" t="s">
        <v>25</v>
      </c>
      <c r="D75" s="3" t="s">
        <v>128</v>
      </c>
      <c r="E75" s="3" t="s">
        <v>53</v>
      </c>
      <c r="F75" s="4">
        <v>35287.019999999997</v>
      </c>
      <c r="G75" s="4">
        <v>35287.019999999997</v>
      </c>
    </row>
    <row r="76" spans="1:7" x14ac:dyDescent="0.25">
      <c r="A76" s="3">
        <f>_xlfn.XLOOKUP(B76,[1]Data!$E:$E,[1]Data!$E:$E)</f>
        <v>93650</v>
      </c>
      <c r="B76" s="3">
        <v>93650</v>
      </c>
      <c r="C76" s="3" t="s">
        <v>25</v>
      </c>
      <c r="D76" s="3" t="s">
        <v>129</v>
      </c>
      <c r="E76" s="3" t="s">
        <v>122</v>
      </c>
      <c r="F76" s="4">
        <v>390</v>
      </c>
      <c r="G76" s="4">
        <v>390</v>
      </c>
    </row>
    <row r="77" spans="1:7" x14ac:dyDescent="0.25">
      <c r="A77" s="3">
        <f>_xlfn.XLOOKUP(B77,[1]Data!$E:$E,[1]Data!$E:$E)</f>
        <v>93649</v>
      </c>
      <c r="B77" s="3">
        <v>93649</v>
      </c>
      <c r="C77" s="3" t="s">
        <v>25</v>
      </c>
      <c r="D77" s="3" t="s">
        <v>130</v>
      </c>
      <c r="E77" s="3" t="s">
        <v>131</v>
      </c>
      <c r="F77" s="4">
        <v>18150</v>
      </c>
      <c r="G77" s="4">
        <v>18150</v>
      </c>
    </row>
    <row r="78" spans="1:7" x14ac:dyDescent="0.25">
      <c r="A78" s="3">
        <f>_xlfn.XLOOKUP(B78,[1]Data!$E:$E,[1]Data!$E:$E)</f>
        <v>93647</v>
      </c>
      <c r="B78" s="3">
        <v>93647</v>
      </c>
      <c r="C78" s="3" t="s">
        <v>25</v>
      </c>
      <c r="D78" s="3" t="s">
        <v>132</v>
      </c>
      <c r="E78" s="3" t="s">
        <v>133</v>
      </c>
      <c r="F78" s="4">
        <v>330</v>
      </c>
      <c r="G78" s="4">
        <v>330</v>
      </c>
    </row>
    <row r="79" spans="1:7" x14ac:dyDescent="0.25">
      <c r="A79" s="3">
        <f>_xlfn.XLOOKUP(B79,[1]Data!$E:$E,[1]Data!$E:$E)</f>
        <v>93646</v>
      </c>
      <c r="B79" s="3">
        <v>93646</v>
      </c>
      <c r="C79" s="3" t="s">
        <v>25</v>
      </c>
      <c r="D79" s="3" t="s">
        <v>134</v>
      </c>
      <c r="E79" s="3" t="s">
        <v>53</v>
      </c>
      <c r="F79" s="4">
        <v>8493.1200000000008</v>
      </c>
      <c r="G79" s="4">
        <v>8493.1200000000008</v>
      </c>
    </row>
    <row r="80" spans="1:7" x14ac:dyDescent="0.25">
      <c r="A80" s="3">
        <f>_xlfn.XLOOKUP(B80,[1]Data!$E:$E,[1]Data!$E:$E)</f>
        <v>93642</v>
      </c>
      <c r="B80" s="3">
        <v>93642</v>
      </c>
      <c r="C80" s="3" t="s">
        <v>15</v>
      </c>
      <c r="D80" s="3" t="s">
        <v>135</v>
      </c>
      <c r="E80" s="3" t="s">
        <v>136</v>
      </c>
      <c r="F80" s="4">
        <v>3972742.35</v>
      </c>
      <c r="G80" s="4">
        <v>3972742.35</v>
      </c>
    </row>
    <row r="81" spans="1:7" x14ac:dyDescent="0.25">
      <c r="A81" s="3">
        <f>_xlfn.XLOOKUP(B81,[1]Data!$E:$E,[1]Data!$E:$E)</f>
        <v>93637</v>
      </c>
      <c r="B81" s="3">
        <v>93637</v>
      </c>
      <c r="C81" s="3" t="s">
        <v>9</v>
      </c>
      <c r="D81" s="3" t="s">
        <v>137</v>
      </c>
      <c r="E81" s="3" t="s">
        <v>24</v>
      </c>
      <c r="F81" s="4">
        <v>766.5</v>
      </c>
      <c r="G81" s="4">
        <v>623.54999999999995</v>
      </c>
    </row>
    <row r="82" spans="1:7" x14ac:dyDescent="0.25">
      <c r="A82" s="3">
        <f>_xlfn.XLOOKUP(B82,[1]Data!$E:$E,[1]Data!$E:$E)</f>
        <v>93631</v>
      </c>
      <c r="B82" s="3">
        <v>93631</v>
      </c>
      <c r="C82" s="3" t="s">
        <v>15</v>
      </c>
      <c r="D82" s="3" t="s">
        <v>16</v>
      </c>
      <c r="E82" s="3" t="s">
        <v>136</v>
      </c>
      <c r="F82" s="4">
        <v>5000000</v>
      </c>
      <c r="G82" s="4">
        <v>5000000</v>
      </c>
    </row>
    <row r="83" spans="1:7" x14ac:dyDescent="0.25">
      <c r="A83" s="3">
        <f>_xlfn.XLOOKUP(B83,[1]Data!$E:$E,[1]Data!$E:$E)</f>
        <v>93557</v>
      </c>
      <c r="B83" s="3">
        <v>93557</v>
      </c>
      <c r="C83" s="3" t="s">
        <v>20</v>
      </c>
      <c r="D83" s="3" t="s">
        <v>111</v>
      </c>
      <c r="E83" s="3" t="s">
        <v>22</v>
      </c>
      <c r="F83" s="4">
        <v>46165.38</v>
      </c>
      <c r="G83" s="4">
        <v>46165.38</v>
      </c>
    </row>
    <row r="84" spans="1:7" x14ac:dyDescent="0.25">
      <c r="A84" s="3">
        <f>_xlfn.XLOOKUP(B84,[1]Data!$E:$E,[1]Data!$E:$E)</f>
        <v>93550</v>
      </c>
      <c r="B84" s="3">
        <v>93550</v>
      </c>
      <c r="C84" s="3" t="s">
        <v>9</v>
      </c>
      <c r="D84" s="3" t="s">
        <v>138</v>
      </c>
      <c r="E84" s="3" t="s">
        <v>24</v>
      </c>
      <c r="F84" s="4">
        <v>640.5</v>
      </c>
      <c r="G84" s="4">
        <v>521.04999999999995</v>
      </c>
    </row>
    <row r="85" spans="1:7" x14ac:dyDescent="0.25">
      <c r="A85" s="3">
        <f>_xlfn.XLOOKUP(B85,[1]Data!$E:$E,[1]Data!$E:$E)</f>
        <v>93505</v>
      </c>
      <c r="B85" s="3">
        <v>93505</v>
      </c>
      <c r="C85" s="3" t="s">
        <v>6</v>
      </c>
      <c r="D85" s="3" t="s">
        <v>139</v>
      </c>
      <c r="E85" s="3" t="s">
        <v>140</v>
      </c>
      <c r="F85" s="4">
        <v>1552.1</v>
      </c>
      <c r="G85" s="4">
        <v>1552.1</v>
      </c>
    </row>
    <row r="86" spans="1:7" x14ac:dyDescent="0.25">
      <c r="A86" s="3">
        <f>_xlfn.XLOOKUP(B86,[1]Data!$E:$E,[1]Data!$E:$E)</f>
        <v>93504</v>
      </c>
      <c r="B86" s="3">
        <v>93504</v>
      </c>
      <c r="C86" s="3" t="s">
        <v>9</v>
      </c>
      <c r="D86" s="3" t="s">
        <v>141</v>
      </c>
      <c r="E86" s="3" t="s">
        <v>140</v>
      </c>
      <c r="F86" s="4">
        <v>31042.04</v>
      </c>
      <c r="G86" s="4">
        <v>26075.32</v>
      </c>
    </row>
    <row r="87" spans="1:7" x14ac:dyDescent="0.25">
      <c r="A87" s="3">
        <f>_xlfn.XLOOKUP(B87,[1]Data!$E:$E,[1]Data!$E:$E)</f>
        <v>93475</v>
      </c>
      <c r="B87" s="3">
        <v>93475</v>
      </c>
      <c r="C87" s="3" t="s">
        <v>43</v>
      </c>
      <c r="D87" s="3" t="s">
        <v>142</v>
      </c>
      <c r="E87" s="3" t="s">
        <v>143</v>
      </c>
      <c r="F87" s="4">
        <v>1214293.93</v>
      </c>
      <c r="G87" s="4">
        <v>1214293.93</v>
      </c>
    </row>
    <row r="88" spans="1:7" x14ac:dyDescent="0.25">
      <c r="A88" s="3">
        <f>_xlfn.XLOOKUP(B88,[1]Data!$E:$E,[1]Data!$E:$E)</f>
        <v>93451</v>
      </c>
      <c r="B88" s="3">
        <v>93451</v>
      </c>
      <c r="C88" s="3" t="s">
        <v>25</v>
      </c>
      <c r="D88" s="3" t="s">
        <v>144</v>
      </c>
      <c r="E88" s="3" t="s">
        <v>145</v>
      </c>
      <c r="F88" s="4">
        <v>19607.2</v>
      </c>
      <c r="G88" s="4">
        <v>19607.2</v>
      </c>
    </row>
    <row r="89" spans="1:7" x14ac:dyDescent="0.25">
      <c r="A89" s="3">
        <f>_xlfn.XLOOKUP(B89,[1]Data!$E:$E,[1]Data!$E:$E)</f>
        <v>93443</v>
      </c>
      <c r="B89" s="3">
        <v>93443</v>
      </c>
      <c r="C89" s="3" t="s">
        <v>9</v>
      </c>
      <c r="D89" s="3" t="s">
        <v>146</v>
      </c>
      <c r="E89" s="3" t="s">
        <v>147</v>
      </c>
      <c r="F89" s="4">
        <v>15650</v>
      </c>
      <c r="G89" s="4">
        <v>15650</v>
      </c>
    </row>
    <row r="90" spans="1:7" x14ac:dyDescent="0.25">
      <c r="A90" s="3">
        <f>_xlfn.XLOOKUP(B90,[1]Data!$E:$E,[1]Data!$E:$E)</f>
        <v>93433</v>
      </c>
      <c r="B90" s="3">
        <v>93433</v>
      </c>
      <c r="C90" s="3" t="s">
        <v>9</v>
      </c>
      <c r="D90" s="3" t="s">
        <v>148</v>
      </c>
      <c r="E90" s="3" t="s">
        <v>149</v>
      </c>
      <c r="F90" s="4">
        <v>2046.2</v>
      </c>
      <c r="G90" s="4">
        <v>2046.2</v>
      </c>
    </row>
    <row r="91" spans="1:7" x14ac:dyDescent="0.25">
      <c r="A91" s="3">
        <f>_xlfn.XLOOKUP(B91,[1]Data!$E:$E,[1]Data!$E:$E)</f>
        <v>93431</v>
      </c>
      <c r="B91" s="3">
        <v>93431</v>
      </c>
      <c r="C91" s="3" t="s">
        <v>9</v>
      </c>
      <c r="D91" s="3" t="s">
        <v>150</v>
      </c>
      <c r="E91" s="3" t="s">
        <v>149</v>
      </c>
      <c r="F91" s="4">
        <v>1576.4</v>
      </c>
      <c r="G91" s="4">
        <v>1576.4</v>
      </c>
    </row>
    <row r="92" spans="1:7" x14ac:dyDescent="0.25">
      <c r="A92" s="3">
        <f>_xlfn.XLOOKUP(B92,[1]Data!$E:$E,[1]Data!$E:$E)</f>
        <v>93402</v>
      </c>
      <c r="B92" s="3">
        <v>93402</v>
      </c>
      <c r="C92" s="3" t="s">
        <v>9</v>
      </c>
      <c r="D92" s="3" t="s">
        <v>151</v>
      </c>
      <c r="E92" s="3" t="s">
        <v>8</v>
      </c>
      <c r="F92" s="4">
        <v>2666189.0299999998</v>
      </c>
      <c r="G92" s="4">
        <v>2430231.2999999998</v>
      </c>
    </row>
    <row r="93" spans="1:7" x14ac:dyDescent="0.25">
      <c r="A93" s="3">
        <f>_xlfn.XLOOKUP(B93,[1]Data!$E:$E,[1]Data!$E:$E)</f>
        <v>93400</v>
      </c>
      <c r="B93" s="3">
        <v>93400</v>
      </c>
      <c r="C93" s="3" t="s">
        <v>9</v>
      </c>
      <c r="D93" s="3" t="s">
        <v>152</v>
      </c>
      <c r="E93" s="3" t="s">
        <v>8</v>
      </c>
      <c r="F93" s="4">
        <v>755258.49</v>
      </c>
      <c r="G93" s="4">
        <v>717495.57</v>
      </c>
    </row>
    <row r="94" spans="1:7" x14ac:dyDescent="0.25">
      <c r="A94" s="3">
        <f>_xlfn.XLOOKUP(B94,[1]Data!$E:$E,[1]Data!$E:$E)</f>
        <v>93397</v>
      </c>
      <c r="B94" s="3">
        <v>93397</v>
      </c>
      <c r="C94" s="3" t="s">
        <v>6</v>
      </c>
      <c r="D94" s="3" t="s">
        <v>153</v>
      </c>
      <c r="E94" s="3" t="s">
        <v>8</v>
      </c>
      <c r="F94" s="4">
        <v>53241.27</v>
      </c>
      <c r="G94" s="4">
        <v>53241.27</v>
      </c>
    </row>
    <row r="95" spans="1:7" x14ac:dyDescent="0.25">
      <c r="A95" s="3">
        <f>_xlfn.XLOOKUP(B95,[1]Data!$E:$E,[1]Data!$E:$E)</f>
        <v>93396</v>
      </c>
      <c r="B95" s="3">
        <v>93396</v>
      </c>
      <c r="C95" s="3" t="s">
        <v>9</v>
      </c>
      <c r="D95" s="3" t="s">
        <v>154</v>
      </c>
      <c r="E95" s="3" t="s">
        <v>8</v>
      </c>
      <c r="F95" s="4">
        <v>1064825.3700000001</v>
      </c>
      <c r="G95" s="4">
        <v>958342.83000000007</v>
      </c>
    </row>
    <row r="96" spans="1:7" x14ac:dyDescent="0.25">
      <c r="A96" s="3">
        <f>_xlfn.XLOOKUP(B96,[1]Data!$E:$E,[1]Data!$E:$E)</f>
        <v>93394</v>
      </c>
      <c r="B96" s="3">
        <v>93394</v>
      </c>
      <c r="C96" s="3" t="s">
        <v>6</v>
      </c>
      <c r="D96" s="3" t="s">
        <v>7</v>
      </c>
      <c r="E96" s="3" t="s">
        <v>8</v>
      </c>
      <c r="F96" s="4">
        <v>724.33</v>
      </c>
      <c r="G96" s="4">
        <v>724.33</v>
      </c>
    </row>
    <row r="97" spans="1:7" x14ac:dyDescent="0.25">
      <c r="A97" s="3">
        <f>_xlfn.XLOOKUP(B97,[1]Data!$E:$E,[1]Data!$E:$E)</f>
        <v>93393</v>
      </c>
      <c r="B97" s="3">
        <v>93393</v>
      </c>
      <c r="C97" s="3" t="s">
        <v>9</v>
      </c>
      <c r="D97" s="3" t="s">
        <v>155</v>
      </c>
      <c r="E97" s="3" t="s">
        <v>8</v>
      </c>
      <c r="F97" s="4">
        <v>14486.6</v>
      </c>
      <c r="G97" s="4">
        <v>13037.94</v>
      </c>
    </row>
    <row r="98" spans="1:7" x14ac:dyDescent="0.25">
      <c r="A98" s="3">
        <f>_xlfn.XLOOKUP(B98,[1]Data!$E:$E,[1]Data!$E:$E)</f>
        <v>93392</v>
      </c>
      <c r="B98" s="3">
        <v>93392</v>
      </c>
      <c r="C98" s="3" t="s">
        <v>9</v>
      </c>
      <c r="D98" s="3" t="s">
        <v>156</v>
      </c>
      <c r="E98" s="3" t="s">
        <v>8</v>
      </c>
      <c r="F98" s="4">
        <v>167811.74</v>
      </c>
      <c r="G98" s="4">
        <v>152960.41</v>
      </c>
    </row>
    <row r="99" spans="1:7" x14ac:dyDescent="0.25">
      <c r="A99" s="3">
        <f>_xlfn.XLOOKUP(B99,[1]Data!$E:$E,[1]Data!$E:$E)</f>
        <v>93384</v>
      </c>
      <c r="B99" s="3">
        <v>93384</v>
      </c>
      <c r="C99" s="3" t="s">
        <v>6</v>
      </c>
      <c r="D99" s="3" t="s">
        <v>12</v>
      </c>
      <c r="E99" s="3" t="s">
        <v>13</v>
      </c>
      <c r="F99" s="4">
        <v>1648.77</v>
      </c>
      <c r="G99" s="4">
        <v>1648.77</v>
      </c>
    </row>
    <row r="100" spans="1:7" x14ac:dyDescent="0.25">
      <c r="A100" s="3">
        <f>_xlfn.XLOOKUP(B100,[1]Data!$E:$E,[1]Data!$E:$E)</f>
        <v>93383</v>
      </c>
      <c r="B100" s="3">
        <v>93383</v>
      </c>
      <c r="C100" s="3" t="s">
        <v>9</v>
      </c>
      <c r="D100" s="3" t="s">
        <v>157</v>
      </c>
      <c r="E100" s="3" t="s">
        <v>13</v>
      </c>
      <c r="F100" s="4">
        <v>32975.32</v>
      </c>
      <c r="G100" s="4">
        <v>29677.79</v>
      </c>
    </row>
    <row r="101" spans="1:7" x14ac:dyDescent="0.25">
      <c r="A101" s="3">
        <f>_xlfn.XLOOKUP(B101,[1]Data!$E:$E,[1]Data!$E:$E)</f>
        <v>93379</v>
      </c>
      <c r="B101" s="3">
        <v>93379</v>
      </c>
      <c r="C101" s="3" t="s">
        <v>25</v>
      </c>
      <c r="D101" s="3" t="s">
        <v>158</v>
      </c>
      <c r="E101" s="3" t="s">
        <v>159</v>
      </c>
      <c r="F101" s="4">
        <v>1204</v>
      </c>
      <c r="G101" s="4">
        <v>1204</v>
      </c>
    </row>
    <row r="102" spans="1:7" x14ac:dyDescent="0.25">
      <c r="A102" s="3">
        <f>_xlfn.XLOOKUP(B102,[1]Data!$E:$E,[1]Data!$E:$E)</f>
        <v>93378</v>
      </c>
      <c r="B102" s="3">
        <v>93378</v>
      </c>
      <c r="C102" s="3" t="s">
        <v>25</v>
      </c>
      <c r="D102" s="3" t="s">
        <v>160</v>
      </c>
      <c r="E102" s="3" t="s">
        <v>159</v>
      </c>
      <c r="F102" s="4">
        <v>1316.32</v>
      </c>
      <c r="G102" s="4">
        <v>1316.32</v>
      </c>
    </row>
    <row r="103" spans="1:7" x14ac:dyDescent="0.25">
      <c r="A103" s="3">
        <f>_xlfn.XLOOKUP(B103,[1]Data!$E:$E,[1]Data!$E:$E)</f>
        <v>93372</v>
      </c>
      <c r="B103" s="3">
        <v>93372</v>
      </c>
      <c r="C103" s="3" t="s">
        <v>25</v>
      </c>
      <c r="D103" s="3" t="s">
        <v>161</v>
      </c>
      <c r="E103" s="3" t="s">
        <v>159</v>
      </c>
      <c r="F103" s="4">
        <v>46567.45</v>
      </c>
      <c r="G103" s="4">
        <v>46567.45</v>
      </c>
    </row>
    <row r="104" spans="1:7" x14ac:dyDescent="0.25">
      <c r="A104" s="3">
        <f>_xlfn.XLOOKUP(B104,[1]Data!$E:$E,[1]Data!$E:$E)</f>
        <v>93371</v>
      </c>
      <c r="B104" s="3">
        <v>93371</v>
      </c>
      <c r="C104" s="3" t="s">
        <v>25</v>
      </c>
      <c r="D104" s="3" t="s">
        <v>162</v>
      </c>
      <c r="E104" s="3" t="s">
        <v>159</v>
      </c>
      <c r="F104" s="4">
        <v>28795.26</v>
      </c>
      <c r="G104" s="4">
        <v>28795.26</v>
      </c>
    </row>
    <row r="105" spans="1:7" x14ac:dyDescent="0.25">
      <c r="A105" s="3">
        <f>_xlfn.XLOOKUP(B105,[1]Data!$E:$E,[1]Data!$E:$E)</f>
        <v>93370</v>
      </c>
      <c r="B105" s="3">
        <v>93370</v>
      </c>
      <c r="C105" s="3" t="s">
        <v>25</v>
      </c>
      <c r="D105" s="3" t="s">
        <v>163</v>
      </c>
      <c r="E105" s="3" t="s">
        <v>159</v>
      </c>
      <c r="F105" s="4">
        <v>54938.97</v>
      </c>
      <c r="G105" s="4">
        <v>54938.97</v>
      </c>
    </row>
    <row r="106" spans="1:7" x14ac:dyDescent="0.25">
      <c r="A106" s="3">
        <f>_xlfn.XLOOKUP(B106,[1]Data!$E:$E,[1]Data!$E:$E)</f>
        <v>93369</v>
      </c>
      <c r="B106" s="3">
        <v>93369</v>
      </c>
      <c r="C106" s="3" t="s">
        <v>25</v>
      </c>
      <c r="D106" s="3" t="s">
        <v>164</v>
      </c>
      <c r="E106" s="3" t="s">
        <v>159</v>
      </c>
      <c r="F106" s="4">
        <v>51864.54</v>
      </c>
      <c r="G106" s="4">
        <v>51864.54</v>
      </c>
    </row>
    <row r="107" spans="1:7" x14ac:dyDescent="0.25">
      <c r="A107" s="3">
        <f>_xlfn.XLOOKUP(B107,[1]Data!$E:$E,[1]Data!$E:$E)</f>
        <v>93368</v>
      </c>
      <c r="B107" s="3">
        <v>93368</v>
      </c>
      <c r="C107" s="3" t="s">
        <v>25</v>
      </c>
      <c r="D107" s="3" t="s">
        <v>165</v>
      </c>
      <c r="E107" s="3" t="s">
        <v>159</v>
      </c>
      <c r="F107" s="4">
        <v>65210.34</v>
      </c>
      <c r="G107" s="4">
        <v>65210.34</v>
      </c>
    </row>
    <row r="108" spans="1:7" x14ac:dyDescent="0.25">
      <c r="A108" s="3">
        <f>_xlfn.XLOOKUP(B108,[1]Data!$E:$E,[1]Data!$E:$E)</f>
        <v>93367</v>
      </c>
      <c r="B108" s="3">
        <v>93367</v>
      </c>
      <c r="C108" s="3" t="s">
        <v>25</v>
      </c>
      <c r="D108" s="3" t="s">
        <v>166</v>
      </c>
      <c r="E108" s="3" t="s">
        <v>159</v>
      </c>
      <c r="F108" s="4">
        <v>62560.19</v>
      </c>
      <c r="G108" s="4">
        <v>62560.19</v>
      </c>
    </row>
    <row r="109" spans="1:7" x14ac:dyDescent="0.25">
      <c r="A109" s="3">
        <f>_xlfn.XLOOKUP(B109,[1]Data!$E:$E,[1]Data!$E:$E)</f>
        <v>93330</v>
      </c>
      <c r="B109" s="3">
        <v>93330</v>
      </c>
      <c r="C109" s="3" t="s">
        <v>9</v>
      </c>
      <c r="D109" s="3" t="s">
        <v>167</v>
      </c>
      <c r="E109" s="3" t="s">
        <v>168</v>
      </c>
      <c r="F109" s="4">
        <v>275000</v>
      </c>
      <c r="G109" s="4">
        <v>258087.5</v>
      </c>
    </row>
    <row r="110" spans="1:7" x14ac:dyDescent="0.25">
      <c r="A110" s="3">
        <f>_xlfn.XLOOKUP(B110,[1]Data!$E:$E,[1]Data!$E:$E)</f>
        <v>93328</v>
      </c>
      <c r="B110" s="3">
        <v>93328</v>
      </c>
      <c r="C110" s="3" t="s">
        <v>6</v>
      </c>
      <c r="D110" s="3" t="s">
        <v>169</v>
      </c>
      <c r="E110" s="3" t="s">
        <v>17</v>
      </c>
      <c r="F110" s="4">
        <v>711.59</v>
      </c>
      <c r="G110" s="4">
        <v>711.59</v>
      </c>
    </row>
    <row r="111" spans="1:7" x14ac:dyDescent="0.25">
      <c r="A111" s="3">
        <f>_xlfn.XLOOKUP(B111,[1]Data!$E:$E,[1]Data!$E:$E)</f>
        <v>93327</v>
      </c>
      <c r="B111" s="3">
        <v>93327</v>
      </c>
      <c r="C111" s="3" t="s">
        <v>9</v>
      </c>
      <c r="D111" s="3" t="s">
        <v>170</v>
      </c>
      <c r="E111" s="3" t="s">
        <v>17</v>
      </c>
      <c r="F111" s="4">
        <v>47439.69</v>
      </c>
      <c r="G111" s="4">
        <v>39137.760000000002</v>
      </c>
    </row>
    <row r="112" spans="1:7" x14ac:dyDescent="0.25">
      <c r="A112" s="3">
        <f>_xlfn.XLOOKUP(B112,[1]Data!$E:$E,[1]Data!$E:$E)</f>
        <v>93321</v>
      </c>
      <c r="B112" s="3">
        <v>93321</v>
      </c>
      <c r="C112" s="3" t="s">
        <v>6</v>
      </c>
      <c r="D112" s="3" t="s">
        <v>171</v>
      </c>
      <c r="E112" s="3" t="s">
        <v>172</v>
      </c>
      <c r="F112" s="4">
        <v>53898.59</v>
      </c>
      <c r="G112" s="4">
        <v>53898.59</v>
      </c>
    </row>
    <row r="113" spans="1:7" x14ac:dyDescent="0.25">
      <c r="A113" s="3">
        <f>_xlfn.XLOOKUP(B113,[1]Data!$E:$E,[1]Data!$E:$E)</f>
        <v>93320</v>
      </c>
      <c r="B113" s="3">
        <v>93320</v>
      </c>
      <c r="C113" s="3" t="s">
        <v>9</v>
      </c>
      <c r="D113" s="3" t="s">
        <v>173</v>
      </c>
      <c r="E113" s="3" t="s">
        <v>172</v>
      </c>
      <c r="F113" s="4">
        <v>1077971.72</v>
      </c>
      <c r="G113" s="4">
        <v>952388.02</v>
      </c>
    </row>
    <row r="114" spans="1:7" x14ac:dyDescent="0.25">
      <c r="A114" s="3">
        <f>_xlfn.XLOOKUP(B114,[1]Data!$E:$E,[1]Data!$E:$E)</f>
        <v>93311</v>
      </c>
      <c r="B114" s="3">
        <v>93311</v>
      </c>
      <c r="C114" s="3" t="s">
        <v>43</v>
      </c>
      <c r="D114" s="3" t="s">
        <v>174</v>
      </c>
      <c r="E114" s="3" t="s">
        <v>175</v>
      </c>
      <c r="F114" s="4">
        <v>115500</v>
      </c>
      <c r="G114" s="4">
        <v>115500</v>
      </c>
    </row>
    <row r="115" spans="1:7" x14ac:dyDescent="0.25">
      <c r="A115" s="3">
        <f>_xlfn.XLOOKUP(B115,[1]Data!$E:$E,[1]Data!$E:$E)</f>
        <v>93300</v>
      </c>
      <c r="B115" s="3">
        <v>93300</v>
      </c>
      <c r="C115" s="3" t="s">
        <v>9</v>
      </c>
      <c r="D115" s="3" t="s">
        <v>176</v>
      </c>
      <c r="E115" s="3" t="s">
        <v>177</v>
      </c>
      <c r="F115" s="4">
        <v>35400</v>
      </c>
      <c r="G115" s="4">
        <v>33222.9</v>
      </c>
    </row>
    <row r="116" spans="1:7" x14ac:dyDescent="0.25">
      <c r="A116" s="3">
        <f>_xlfn.XLOOKUP(B116,[1]Data!$E:$E,[1]Data!$E:$E)</f>
        <v>93299</v>
      </c>
      <c r="B116" s="3">
        <v>93299</v>
      </c>
      <c r="C116" s="3" t="s">
        <v>6</v>
      </c>
      <c r="D116" s="3" t="s">
        <v>178</v>
      </c>
      <c r="E116" s="3" t="s">
        <v>179</v>
      </c>
      <c r="F116" s="4">
        <v>1168.6600000000001</v>
      </c>
      <c r="G116" s="4">
        <v>1168.6600000000001</v>
      </c>
    </row>
    <row r="117" spans="1:7" x14ac:dyDescent="0.25">
      <c r="A117" s="3">
        <f>_xlfn.XLOOKUP(B117,[1]Data!$E:$E,[1]Data!$E:$E)</f>
        <v>93298</v>
      </c>
      <c r="B117" s="3">
        <v>93298</v>
      </c>
      <c r="C117" s="3" t="s">
        <v>9</v>
      </c>
      <c r="D117" s="3" t="s">
        <v>180</v>
      </c>
      <c r="E117" s="3" t="s">
        <v>179</v>
      </c>
      <c r="F117" s="4">
        <v>23373.200000000001</v>
      </c>
      <c r="G117" s="4">
        <v>22204.54</v>
      </c>
    </row>
    <row r="118" spans="1:7" x14ac:dyDescent="0.25">
      <c r="A118" s="3">
        <f>_xlfn.XLOOKUP(B118,[1]Data!$E:$E,[1]Data!$E:$E)</f>
        <v>93295</v>
      </c>
      <c r="B118" s="3">
        <v>93295</v>
      </c>
      <c r="C118" s="3" t="s">
        <v>25</v>
      </c>
      <c r="D118" s="3" t="s">
        <v>181</v>
      </c>
      <c r="E118" s="3" t="s">
        <v>182</v>
      </c>
      <c r="F118" s="4">
        <v>980</v>
      </c>
      <c r="G118" s="4">
        <v>980</v>
      </c>
    </row>
    <row r="119" spans="1:7" x14ac:dyDescent="0.25">
      <c r="A119" s="3">
        <f>_xlfn.XLOOKUP(B119,[1]Data!$E:$E,[1]Data!$E:$E)</f>
        <v>93294</v>
      </c>
      <c r="B119" s="3">
        <v>93294</v>
      </c>
      <c r="C119" s="3" t="s">
        <v>25</v>
      </c>
      <c r="D119" s="3" t="s">
        <v>183</v>
      </c>
      <c r="E119" s="3" t="s">
        <v>184</v>
      </c>
      <c r="F119" s="4">
        <v>2813.3</v>
      </c>
      <c r="G119" s="4">
        <v>2813.3</v>
      </c>
    </row>
    <row r="120" spans="1:7" x14ac:dyDescent="0.25">
      <c r="A120" s="3">
        <f>_xlfn.XLOOKUP(B120,[1]Data!$E:$E,[1]Data!$E:$E)</f>
        <v>93248</v>
      </c>
      <c r="B120" s="3">
        <v>93248</v>
      </c>
      <c r="C120" s="3" t="s">
        <v>9</v>
      </c>
      <c r="D120" s="3" t="s">
        <v>185</v>
      </c>
      <c r="E120" s="3" t="s">
        <v>186</v>
      </c>
      <c r="F120" s="4">
        <v>4536.68</v>
      </c>
      <c r="G120" s="4">
        <v>4536.68</v>
      </c>
    </row>
    <row r="121" spans="1:7" x14ac:dyDescent="0.25">
      <c r="A121" s="3">
        <f>_xlfn.XLOOKUP(B121,[1]Data!$E:$E,[1]Data!$E:$E)</f>
        <v>93240</v>
      </c>
      <c r="B121" s="3">
        <v>93240</v>
      </c>
      <c r="C121" s="3" t="s">
        <v>25</v>
      </c>
      <c r="D121" s="3" t="s">
        <v>187</v>
      </c>
      <c r="E121" s="3" t="s">
        <v>56</v>
      </c>
      <c r="F121" s="4">
        <v>6620.16</v>
      </c>
      <c r="G121" s="4">
        <v>6586.1</v>
      </c>
    </row>
    <row r="122" spans="1:7" x14ac:dyDescent="0.25">
      <c r="A122" s="3">
        <f>_xlfn.XLOOKUP(B122,[1]Data!$E:$E,[1]Data!$E:$E)</f>
        <v>93225</v>
      </c>
      <c r="B122" s="3">
        <v>93225</v>
      </c>
      <c r="C122" s="3" t="s">
        <v>40</v>
      </c>
      <c r="D122" s="3" t="s">
        <v>188</v>
      </c>
      <c r="E122" s="3" t="s">
        <v>189</v>
      </c>
      <c r="F122" s="4">
        <v>1500</v>
      </c>
      <c r="G122" s="4">
        <v>1500</v>
      </c>
    </row>
    <row r="123" spans="1:7" x14ac:dyDescent="0.25">
      <c r="A123" s="3">
        <f>_xlfn.XLOOKUP(B123,[1]Data!$E:$E,[1]Data!$E:$E)</f>
        <v>93205</v>
      </c>
      <c r="B123" s="3">
        <v>93205</v>
      </c>
      <c r="C123" s="3" t="s">
        <v>6</v>
      </c>
      <c r="D123" s="3" t="s">
        <v>139</v>
      </c>
      <c r="E123" s="3" t="s">
        <v>140</v>
      </c>
      <c r="F123" s="4">
        <v>1552.1</v>
      </c>
      <c r="G123" s="4">
        <v>1552.1</v>
      </c>
    </row>
    <row r="124" spans="1:7" x14ac:dyDescent="0.25">
      <c r="A124" s="3">
        <f>_xlfn.XLOOKUP(B124,[1]Data!$E:$E,[1]Data!$E:$E)</f>
        <v>93204</v>
      </c>
      <c r="B124" s="3">
        <v>93204</v>
      </c>
      <c r="C124" s="3" t="s">
        <v>9</v>
      </c>
      <c r="D124" s="3" t="s">
        <v>190</v>
      </c>
      <c r="E124" s="3" t="s">
        <v>140</v>
      </c>
      <c r="F124" s="4">
        <v>31042.04</v>
      </c>
      <c r="G124" s="4">
        <v>24551.16</v>
      </c>
    </row>
    <row r="125" spans="1:7" x14ac:dyDescent="0.25">
      <c r="A125" s="3">
        <f>_xlfn.XLOOKUP(B125,[1]Data!$E:$E,[1]Data!$E:$E)</f>
        <v>93188</v>
      </c>
      <c r="B125" s="3">
        <v>93188</v>
      </c>
      <c r="C125" s="3" t="s">
        <v>25</v>
      </c>
      <c r="D125" s="3" t="s">
        <v>191</v>
      </c>
      <c r="E125" s="3" t="s">
        <v>145</v>
      </c>
      <c r="F125" s="4">
        <v>7732.5</v>
      </c>
      <c r="G125" s="4">
        <v>7732.5</v>
      </c>
    </row>
    <row r="126" spans="1:7" x14ac:dyDescent="0.25">
      <c r="A126" s="3">
        <f>_xlfn.XLOOKUP(B126,[1]Data!$E:$E,[1]Data!$E:$E)</f>
        <v>93160</v>
      </c>
      <c r="B126" s="3">
        <v>93160</v>
      </c>
      <c r="C126" s="3" t="s">
        <v>6</v>
      </c>
      <c r="D126" s="3" t="s">
        <v>192</v>
      </c>
      <c r="E126" s="3" t="s">
        <v>193</v>
      </c>
      <c r="F126" s="4">
        <v>1580.55</v>
      </c>
      <c r="G126" s="4">
        <v>1580.55</v>
      </c>
    </row>
    <row r="127" spans="1:7" x14ac:dyDescent="0.25">
      <c r="A127" s="3">
        <f>_xlfn.XLOOKUP(B127,[1]Data!$E:$E,[1]Data!$E:$E)</f>
        <v>93159</v>
      </c>
      <c r="B127" s="3">
        <v>93159</v>
      </c>
      <c r="C127" s="3" t="s">
        <v>9</v>
      </c>
      <c r="D127" s="3" t="s">
        <v>194</v>
      </c>
      <c r="E127" s="3" t="s">
        <v>193</v>
      </c>
      <c r="F127" s="4">
        <v>30691</v>
      </c>
      <c r="G127" s="4">
        <v>25688.41</v>
      </c>
    </row>
    <row r="128" spans="1:7" x14ac:dyDescent="0.25">
      <c r="A128" s="3">
        <f>_xlfn.XLOOKUP(B128,[1]Data!$E:$E,[1]Data!$E:$E)</f>
        <v>93130</v>
      </c>
      <c r="B128" s="3">
        <v>93130</v>
      </c>
      <c r="C128" s="3" t="s">
        <v>25</v>
      </c>
      <c r="D128" s="3" t="s">
        <v>195</v>
      </c>
      <c r="E128" s="3" t="s">
        <v>196</v>
      </c>
      <c r="F128" s="4">
        <v>3552</v>
      </c>
      <c r="G128" s="4">
        <v>3552</v>
      </c>
    </row>
    <row r="129" spans="1:7" x14ac:dyDescent="0.25">
      <c r="A129" s="3">
        <f>_xlfn.XLOOKUP(B129,[1]Data!$E:$E,[1]Data!$E:$E)</f>
        <v>93126</v>
      </c>
      <c r="B129" s="3">
        <v>93126</v>
      </c>
      <c r="C129" s="3" t="s">
        <v>25</v>
      </c>
      <c r="D129" s="3" t="s">
        <v>197</v>
      </c>
      <c r="E129" s="3" t="s">
        <v>27</v>
      </c>
      <c r="F129" s="4">
        <v>7747.63</v>
      </c>
      <c r="G129" s="4">
        <v>7747.63</v>
      </c>
    </row>
    <row r="130" spans="1:7" x14ac:dyDescent="0.25">
      <c r="A130" s="3">
        <f>_xlfn.XLOOKUP(B130,[1]Data!$E:$E,[1]Data!$E:$E)</f>
        <v>93116</v>
      </c>
      <c r="B130" s="3">
        <v>93116</v>
      </c>
      <c r="C130" s="3" t="s">
        <v>9</v>
      </c>
      <c r="D130" s="3" t="s">
        <v>198</v>
      </c>
      <c r="E130" s="3" t="s">
        <v>168</v>
      </c>
      <c r="F130" s="4">
        <v>61200</v>
      </c>
      <c r="G130" s="4">
        <v>57436.2</v>
      </c>
    </row>
    <row r="131" spans="1:7" x14ac:dyDescent="0.25">
      <c r="A131" s="3">
        <f>_xlfn.XLOOKUP(B131,[1]Data!$E:$E,[1]Data!$E:$E)</f>
        <v>93106</v>
      </c>
      <c r="B131" s="3">
        <v>93106</v>
      </c>
      <c r="C131" s="3" t="s">
        <v>15</v>
      </c>
      <c r="D131" s="3" t="s">
        <v>16</v>
      </c>
      <c r="E131" s="3" t="s">
        <v>199</v>
      </c>
      <c r="F131" s="4">
        <v>1027957.12</v>
      </c>
      <c r="G131" s="4">
        <v>1027957.12</v>
      </c>
    </row>
    <row r="132" spans="1:7" x14ac:dyDescent="0.25">
      <c r="A132" s="3">
        <f>_xlfn.XLOOKUP(B132,[1]Data!$E:$E,[1]Data!$E:$E)</f>
        <v>93091</v>
      </c>
      <c r="B132" s="3">
        <v>93091</v>
      </c>
      <c r="C132" s="3" t="s">
        <v>43</v>
      </c>
      <c r="D132" s="3" t="s">
        <v>200</v>
      </c>
      <c r="E132" s="3" t="s">
        <v>201</v>
      </c>
      <c r="F132" s="4">
        <v>500000.09</v>
      </c>
      <c r="G132" s="4">
        <v>500000.09</v>
      </c>
    </row>
    <row r="133" spans="1:7" x14ac:dyDescent="0.25">
      <c r="A133" s="3">
        <f>_xlfn.XLOOKUP(B133,[1]Data!$E:$E,[1]Data!$E:$E)</f>
        <v>93058</v>
      </c>
      <c r="B133" s="3">
        <v>93058</v>
      </c>
      <c r="C133" s="3" t="s">
        <v>9</v>
      </c>
      <c r="D133" s="3" t="s">
        <v>202</v>
      </c>
      <c r="E133" s="3" t="s">
        <v>203</v>
      </c>
      <c r="F133" s="4">
        <v>34800</v>
      </c>
      <c r="G133" s="4">
        <v>32659.8</v>
      </c>
    </row>
    <row r="134" spans="1:7" x14ac:dyDescent="0.25">
      <c r="A134" s="3">
        <f>_xlfn.XLOOKUP(B134,[1]Data!$E:$E,[1]Data!$E:$E)</f>
        <v>93057</v>
      </c>
      <c r="B134" s="3">
        <v>93057</v>
      </c>
      <c r="C134" s="3" t="s">
        <v>25</v>
      </c>
      <c r="D134" s="3" t="s">
        <v>204</v>
      </c>
      <c r="E134" s="3" t="s">
        <v>145</v>
      </c>
      <c r="F134" s="4">
        <v>23190</v>
      </c>
      <c r="G134" s="4">
        <v>23190</v>
      </c>
    </row>
    <row r="135" spans="1:7" x14ac:dyDescent="0.25">
      <c r="A135" s="3">
        <f>_xlfn.XLOOKUP(B135,[1]Data!$E:$E,[1]Data!$E:$E)</f>
        <v>93048</v>
      </c>
      <c r="B135" s="3">
        <v>93048</v>
      </c>
      <c r="C135" s="3" t="s">
        <v>43</v>
      </c>
      <c r="D135" s="3" t="s">
        <v>205</v>
      </c>
      <c r="E135" s="3" t="s">
        <v>199</v>
      </c>
      <c r="F135" s="4">
        <v>669912</v>
      </c>
      <c r="G135" s="4">
        <v>669912</v>
      </c>
    </row>
    <row r="136" spans="1:7" x14ac:dyDescent="0.25">
      <c r="A136" s="3">
        <f>_xlfn.XLOOKUP(B136,[1]Data!$E:$E,[1]Data!$E:$E)</f>
        <v>93045</v>
      </c>
      <c r="B136" s="3">
        <v>93045</v>
      </c>
      <c r="C136" s="3" t="s">
        <v>43</v>
      </c>
      <c r="D136" s="3" t="s">
        <v>206</v>
      </c>
      <c r="E136" s="3" t="s">
        <v>199</v>
      </c>
      <c r="F136" s="4">
        <v>1062600</v>
      </c>
      <c r="G136" s="4">
        <v>1062600</v>
      </c>
    </row>
    <row r="137" spans="1:7" x14ac:dyDescent="0.25">
      <c r="A137" s="3">
        <f>_xlfn.XLOOKUP(B137,[1]Data!$E:$E,[1]Data!$E:$E)</f>
        <v>93039</v>
      </c>
      <c r="B137" s="3">
        <v>93039</v>
      </c>
      <c r="C137" s="3" t="s">
        <v>9</v>
      </c>
      <c r="D137" s="3" t="s">
        <v>207</v>
      </c>
      <c r="E137" s="3" t="s">
        <v>208</v>
      </c>
      <c r="F137" s="4">
        <v>2300</v>
      </c>
      <c r="G137" s="4">
        <v>2300</v>
      </c>
    </row>
    <row r="138" spans="1:7" x14ac:dyDescent="0.25">
      <c r="A138" s="3">
        <f>_xlfn.XLOOKUP(B138,[1]Data!$E:$E,[1]Data!$E:$E)</f>
        <v>93025</v>
      </c>
      <c r="B138" s="3">
        <v>93025</v>
      </c>
      <c r="C138" s="3" t="s">
        <v>15</v>
      </c>
      <c r="D138" s="3" t="s">
        <v>16</v>
      </c>
      <c r="E138" s="3" t="s">
        <v>71</v>
      </c>
      <c r="F138" s="4">
        <v>200000</v>
      </c>
      <c r="G138" s="4">
        <v>200000</v>
      </c>
    </row>
    <row r="139" spans="1:7" x14ac:dyDescent="0.25">
      <c r="A139" s="3">
        <f>_xlfn.XLOOKUP(B139,[1]Data!$E:$E,[1]Data!$E:$E)</f>
        <v>93004</v>
      </c>
      <c r="B139" s="3">
        <v>93004</v>
      </c>
      <c r="C139" s="3" t="s">
        <v>9</v>
      </c>
      <c r="D139" s="3" t="s">
        <v>209</v>
      </c>
      <c r="E139" s="3" t="s">
        <v>210</v>
      </c>
      <c r="F139" s="4">
        <v>12432.77</v>
      </c>
      <c r="G139" s="4">
        <v>12432.77</v>
      </c>
    </row>
    <row r="140" spans="1:7" x14ac:dyDescent="0.25">
      <c r="A140" s="3">
        <f>_xlfn.XLOOKUP(B140,[1]Data!$E:$E,[1]Data!$E:$E)</f>
        <v>93001</v>
      </c>
      <c r="B140" s="3">
        <v>93001</v>
      </c>
      <c r="C140" s="3" t="s">
        <v>9</v>
      </c>
      <c r="D140" s="3" t="s">
        <v>211</v>
      </c>
      <c r="E140" s="3" t="s">
        <v>212</v>
      </c>
      <c r="F140" s="4">
        <v>13500</v>
      </c>
      <c r="G140" s="4">
        <v>12669.75</v>
      </c>
    </row>
    <row r="141" spans="1:7" x14ac:dyDescent="0.25">
      <c r="A141" s="3">
        <f>_xlfn.XLOOKUP(B141,[1]Data!$E:$E,[1]Data!$E:$E)</f>
        <v>92997</v>
      </c>
      <c r="B141" s="3">
        <v>92997</v>
      </c>
      <c r="C141" s="3" t="s">
        <v>9</v>
      </c>
      <c r="D141" s="3" t="s">
        <v>213</v>
      </c>
      <c r="E141" s="3" t="s">
        <v>214</v>
      </c>
      <c r="F141" s="4">
        <v>48800</v>
      </c>
      <c r="G141" s="4">
        <v>45798.8</v>
      </c>
    </row>
    <row r="142" spans="1:7" x14ac:dyDescent="0.25">
      <c r="A142" s="3">
        <f>_xlfn.XLOOKUP(B142,[1]Data!$E:$E,[1]Data!$E:$E)</f>
        <v>92996</v>
      </c>
      <c r="B142" s="3">
        <v>92996</v>
      </c>
      <c r="C142" s="3" t="s">
        <v>9</v>
      </c>
      <c r="D142" s="3" t="s">
        <v>215</v>
      </c>
      <c r="E142" s="3" t="s">
        <v>216</v>
      </c>
      <c r="F142" s="4">
        <v>12636.83</v>
      </c>
      <c r="G142" s="4">
        <v>11859.67</v>
      </c>
    </row>
    <row r="143" spans="1:7" x14ac:dyDescent="0.25">
      <c r="A143" s="3">
        <f>_xlfn.XLOOKUP(B143,[1]Data!$E:$E,[1]Data!$E:$E)</f>
        <v>92978</v>
      </c>
      <c r="B143" s="3">
        <v>92978</v>
      </c>
      <c r="C143" s="3" t="s">
        <v>6</v>
      </c>
      <c r="D143" s="3" t="s">
        <v>192</v>
      </c>
      <c r="E143" s="3" t="s">
        <v>193</v>
      </c>
      <c r="F143" s="4">
        <v>439.01</v>
      </c>
      <c r="G143" s="4">
        <v>439.01</v>
      </c>
    </row>
    <row r="144" spans="1:7" x14ac:dyDescent="0.25">
      <c r="A144" s="3">
        <f>_xlfn.XLOOKUP(B144,[1]Data!$E:$E,[1]Data!$E:$E)</f>
        <v>92977</v>
      </c>
      <c r="B144" s="3">
        <v>92977</v>
      </c>
      <c r="C144" s="3" t="s">
        <v>9</v>
      </c>
      <c r="D144" s="3" t="s">
        <v>217</v>
      </c>
      <c r="E144" s="3" t="s">
        <v>193</v>
      </c>
      <c r="F144" s="4">
        <v>8780.25</v>
      </c>
      <c r="G144" s="4">
        <v>7362.25</v>
      </c>
    </row>
    <row r="145" spans="1:7" x14ac:dyDescent="0.25">
      <c r="A145" s="3">
        <f>_xlfn.XLOOKUP(B145,[1]Data!$E:$E,[1]Data!$E:$E)</f>
        <v>92960</v>
      </c>
      <c r="B145" s="3">
        <v>92960</v>
      </c>
      <c r="C145" s="3" t="s">
        <v>6</v>
      </c>
      <c r="D145" s="3" t="s">
        <v>178</v>
      </c>
      <c r="E145" s="3" t="s">
        <v>179</v>
      </c>
      <c r="F145" s="4">
        <v>450.54</v>
      </c>
      <c r="G145" s="4">
        <v>450.54</v>
      </c>
    </row>
    <row r="146" spans="1:7" x14ac:dyDescent="0.25">
      <c r="A146" s="3">
        <f>_xlfn.XLOOKUP(B146,[1]Data!$E:$E,[1]Data!$E:$E)</f>
        <v>92959</v>
      </c>
      <c r="B146" s="3">
        <v>92959</v>
      </c>
      <c r="C146" s="3" t="s">
        <v>9</v>
      </c>
      <c r="D146" s="3" t="s">
        <v>218</v>
      </c>
      <c r="E146" s="3" t="s">
        <v>179</v>
      </c>
      <c r="F146" s="4">
        <v>9010.7999999999993</v>
      </c>
      <c r="G146" s="4">
        <v>8560.26</v>
      </c>
    </row>
    <row r="147" spans="1:7" x14ac:dyDescent="0.25">
      <c r="A147" s="3">
        <f>_xlfn.XLOOKUP(B147,[1]Data!$E:$E,[1]Data!$E:$E)</f>
        <v>92905</v>
      </c>
      <c r="B147" s="3">
        <v>92905</v>
      </c>
      <c r="C147" s="3" t="s">
        <v>25</v>
      </c>
      <c r="D147" s="3" t="s">
        <v>219</v>
      </c>
      <c r="E147" s="3" t="s">
        <v>145</v>
      </c>
      <c r="F147" s="4">
        <v>31777.85</v>
      </c>
      <c r="G147" s="4">
        <v>31777.85</v>
      </c>
    </row>
    <row r="148" spans="1:7" x14ac:dyDescent="0.25">
      <c r="A148" s="3">
        <f>_xlfn.XLOOKUP(B148,[1]Data!$E:$E,[1]Data!$E:$E)</f>
        <v>92903</v>
      </c>
      <c r="B148" s="3">
        <v>92903</v>
      </c>
      <c r="C148" s="3" t="s">
        <v>40</v>
      </c>
      <c r="D148" s="3" t="s">
        <v>220</v>
      </c>
      <c r="E148" s="3" t="s">
        <v>221</v>
      </c>
      <c r="F148" s="4">
        <v>2100</v>
      </c>
      <c r="G148" s="4">
        <v>2100</v>
      </c>
    </row>
    <row r="149" spans="1:7" x14ac:dyDescent="0.25">
      <c r="A149" s="3">
        <f>_xlfn.XLOOKUP(B149,[1]Data!$E:$E,[1]Data!$E:$E)</f>
        <v>92902</v>
      </c>
      <c r="B149" s="3">
        <v>92902</v>
      </c>
      <c r="C149" s="3" t="s">
        <v>40</v>
      </c>
      <c r="D149" s="3" t="s">
        <v>222</v>
      </c>
      <c r="E149" s="3" t="s">
        <v>221</v>
      </c>
      <c r="F149" s="4">
        <v>2100</v>
      </c>
      <c r="G149" s="4">
        <v>2100</v>
      </c>
    </row>
    <row r="150" spans="1:7" x14ac:dyDescent="0.25">
      <c r="A150" s="3">
        <f>_xlfn.XLOOKUP(B150,[1]Data!$E:$E,[1]Data!$E:$E)</f>
        <v>92895</v>
      </c>
      <c r="B150" s="3">
        <v>92895</v>
      </c>
      <c r="C150" s="3" t="s">
        <v>9</v>
      </c>
      <c r="D150" s="3" t="s">
        <v>223</v>
      </c>
      <c r="E150" s="3" t="s">
        <v>224</v>
      </c>
      <c r="F150" s="4">
        <v>142175</v>
      </c>
      <c r="G150" s="4">
        <v>133431.23000000001</v>
      </c>
    </row>
    <row r="151" spans="1:7" x14ac:dyDescent="0.25">
      <c r="A151" s="3">
        <f>_xlfn.XLOOKUP(B151,[1]Data!$E:$E,[1]Data!$E:$E)</f>
        <v>92869</v>
      </c>
      <c r="B151" s="3">
        <v>92869</v>
      </c>
      <c r="C151" s="3" t="s">
        <v>25</v>
      </c>
      <c r="D151" s="3" t="s">
        <v>225</v>
      </c>
      <c r="E151" s="3" t="s">
        <v>226</v>
      </c>
      <c r="F151" s="4">
        <v>350000</v>
      </c>
      <c r="G151" s="4">
        <v>350000</v>
      </c>
    </row>
    <row r="152" spans="1:7" x14ac:dyDescent="0.25">
      <c r="A152" s="3">
        <f>_xlfn.XLOOKUP(B152,[1]Data!$E:$E,[1]Data!$E:$E)</f>
        <v>92798</v>
      </c>
      <c r="B152" s="3">
        <v>92798</v>
      </c>
      <c r="C152" s="3" t="s">
        <v>15</v>
      </c>
      <c r="D152" s="3" t="s">
        <v>227</v>
      </c>
      <c r="E152" s="3" t="s">
        <v>228</v>
      </c>
      <c r="F152" s="4">
        <v>393610.92</v>
      </c>
      <c r="G152" s="4">
        <v>393610.92</v>
      </c>
    </row>
    <row r="153" spans="1:7" x14ac:dyDescent="0.25">
      <c r="A153" s="3">
        <f>_xlfn.XLOOKUP(B153,[1]Data!$E:$E,[1]Data!$E:$E)</f>
        <v>92791</v>
      </c>
      <c r="B153" s="3">
        <v>92791</v>
      </c>
      <c r="C153" s="3" t="s">
        <v>9</v>
      </c>
      <c r="D153" s="3" t="s">
        <v>229</v>
      </c>
      <c r="E153" s="3" t="s">
        <v>19</v>
      </c>
      <c r="F153" s="4">
        <v>6280</v>
      </c>
      <c r="G153" s="4">
        <v>4920.38</v>
      </c>
    </row>
    <row r="154" spans="1:7" x14ac:dyDescent="0.25">
      <c r="A154" s="3">
        <f>_xlfn.XLOOKUP(B154,[1]Data!$E:$E,[1]Data!$E:$E)</f>
        <v>92789</v>
      </c>
      <c r="B154" s="3">
        <v>92789</v>
      </c>
      <c r="C154" s="3" t="s">
        <v>9</v>
      </c>
      <c r="D154" s="3" t="s">
        <v>230</v>
      </c>
      <c r="E154" s="3" t="s">
        <v>24</v>
      </c>
      <c r="F154" s="4">
        <v>4343.5</v>
      </c>
      <c r="G154" s="4">
        <v>4343.5</v>
      </c>
    </row>
    <row r="155" spans="1:7" x14ac:dyDescent="0.25">
      <c r="A155" s="3">
        <f>_xlfn.XLOOKUP(B155,[1]Data!$E:$E,[1]Data!$E:$E)</f>
        <v>92787</v>
      </c>
      <c r="B155" s="3">
        <v>92787</v>
      </c>
      <c r="C155" s="3" t="s">
        <v>9</v>
      </c>
      <c r="D155" s="3" t="s">
        <v>231</v>
      </c>
      <c r="E155" s="3" t="s">
        <v>24</v>
      </c>
      <c r="F155" s="4">
        <v>3629.5</v>
      </c>
      <c r="G155" s="4">
        <v>3629.5</v>
      </c>
    </row>
    <row r="156" spans="1:7" x14ac:dyDescent="0.25">
      <c r="A156" s="3">
        <f>_xlfn.XLOOKUP(B156,[1]Data!$E:$E,[1]Data!$E:$E)</f>
        <v>92721</v>
      </c>
      <c r="B156" s="3">
        <v>92721</v>
      </c>
      <c r="C156" s="3" t="s">
        <v>40</v>
      </c>
      <c r="D156" s="3" t="s">
        <v>232</v>
      </c>
      <c r="E156" s="3" t="s">
        <v>127</v>
      </c>
      <c r="F156" s="4">
        <v>8800</v>
      </c>
      <c r="G156" s="4">
        <v>8800</v>
      </c>
    </row>
    <row r="157" spans="1:7" x14ac:dyDescent="0.25">
      <c r="A157" s="3">
        <f>_xlfn.XLOOKUP(B157,[1]Data!$E:$E,[1]Data!$E:$E)</f>
        <v>92717</v>
      </c>
      <c r="B157" s="3">
        <v>92717</v>
      </c>
      <c r="C157" s="3" t="s">
        <v>9</v>
      </c>
      <c r="D157" s="3" t="s">
        <v>233</v>
      </c>
      <c r="E157" s="3" t="s">
        <v>193</v>
      </c>
      <c r="F157" s="4">
        <v>30899.200000000001</v>
      </c>
      <c r="G157" s="4">
        <v>27453.94</v>
      </c>
    </row>
    <row r="158" spans="1:7" x14ac:dyDescent="0.25">
      <c r="A158" s="3">
        <f>_xlfn.XLOOKUP(B158,[1]Data!$E:$E,[1]Data!$E:$E)</f>
        <v>92708</v>
      </c>
      <c r="B158" s="3">
        <v>92708</v>
      </c>
      <c r="C158" s="3" t="s">
        <v>9</v>
      </c>
      <c r="D158" s="3" t="s">
        <v>234</v>
      </c>
      <c r="E158" s="3" t="s">
        <v>235</v>
      </c>
      <c r="F158" s="4">
        <v>1183359.6000000001</v>
      </c>
      <c r="G158" s="4">
        <v>1104666.19</v>
      </c>
    </row>
    <row r="159" spans="1:7" x14ac:dyDescent="0.25">
      <c r="A159" s="3">
        <f>_xlfn.XLOOKUP(B159,[1]Data!$E:$E,[1]Data!$E:$E)</f>
        <v>92707</v>
      </c>
      <c r="B159" s="3">
        <v>92707</v>
      </c>
      <c r="C159" s="3" t="s">
        <v>9</v>
      </c>
      <c r="D159" s="3" t="s">
        <v>236</v>
      </c>
      <c r="E159" s="3" t="s">
        <v>235</v>
      </c>
      <c r="F159" s="4">
        <v>1585705.45</v>
      </c>
      <c r="G159" s="4">
        <v>1480256.04</v>
      </c>
    </row>
    <row r="160" spans="1:7" x14ac:dyDescent="0.25">
      <c r="A160" s="3" t="e">
        <f>_xlfn.XLOOKUP(B160,[1]Data!$E:$E,[1]Data!$E:$E)</f>
        <v>#N/A</v>
      </c>
      <c r="B160" s="3">
        <v>92706</v>
      </c>
      <c r="C160" s="3" t="s">
        <v>9</v>
      </c>
      <c r="D160" s="3" t="s">
        <v>237</v>
      </c>
      <c r="E160" s="3" t="s">
        <v>235</v>
      </c>
      <c r="F160" s="4">
        <v>1867841.56</v>
      </c>
      <c r="G160" s="4">
        <v>1743630.1</v>
      </c>
    </row>
    <row r="161" spans="1:7" x14ac:dyDescent="0.25">
      <c r="A161" s="3">
        <f>_xlfn.XLOOKUP(B161,[1]Data!$E:$E,[1]Data!$E:$E)</f>
        <v>92655</v>
      </c>
      <c r="B161" s="3">
        <v>92655</v>
      </c>
      <c r="C161" s="3" t="s">
        <v>25</v>
      </c>
      <c r="D161" s="3" t="s">
        <v>238</v>
      </c>
      <c r="E161" s="3" t="s">
        <v>239</v>
      </c>
      <c r="F161" s="4">
        <v>1062</v>
      </c>
      <c r="G161" s="4">
        <v>1062</v>
      </c>
    </row>
    <row r="162" spans="1:7" x14ac:dyDescent="0.25">
      <c r="A162" s="3">
        <f>_xlfn.XLOOKUP(B162,[1]Data!$E:$E,[1]Data!$E:$E)</f>
        <v>92646</v>
      </c>
      <c r="B162" s="3">
        <v>92646</v>
      </c>
      <c r="C162" s="3" t="s">
        <v>15</v>
      </c>
      <c r="D162" s="3" t="s">
        <v>16</v>
      </c>
      <c r="E162" s="3" t="s">
        <v>47</v>
      </c>
      <c r="F162" s="4">
        <v>1850000</v>
      </c>
      <c r="G162" s="4">
        <v>1850000</v>
      </c>
    </row>
    <row r="163" spans="1:7" x14ac:dyDescent="0.25">
      <c r="A163" s="3">
        <f>_xlfn.XLOOKUP(B163,[1]Data!$E:$E,[1]Data!$E:$E)</f>
        <v>92627</v>
      </c>
      <c r="B163" s="3">
        <v>92627</v>
      </c>
      <c r="C163" s="3" t="s">
        <v>15</v>
      </c>
      <c r="D163" s="3" t="s">
        <v>16</v>
      </c>
      <c r="E163" s="3" t="s">
        <v>94</v>
      </c>
      <c r="F163" s="4">
        <v>1000000</v>
      </c>
      <c r="G163" s="4">
        <v>1000000</v>
      </c>
    </row>
    <row r="164" spans="1:7" x14ac:dyDescent="0.25">
      <c r="A164" s="3">
        <f>_xlfn.XLOOKUP(B164,[1]Data!$E:$E,[1]Data!$E:$E)</f>
        <v>92620</v>
      </c>
      <c r="B164" s="3">
        <v>92620</v>
      </c>
      <c r="C164" s="3" t="s">
        <v>15</v>
      </c>
      <c r="D164" s="3" t="s">
        <v>16</v>
      </c>
      <c r="E164" s="3" t="s">
        <v>240</v>
      </c>
      <c r="F164" s="4">
        <v>9070763.3399999999</v>
      </c>
      <c r="G164" s="4">
        <v>9070763.3399999999</v>
      </c>
    </row>
    <row r="165" spans="1:7" x14ac:dyDescent="0.25">
      <c r="A165" s="3">
        <f>_xlfn.XLOOKUP(B165,[1]Data!$E:$E,[1]Data!$E:$E)</f>
        <v>92618</v>
      </c>
      <c r="B165" s="3">
        <v>92618</v>
      </c>
      <c r="C165" s="3" t="s">
        <v>43</v>
      </c>
      <c r="D165" s="3" t="s">
        <v>241</v>
      </c>
      <c r="E165" s="3" t="s">
        <v>242</v>
      </c>
      <c r="F165" s="4">
        <v>18027520.760000002</v>
      </c>
      <c r="G165" s="4">
        <v>18027520.760000002</v>
      </c>
    </row>
    <row r="166" spans="1:7" x14ac:dyDescent="0.25">
      <c r="A166" s="3">
        <f>_xlfn.XLOOKUP(B166,[1]Data!$E:$E,[1]Data!$E:$E)</f>
        <v>92616</v>
      </c>
      <c r="B166" s="3">
        <v>92616</v>
      </c>
      <c r="C166" s="3" t="s">
        <v>15</v>
      </c>
      <c r="D166" s="3" t="s">
        <v>16</v>
      </c>
      <c r="E166" s="3" t="s">
        <v>143</v>
      </c>
      <c r="F166" s="4">
        <v>20527831.699999999</v>
      </c>
      <c r="G166" s="4">
        <v>20527831.699999999</v>
      </c>
    </row>
    <row r="167" spans="1:7" x14ac:dyDescent="0.25">
      <c r="A167" s="3">
        <f>_xlfn.XLOOKUP(B167,[1]Data!$E:$E,[1]Data!$E:$E)</f>
        <v>92563</v>
      </c>
      <c r="B167" s="3">
        <v>92563</v>
      </c>
      <c r="C167" s="3" t="s">
        <v>25</v>
      </c>
      <c r="D167" s="3" t="s">
        <v>243</v>
      </c>
      <c r="E167" s="3" t="s">
        <v>145</v>
      </c>
      <c r="F167" s="4">
        <v>9515</v>
      </c>
      <c r="G167" s="4">
        <v>9515</v>
      </c>
    </row>
    <row r="168" spans="1:7" x14ac:dyDescent="0.25">
      <c r="A168" s="3">
        <f>_xlfn.XLOOKUP(B168,[1]Data!$E:$E,[1]Data!$E:$E)</f>
        <v>92477</v>
      </c>
      <c r="B168" s="3">
        <v>92477</v>
      </c>
      <c r="C168" s="3" t="s">
        <v>9</v>
      </c>
      <c r="D168" s="3" t="s">
        <v>244</v>
      </c>
      <c r="E168" s="3" t="s">
        <v>107</v>
      </c>
      <c r="F168" s="4">
        <v>4300</v>
      </c>
      <c r="G168" s="4">
        <v>4300</v>
      </c>
    </row>
    <row r="169" spans="1:7" x14ac:dyDescent="0.25">
      <c r="A169" s="3">
        <f>_xlfn.XLOOKUP(B169,[1]Data!$E:$E,[1]Data!$E:$E)</f>
        <v>92409</v>
      </c>
      <c r="B169" s="3">
        <v>92409</v>
      </c>
      <c r="C169" s="3" t="s">
        <v>25</v>
      </c>
      <c r="D169" s="3" t="s">
        <v>245</v>
      </c>
      <c r="E169" s="3" t="s">
        <v>246</v>
      </c>
      <c r="F169" s="4">
        <v>10620.67</v>
      </c>
      <c r="G169" s="4">
        <v>10619</v>
      </c>
    </row>
    <row r="170" spans="1:7" x14ac:dyDescent="0.25">
      <c r="A170" s="3">
        <f>_xlfn.XLOOKUP(B170,[1]Data!$E:$E,[1]Data!$E:$E)</f>
        <v>92407</v>
      </c>
      <c r="B170" s="3">
        <v>92407</v>
      </c>
      <c r="C170" s="3" t="s">
        <v>25</v>
      </c>
      <c r="D170" s="3" t="s">
        <v>247</v>
      </c>
      <c r="E170" s="3" t="s">
        <v>131</v>
      </c>
      <c r="F170" s="4">
        <v>16500</v>
      </c>
      <c r="G170" s="4">
        <v>16500</v>
      </c>
    </row>
    <row r="171" spans="1:7" x14ac:dyDescent="0.25">
      <c r="A171" s="3">
        <f>_xlfn.XLOOKUP(B171,[1]Data!$E:$E,[1]Data!$E:$E)</f>
        <v>92402</v>
      </c>
      <c r="B171" s="3">
        <v>92402</v>
      </c>
      <c r="C171" s="3" t="s">
        <v>25</v>
      </c>
      <c r="D171" s="3" t="s">
        <v>248</v>
      </c>
      <c r="E171" s="3" t="s">
        <v>249</v>
      </c>
      <c r="F171" s="4">
        <v>4972</v>
      </c>
      <c r="G171" s="4">
        <v>4972</v>
      </c>
    </row>
    <row r="172" spans="1:7" x14ac:dyDescent="0.25">
      <c r="A172" s="3">
        <f>_xlfn.XLOOKUP(B172,[1]Data!$E:$E,[1]Data!$E:$E)</f>
        <v>92400</v>
      </c>
      <c r="B172" s="3">
        <v>92400</v>
      </c>
      <c r="C172" s="3" t="s">
        <v>25</v>
      </c>
      <c r="D172" s="3" t="s">
        <v>250</v>
      </c>
      <c r="E172" s="3" t="s">
        <v>251</v>
      </c>
      <c r="F172" s="4">
        <v>7099.2</v>
      </c>
      <c r="G172" s="4">
        <v>7099.2</v>
      </c>
    </row>
    <row r="173" spans="1:7" x14ac:dyDescent="0.25">
      <c r="A173" s="3">
        <f>_xlfn.XLOOKUP(B173,[1]Data!$E:$E,[1]Data!$E:$E)</f>
        <v>92059</v>
      </c>
      <c r="B173" s="3">
        <v>92059</v>
      </c>
      <c r="C173" s="3" t="s">
        <v>25</v>
      </c>
      <c r="D173" s="3" t="s">
        <v>252</v>
      </c>
      <c r="E173" s="3" t="s">
        <v>125</v>
      </c>
      <c r="F173" s="4">
        <v>32280</v>
      </c>
      <c r="G173" s="4">
        <v>32280</v>
      </c>
    </row>
    <row r="174" spans="1:7" x14ac:dyDescent="0.25">
      <c r="A174" s="3">
        <f>_xlfn.XLOOKUP(B174,[1]Data!$E:$E,[1]Data!$E:$E)</f>
        <v>92031</v>
      </c>
      <c r="B174" s="3">
        <v>92031</v>
      </c>
      <c r="C174" s="3" t="s">
        <v>25</v>
      </c>
      <c r="D174" s="3" t="s">
        <v>253</v>
      </c>
      <c r="E174" s="3" t="s">
        <v>254</v>
      </c>
      <c r="F174" s="4">
        <v>6635</v>
      </c>
      <c r="G174" s="4">
        <v>6635</v>
      </c>
    </row>
    <row r="175" spans="1:7" x14ac:dyDescent="0.25">
      <c r="A175" s="3">
        <f>_xlfn.XLOOKUP(B175,[1]Data!$E:$E,[1]Data!$E:$E)</f>
        <v>92019</v>
      </c>
      <c r="B175" s="3">
        <v>92019</v>
      </c>
      <c r="C175" s="3" t="s">
        <v>25</v>
      </c>
      <c r="D175" s="3" t="s">
        <v>255</v>
      </c>
      <c r="E175" s="3" t="s">
        <v>256</v>
      </c>
      <c r="F175" s="4">
        <v>1367.37</v>
      </c>
      <c r="G175" s="4">
        <v>1367.37</v>
      </c>
    </row>
    <row r="176" spans="1:7" x14ac:dyDescent="0.25">
      <c r="A176" s="3">
        <f>_xlfn.XLOOKUP(B176,[1]Data!$E:$E,[1]Data!$E:$E)</f>
        <v>92011</v>
      </c>
      <c r="B176" s="3">
        <v>92011</v>
      </c>
      <c r="C176" s="3" t="s">
        <v>25</v>
      </c>
      <c r="D176" s="3" t="s">
        <v>257</v>
      </c>
      <c r="E176" s="3" t="s">
        <v>182</v>
      </c>
      <c r="F176" s="4">
        <v>795</v>
      </c>
      <c r="G176" s="4">
        <v>795</v>
      </c>
    </row>
    <row r="177" spans="1:7" x14ac:dyDescent="0.25">
      <c r="A177" s="3">
        <f>_xlfn.XLOOKUP(B177,[1]Data!$E:$E,[1]Data!$E:$E)</f>
        <v>92009</v>
      </c>
      <c r="B177" s="3">
        <v>92009</v>
      </c>
      <c r="C177" s="3" t="s">
        <v>25</v>
      </c>
      <c r="D177" s="3" t="s">
        <v>258</v>
      </c>
      <c r="E177" s="3" t="s">
        <v>27</v>
      </c>
      <c r="F177" s="4">
        <v>183.06</v>
      </c>
      <c r="G177" s="4">
        <v>183.06</v>
      </c>
    </row>
    <row r="178" spans="1:7" x14ac:dyDescent="0.25">
      <c r="A178" s="3">
        <f>_xlfn.XLOOKUP(B178,[1]Data!$E:$E,[1]Data!$E:$E)</f>
        <v>91945</v>
      </c>
      <c r="B178" s="3">
        <v>91945</v>
      </c>
      <c r="C178" s="3" t="s">
        <v>15</v>
      </c>
      <c r="D178" s="3" t="s">
        <v>259</v>
      </c>
      <c r="E178" s="3" t="s">
        <v>260</v>
      </c>
      <c r="F178" s="4">
        <v>327.64</v>
      </c>
      <c r="G178" s="4">
        <v>327.64</v>
      </c>
    </row>
    <row r="179" spans="1:7" x14ac:dyDescent="0.25">
      <c r="A179" s="3">
        <f>_xlfn.XLOOKUP(B179,[1]Data!$E:$E,[1]Data!$E:$E)</f>
        <v>91944</v>
      </c>
      <c r="B179" s="3">
        <v>91944</v>
      </c>
      <c r="C179" s="3" t="s">
        <v>15</v>
      </c>
      <c r="D179" s="3" t="s">
        <v>261</v>
      </c>
      <c r="E179" s="3" t="s">
        <v>260</v>
      </c>
      <c r="F179" s="4">
        <v>6412.5</v>
      </c>
      <c r="G179" s="4">
        <v>6412.5</v>
      </c>
    </row>
    <row r="180" spans="1:7" x14ac:dyDescent="0.25">
      <c r="A180" s="3">
        <f>_xlfn.XLOOKUP(B180,[1]Data!$E:$E,[1]Data!$E:$E)</f>
        <v>91943</v>
      </c>
      <c r="B180" s="3">
        <v>91943</v>
      </c>
      <c r="C180" s="3" t="s">
        <v>15</v>
      </c>
      <c r="D180" s="3" t="s">
        <v>262</v>
      </c>
      <c r="E180" s="3" t="s">
        <v>260</v>
      </c>
      <c r="F180" s="4">
        <v>6412.5</v>
      </c>
      <c r="G180" s="4">
        <v>6412.5</v>
      </c>
    </row>
    <row r="181" spans="1:7" x14ac:dyDescent="0.25">
      <c r="A181" s="3">
        <f>_xlfn.XLOOKUP(B181,[1]Data!$E:$E,[1]Data!$E:$E)</f>
        <v>91942</v>
      </c>
      <c r="B181" s="3">
        <v>91942</v>
      </c>
      <c r="C181" s="3" t="s">
        <v>15</v>
      </c>
      <c r="D181" s="3" t="s">
        <v>263</v>
      </c>
      <c r="E181" s="3" t="s">
        <v>260</v>
      </c>
      <c r="F181" s="4">
        <v>6412.5</v>
      </c>
      <c r="G181" s="4">
        <v>6412.5</v>
      </c>
    </row>
    <row r="182" spans="1:7" x14ac:dyDescent="0.25">
      <c r="A182" s="3">
        <f>_xlfn.XLOOKUP(B182,[1]Data!$E:$E,[1]Data!$E:$E)</f>
        <v>91941</v>
      </c>
      <c r="B182" s="3">
        <v>91941</v>
      </c>
      <c r="C182" s="3" t="s">
        <v>15</v>
      </c>
      <c r="D182" s="3" t="s">
        <v>264</v>
      </c>
      <c r="E182" s="3" t="s">
        <v>260</v>
      </c>
      <c r="F182" s="4">
        <v>43605</v>
      </c>
      <c r="G182" s="4">
        <v>43605</v>
      </c>
    </row>
    <row r="183" spans="1:7" x14ac:dyDescent="0.25">
      <c r="A183" s="3">
        <f>_xlfn.XLOOKUP(B183,[1]Data!$E:$E,[1]Data!$E:$E)</f>
        <v>91939</v>
      </c>
      <c r="B183" s="3">
        <v>91939</v>
      </c>
      <c r="C183" s="3" t="s">
        <v>15</v>
      </c>
      <c r="D183" s="3" t="s">
        <v>135</v>
      </c>
      <c r="E183" s="3" t="s">
        <v>260</v>
      </c>
      <c r="F183" s="4">
        <v>43605</v>
      </c>
      <c r="G183" s="4">
        <v>43605</v>
      </c>
    </row>
    <row r="184" spans="1:7" x14ac:dyDescent="0.25">
      <c r="A184" s="3">
        <f>_xlfn.XLOOKUP(B184,[1]Data!$E:$E,[1]Data!$E:$E)</f>
        <v>91938</v>
      </c>
      <c r="B184" s="3">
        <v>91938</v>
      </c>
      <c r="C184" s="3" t="s">
        <v>15</v>
      </c>
      <c r="D184" s="3" t="s">
        <v>16</v>
      </c>
      <c r="E184" s="3" t="s">
        <v>260</v>
      </c>
      <c r="F184" s="4">
        <v>58140</v>
      </c>
      <c r="G184" s="4">
        <v>58140</v>
      </c>
    </row>
    <row r="185" spans="1:7" x14ac:dyDescent="0.25">
      <c r="A185" s="3">
        <f>_xlfn.XLOOKUP(B185,[1]Data!$E:$E,[1]Data!$E:$E)</f>
        <v>91931</v>
      </c>
      <c r="B185" s="3">
        <v>91931</v>
      </c>
      <c r="C185" s="3" t="s">
        <v>9</v>
      </c>
      <c r="D185" s="3" t="s">
        <v>265</v>
      </c>
      <c r="E185" s="3" t="s">
        <v>208</v>
      </c>
      <c r="F185" s="4">
        <v>2300</v>
      </c>
      <c r="G185" s="4">
        <v>2300</v>
      </c>
    </row>
    <row r="186" spans="1:7" x14ac:dyDescent="0.25">
      <c r="A186" s="3">
        <f>_xlfn.XLOOKUP(B186,[1]Data!$E:$E,[1]Data!$E:$E)</f>
        <v>91908</v>
      </c>
      <c r="B186" s="3">
        <v>91908</v>
      </c>
      <c r="C186" s="3" t="s">
        <v>25</v>
      </c>
      <c r="D186" s="3" t="s">
        <v>266</v>
      </c>
      <c r="E186" s="3" t="s">
        <v>159</v>
      </c>
      <c r="F186" s="4">
        <v>40745.599999999999</v>
      </c>
      <c r="G186" s="4">
        <v>40745.599999999999</v>
      </c>
    </row>
    <row r="187" spans="1:7" x14ac:dyDescent="0.25">
      <c r="A187" s="3">
        <f>_xlfn.XLOOKUP(B187,[1]Data!$E:$E,[1]Data!$E:$E)</f>
        <v>91905</v>
      </c>
      <c r="B187" s="3">
        <v>91905</v>
      </c>
      <c r="C187" s="3" t="s">
        <v>25</v>
      </c>
      <c r="D187" s="3" t="s">
        <v>267</v>
      </c>
      <c r="E187" s="3" t="s">
        <v>159</v>
      </c>
      <c r="F187" s="4">
        <v>42224</v>
      </c>
      <c r="G187" s="4">
        <v>42224</v>
      </c>
    </row>
    <row r="188" spans="1:7" x14ac:dyDescent="0.25">
      <c r="A188" s="3">
        <f>_xlfn.XLOOKUP(B188,[1]Data!$E:$E,[1]Data!$E:$E)</f>
        <v>91903</v>
      </c>
      <c r="B188" s="3">
        <v>91903</v>
      </c>
      <c r="C188" s="3" t="s">
        <v>25</v>
      </c>
      <c r="D188" s="3" t="s">
        <v>268</v>
      </c>
      <c r="E188" s="3" t="s">
        <v>159</v>
      </c>
      <c r="F188" s="4">
        <v>15575</v>
      </c>
      <c r="G188" s="4">
        <v>15575</v>
      </c>
    </row>
    <row r="189" spans="1:7" x14ac:dyDescent="0.25">
      <c r="A189" s="3">
        <f>_xlfn.XLOOKUP(B189,[1]Data!$E:$E,[1]Data!$E:$E)</f>
        <v>91535</v>
      </c>
      <c r="B189" s="3">
        <v>91535</v>
      </c>
      <c r="C189" s="3" t="s">
        <v>9</v>
      </c>
      <c r="D189" s="3" t="s">
        <v>269</v>
      </c>
      <c r="E189" s="3" t="s">
        <v>235</v>
      </c>
      <c r="F189" s="4">
        <v>2176885.6800000002</v>
      </c>
      <c r="G189" s="4">
        <v>2032122.79</v>
      </c>
    </row>
    <row r="190" spans="1:7" x14ac:dyDescent="0.25">
      <c r="A190" s="3">
        <f>_xlfn.XLOOKUP(B190,[1]Data!$E:$E,[1]Data!$E:$E)</f>
        <v>91400</v>
      </c>
      <c r="B190" s="3">
        <v>91400</v>
      </c>
      <c r="C190" s="3" t="s">
        <v>6</v>
      </c>
      <c r="D190" s="3" t="s">
        <v>171</v>
      </c>
      <c r="E190" s="3" t="s">
        <v>172</v>
      </c>
      <c r="F190" s="4">
        <v>71744.899999999994</v>
      </c>
      <c r="G190" s="4">
        <v>71744.899999999994</v>
      </c>
    </row>
    <row r="191" spans="1:7" x14ac:dyDescent="0.25">
      <c r="A191" s="3">
        <f>_xlfn.XLOOKUP(B191,[1]Data!$E:$E,[1]Data!$E:$E)</f>
        <v>91399</v>
      </c>
      <c r="B191" s="3">
        <v>91399</v>
      </c>
      <c r="C191" s="3" t="s">
        <v>9</v>
      </c>
      <c r="D191" s="3" t="s">
        <v>270</v>
      </c>
      <c r="E191" s="3" t="s">
        <v>172</v>
      </c>
      <c r="F191" s="4">
        <v>1434897.95</v>
      </c>
      <c r="G191" s="4">
        <v>1267732.3400000001</v>
      </c>
    </row>
    <row r="192" spans="1:7" x14ac:dyDescent="0.25">
      <c r="A192" s="3">
        <f>_xlfn.XLOOKUP(B192,[1]Data!$E:$E,[1]Data!$E:$E)</f>
        <v>91371</v>
      </c>
      <c r="B192" s="3">
        <v>91371</v>
      </c>
      <c r="C192" s="3" t="s">
        <v>9</v>
      </c>
      <c r="D192" s="3" t="s">
        <v>271</v>
      </c>
      <c r="E192" s="3" t="s">
        <v>8</v>
      </c>
      <c r="F192" s="4">
        <v>2666189.0299999998</v>
      </c>
      <c r="G192" s="4">
        <v>2430231.2999999998</v>
      </c>
    </row>
    <row r="193" spans="1:7" x14ac:dyDescent="0.25">
      <c r="A193" s="3" t="e">
        <f>_xlfn.XLOOKUP(B193,[1]Data!$E:$E,[1]Data!$E:$E)</f>
        <v>#N/A</v>
      </c>
      <c r="B193" s="3">
        <v>91370</v>
      </c>
      <c r="C193" s="3" t="s">
        <v>9</v>
      </c>
      <c r="D193" s="3" t="s">
        <v>272</v>
      </c>
      <c r="E193" s="3" t="s">
        <v>8</v>
      </c>
      <c r="F193" s="4">
        <v>1095124.81</v>
      </c>
      <c r="G193" s="4">
        <v>1010482.02</v>
      </c>
    </row>
    <row r="194" spans="1:7" x14ac:dyDescent="0.25">
      <c r="A194" s="3">
        <f>_xlfn.XLOOKUP(B194,[1]Data!$E:$E,[1]Data!$E:$E)</f>
        <v>91327</v>
      </c>
      <c r="B194" s="3">
        <v>91327</v>
      </c>
      <c r="C194" s="3" t="s">
        <v>6</v>
      </c>
      <c r="D194" s="3" t="s">
        <v>12</v>
      </c>
      <c r="E194" s="3" t="s">
        <v>13</v>
      </c>
      <c r="F194" s="4">
        <v>1828.82</v>
      </c>
      <c r="G194" s="4">
        <v>1828.82</v>
      </c>
    </row>
    <row r="195" spans="1:7" x14ac:dyDescent="0.25">
      <c r="A195" s="3">
        <f>_xlfn.XLOOKUP(B195,[1]Data!$E:$E,[1]Data!$E:$E)</f>
        <v>91326</v>
      </c>
      <c r="B195" s="3">
        <v>91326</v>
      </c>
      <c r="C195" s="3" t="s">
        <v>9</v>
      </c>
      <c r="D195" s="3" t="s">
        <v>273</v>
      </c>
      <c r="E195" s="3" t="s">
        <v>13</v>
      </c>
      <c r="F195" s="4">
        <v>36576.339999999997</v>
      </c>
      <c r="G195" s="4">
        <v>32918.71</v>
      </c>
    </row>
    <row r="196" spans="1:7" x14ac:dyDescent="0.25">
      <c r="A196" s="3">
        <f>_xlfn.XLOOKUP(B196,[1]Data!$E:$E,[1]Data!$E:$E)</f>
        <v>91298</v>
      </c>
      <c r="B196" s="3">
        <v>91298</v>
      </c>
      <c r="C196" s="3" t="s">
        <v>6</v>
      </c>
      <c r="D196" s="3" t="s">
        <v>153</v>
      </c>
      <c r="E196" s="3" t="s">
        <v>8</v>
      </c>
      <c r="F196" s="4">
        <v>12988.18</v>
      </c>
      <c r="G196" s="4">
        <v>12988.18</v>
      </c>
    </row>
    <row r="197" spans="1:7" x14ac:dyDescent="0.25">
      <c r="A197" s="3">
        <f>_xlfn.XLOOKUP(B197,[1]Data!$E:$E,[1]Data!$E:$E)</f>
        <v>91297</v>
      </c>
      <c r="B197" s="3">
        <v>91297</v>
      </c>
      <c r="C197" s="3" t="s">
        <v>9</v>
      </c>
      <c r="D197" s="3" t="s">
        <v>274</v>
      </c>
      <c r="E197" s="3" t="s">
        <v>8</v>
      </c>
      <c r="F197" s="4">
        <v>259763.55</v>
      </c>
      <c r="G197" s="4">
        <v>233787.2</v>
      </c>
    </row>
    <row r="198" spans="1:7" x14ac:dyDescent="0.25">
      <c r="A198" s="3">
        <f>_xlfn.XLOOKUP(B198,[1]Data!$E:$E,[1]Data!$E:$E)</f>
        <v>91289</v>
      </c>
      <c r="B198" s="3">
        <v>91289</v>
      </c>
      <c r="C198" s="3" t="s">
        <v>9</v>
      </c>
      <c r="D198" s="3" t="s">
        <v>275</v>
      </c>
      <c r="E198" s="3" t="s">
        <v>8</v>
      </c>
      <c r="F198" s="4">
        <v>1155672.06</v>
      </c>
      <c r="G198" s="4">
        <v>1053395.0900000001</v>
      </c>
    </row>
    <row r="199" spans="1:7" x14ac:dyDescent="0.25">
      <c r="A199" s="3">
        <f>_xlfn.XLOOKUP(B199,[1]Data!$E:$E,[1]Data!$E:$E)</f>
        <v>91287</v>
      </c>
      <c r="B199" s="3">
        <v>91287</v>
      </c>
      <c r="C199" s="3" t="s">
        <v>6</v>
      </c>
      <c r="D199" s="3" t="s">
        <v>153</v>
      </c>
      <c r="E199" s="3" t="s">
        <v>8</v>
      </c>
      <c r="F199" s="4">
        <v>3868.43</v>
      </c>
      <c r="G199" s="4">
        <v>3868.43</v>
      </c>
    </row>
    <row r="200" spans="1:7" x14ac:dyDescent="0.25">
      <c r="A200" s="3">
        <f>_xlfn.XLOOKUP(B200,[1]Data!$E:$E,[1]Data!$E:$E)</f>
        <v>91286</v>
      </c>
      <c r="B200" s="3">
        <v>91286</v>
      </c>
      <c r="C200" s="3" t="s">
        <v>9</v>
      </c>
      <c r="D200" s="3" t="s">
        <v>276</v>
      </c>
      <c r="E200" s="3" t="s">
        <v>8</v>
      </c>
      <c r="F200" s="4">
        <v>77368.62</v>
      </c>
      <c r="G200" s="4">
        <v>69631.759999999995</v>
      </c>
    </row>
    <row r="201" spans="1:7" x14ac:dyDescent="0.25">
      <c r="A201" s="3" t="e">
        <f>_xlfn.XLOOKUP(B201,[1]Data!$E:$E,[1]Data!$E:$E)</f>
        <v>#N/A</v>
      </c>
      <c r="B201" s="3">
        <v>91285</v>
      </c>
      <c r="C201" s="3" t="s">
        <v>9</v>
      </c>
      <c r="D201" s="3" t="s">
        <v>277</v>
      </c>
      <c r="E201" s="3" t="s">
        <v>8</v>
      </c>
      <c r="F201" s="4">
        <v>167811.73</v>
      </c>
      <c r="G201" s="4">
        <v>152960.4</v>
      </c>
    </row>
    <row r="202" spans="1:7" x14ac:dyDescent="0.25">
      <c r="A202" s="3">
        <f>_xlfn.XLOOKUP(B202,[1]Data!$E:$E,[1]Data!$E:$E)</f>
        <v>91283</v>
      </c>
      <c r="B202" s="3">
        <v>91283</v>
      </c>
      <c r="C202" s="3" t="s">
        <v>6</v>
      </c>
      <c r="D202" s="3" t="s">
        <v>7</v>
      </c>
      <c r="E202" s="3" t="s">
        <v>8</v>
      </c>
      <c r="F202" s="4">
        <v>561.72</v>
      </c>
      <c r="G202" s="4">
        <v>561.72</v>
      </c>
    </row>
    <row r="203" spans="1:7" x14ac:dyDescent="0.25">
      <c r="A203" s="3" t="e">
        <f>_xlfn.XLOOKUP(B203,[1]Data!$E:$E,[1]Data!$E:$E)</f>
        <v>#N/A</v>
      </c>
      <c r="B203" s="3">
        <v>91282</v>
      </c>
      <c r="C203" s="3" t="s">
        <v>9</v>
      </c>
      <c r="D203" s="3" t="s">
        <v>278</v>
      </c>
      <c r="E203" s="3" t="s">
        <v>8</v>
      </c>
      <c r="F203" s="4">
        <v>11234.47</v>
      </c>
      <c r="G203" s="4">
        <v>10111.029999999999</v>
      </c>
    </row>
    <row r="204" spans="1:7" x14ac:dyDescent="0.25">
      <c r="A204" s="3" t="e">
        <f>_xlfn.XLOOKUP(B204,[1]Data!$E:$E,[1]Data!$E:$E)</f>
        <v>#N/A</v>
      </c>
      <c r="B204" s="3">
        <v>91281</v>
      </c>
      <c r="C204" s="3" t="s">
        <v>9</v>
      </c>
      <c r="D204" s="3" t="s">
        <v>279</v>
      </c>
      <c r="E204" s="3" t="s">
        <v>8</v>
      </c>
      <c r="F204" s="4">
        <v>167811.73</v>
      </c>
      <c r="G204" s="4">
        <v>152960.4</v>
      </c>
    </row>
    <row r="205" spans="1:7" x14ac:dyDescent="0.25">
      <c r="A205" s="3">
        <f>_xlfn.XLOOKUP(B205,[1]Data!$E:$E,[1]Data!$E:$E)</f>
        <v>91280</v>
      </c>
      <c r="B205" s="3">
        <v>91280</v>
      </c>
      <c r="C205" s="3" t="s">
        <v>6</v>
      </c>
      <c r="D205" s="3" t="s">
        <v>7</v>
      </c>
      <c r="E205" s="3" t="s">
        <v>8</v>
      </c>
      <c r="F205" s="4">
        <v>561.72</v>
      </c>
      <c r="G205" s="4">
        <v>561.72</v>
      </c>
    </row>
    <row r="206" spans="1:7" x14ac:dyDescent="0.25">
      <c r="A206" s="3" t="e">
        <f>_xlfn.XLOOKUP(B206,[1]Data!$E:$E,[1]Data!$E:$E)</f>
        <v>#N/A</v>
      </c>
      <c r="B206" s="3">
        <v>91279</v>
      </c>
      <c r="C206" s="3" t="s">
        <v>9</v>
      </c>
      <c r="D206" s="3" t="s">
        <v>280</v>
      </c>
      <c r="E206" s="3" t="s">
        <v>8</v>
      </c>
      <c r="F206" s="4">
        <v>11234.47</v>
      </c>
      <c r="G206" s="4">
        <v>10111.029999999999</v>
      </c>
    </row>
    <row r="207" spans="1:7" x14ac:dyDescent="0.25">
      <c r="A207" s="3">
        <f>_xlfn.XLOOKUP(B207,[1]Data!$E:$E,[1]Data!$E:$E)</f>
        <v>91268</v>
      </c>
      <c r="B207" s="3">
        <v>91268</v>
      </c>
      <c r="C207" s="3" t="s">
        <v>9</v>
      </c>
      <c r="D207" s="3" t="s">
        <v>281</v>
      </c>
      <c r="E207" s="3" t="s">
        <v>210</v>
      </c>
      <c r="F207" s="4">
        <v>9787.5</v>
      </c>
      <c r="G207" s="4">
        <v>9787.5</v>
      </c>
    </row>
    <row r="208" spans="1:7" x14ac:dyDescent="0.25">
      <c r="A208" s="3">
        <f>_xlfn.XLOOKUP(B208,[1]Data!$E:$E,[1]Data!$E:$E)</f>
        <v>91165</v>
      </c>
      <c r="B208" s="3">
        <v>91165</v>
      </c>
      <c r="C208" s="3" t="s">
        <v>282</v>
      </c>
      <c r="D208" s="3" t="s">
        <v>283</v>
      </c>
      <c r="E208" s="3" t="s">
        <v>284</v>
      </c>
      <c r="F208" s="4">
        <v>7000</v>
      </c>
      <c r="G208" s="4">
        <v>7000</v>
      </c>
    </row>
    <row r="209" spans="1:7" x14ac:dyDescent="0.25">
      <c r="A209" s="3">
        <f>_xlfn.XLOOKUP(B209,[1]Data!$E:$E,[1]Data!$E:$E)</f>
        <v>91079</v>
      </c>
      <c r="B209" s="3">
        <v>91079</v>
      </c>
      <c r="C209" s="3" t="s">
        <v>282</v>
      </c>
      <c r="D209" s="3" t="s">
        <v>285</v>
      </c>
      <c r="E209" s="3" t="s">
        <v>286</v>
      </c>
      <c r="F209" s="4">
        <v>11921</v>
      </c>
      <c r="G209" s="4">
        <v>11921</v>
      </c>
    </row>
    <row r="210" spans="1:7" x14ac:dyDescent="0.25">
      <c r="A210" s="3">
        <f>_xlfn.XLOOKUP(B210,[1]Data!$E:$E,[1]Data!$E:$E)</f>
        <v>90381</v>
      </c>
      <c r="B210" s="3">
        <v>90381</v>
      </c>
      <c r="C210" s="3" t="s">
        <v>282</v>
      </c>
      <c r="D210" s="3" t="s">
        <v>287</v>
      </c>
      <c r="E210" s="3" t="s">
        <v>186</v>
      </c>
      <c r="F210" s="4">
        <v>5920.95</v>
      </c>
      <c r="G210" s="4">
        <v>5920.95</v>
      </c>
    </row>
    <row r="211" spans="1:7" x14ac:dyDescent="0.25">
      <c r="A211" s="3">
        <f>_xlfn.XLOOKUP(B211,[1]Data!$E:$E,[1]Data!$E:$E)</f>
        <v>90348</v>
      </c>
      <c r="B211" s="3">
        <v>90348</v>
      </c>
      <c r="C211" s="3" t="s">
        <v>282</v>
      </c>
      <c r="D211" s="3" t="s">
        <v>288</v>
      </c>
      <c r="E211" s="3" t="s">
        <v>289</v>
      </c>
      <c r="F211" s="4">
        <v>75000</v>
      </c>
      <c r="G211" s="4">
        <v>75000</v>
      </c>
    </row>
    <row r="212" spans="1:7" x14ac:dyDescent="0.25">
      <c r="A212" s="3">
        <f>_xlfn.XLOOKUP(B212,[1]Data!$E:$E,[1]Data!$E:$E)</f>
        <v>90338</v>
      </c>
      <c r="B212" s="3">
        <v>90338</v>
      </c>
      <c r="C212" s="3" t="s">
        <v>282</v>
      </c>
      <c r="D212" s="3" t="s">
        <v>290</v>
      </c>
      <c r="E212" s="3" t="s">
        <v>214</v>
      </c>
      <c r="F212" s="4">
        <v>73200</v>
      </c>
      <c r="G212" s="4">
        <v>73200</v>
      </c>
    </row>
    <row r="213" spans="1:7" x14ac:dyDescent="0.25">
      <c r="A213" s="3">
        <f>_xlfn.XLOOKUP(B213,[1]Data!$E:$E,[1]Data!$E:$E)</f>
        <v>90337</v>
      </c>
      <c r="B213" s="3">
        <v>90337</v>
      </c>
      <c r="C213" s="3" t="s">
        <v>282</v>
      </c>
      <c r="D213" s="3" t="s">
        <v>291</v>
      </c>
      <c r="E213" s="3" t="s">
        <v>177</v>
      </c>
      <c r="F213" s="4">
        <v>90000</v>
      </c>
      <c r="G213" s="4">
        <v>90000</v>
      </c>
    </row>
    <row r="214" spans="1:7" x14ac:dyDescent="0.25">
      <c r="A214" s="3">
        <f>_xlfn.XLOOKUP(B214,[1]Data!$E:$E,[1]Data!$E:$E)</f>
        <v>90335</v>
      </c>
      <c r="B214" s="3">
        <v>90335</v>
      </c>
      <c r="C214" s="3" t="s">
        <v>282</v>
      </c>
      <c r="D214" s="3" t="s">
        <v>292</v>
      </c>
      <c r="E214" s="3" t="s">
        <v>216</v>
      </c>
      <c r="F214" s="4">
        <v>113731.45</v>
      </c>
      <c r="G214" s="4">
        <v>106736.97</v>
      </c>
    </row>
    <row r="215" spans="1:7" x14ac:dyDescent="0.25">
      <c r="A215" s="3">
        <f>_xlfn.XLOOKUP(B215,[1]Data!$E:$E,[1]Data!$E:$E)</f>
        <v>90333</v>
      </c>
      <c r="B215" s="3">
        <v>90333</v>
      </c>
      <c r="C215" s="3" t="s">
        <v>282</v>
      </c>
      <c r="D215" s="3" t="s">
        <v>293</v>
      </c>
      <c r="E215" s="3" t="s">
        <v>212</v>
      </c>
      <c r="F215" s="4">
        <v>13500</v>
      </c>
      <c r="G215" s="4">
        <v>13500</v>
      </c>
    </row>
    <row r="216" spans="1:7" x14ac:dyDescent="0.25">
      <c r="A216" s="3">
        <f>_xlfn.XLOOKUP(B216,[1]Data!$E:$E,[1]Data!$E:$E)</f>
        <v>90332</v>
      </c>
      <c r="B216" s="3">
        <v>90332</v>
      </c>
      <c r="C216" s="3" t="s">
        <v>282</v>
      </c>
      <c r="D216" s="3" t="s">
        <v>294</v>
      </c>
      <c r="E216" s="3" t="s">
        <v>203</v>
      </c>
      <c r="F216" s="4">
        <v>43500</v>
      </c>
      <c r="G216" s="4">
        <v>43500</v>
      </c>
    </row>
    <row r="217" spans="1:7" x14ac:dyDescent="0.25">
      <c r="A217" s="3">
        <f>_xlfn.XLOOKUP(B217,[1]Data!$E:$E,[1]Data!$E:$E)</f>
        <v>90331</v>
      </c>
      <c r="B217" s="3">
        <v>90331</v>
      </c>
      <c r="C217" s="3" t="s">
        <v>282</v>
      </c>
      <c r="D217" s="3" t="s">
        <v>295</v>
      </c>
      <c r="E217" s="3" t="s">
        <v>168</v>
      </c>
      <c r="F217" s="4">
        <v>550000</v>
      </c>
      <c r="G217" s="4">
        <v>550000</v>
      </c>
    </row>
    <row r="218" spans="1:7" x14ac:dyDescent="0.25">
      <c r="A218" s="3">
        <f>_xlfn.XLOOKUP(B218,[1]Data!$E:$E,[1]Data!$E:$E)</f>
        <v>90328</v>
      </c>
      <c r="B218" s="3">
        <v>90328</v>
      </c>
      <c r="C218" s="3" t="s">
        <v>296</v>
      </c>
      <c r="D218" s="3" t="s">
        <v>135</v>
      </c>
      <c r="E218" s="3" t="s">
        <v>8</v>
      </c>
      <c r="F218" s="4">
        <v>6713272.4400000004</v>
      </c>
      <c r="G218" s="4">
        <v>6713272.4400000004</v>
      </c>
    </row>
    <row r="219" spans="1:7" x14ac:dyDescent="0.25">
      <c r="A219" s="3">
        <f>_xlfn.XLOOKUP(B219,[1]Data!$E:$E,[1]Data!$E:$E)</f>
        <v>90326</v>
      </c>
      <c r="B219" s="3">
        <v>90326</v>
      </c>
      <c r="C219" s="3" t="s">
        <v>296</v>
      </c>
      <c r="D219" s="3" t="s">
        <v>16</v>
      </c>
      <c r="E219" s="3" t="s">
        <v>8</v>
      </c>
      <c r="F219" s="4">
        <v>876892.93</v>
      </c>
      <c r="G219" s="4">
        <v>876892.93</v>
      </c>
    </row>
    <row r="220" spans="1:7" x14ac:dyDescent="0.25">
      <c r="A220" s="3">
        <f>_xlfn.XLOOKUP(B220,[1]Data!$E:$E,[1]Data!$E:$E)</f>
        <v>90185</v>
      </c>
      <c r="B220" s="3">
        <v>90185</v>
      </c>
      <c r="C220" s="3" t="s">
        <v>296</v>
      </c>
      <c r="D220" s="3" t="s">
        <v>297</v>
      </c>
      <c r="E220" s="3" t="s">
        <v>8</v>
      </c>
      <c r="F220" s="4">
        <v>5000000</v>
      </c>
      <c r="G220" s="4">
        <v>5000000</v>
      </c>
    </row>
    <row r="221" spans="1:7" x14ac:dyDescent="0.25">
      <c r="A221" s="3">
        <f>_xlfn.XLOOKUP(B221,[1]Data!$E:$E,[1]Data!$E:$E)</f>
        <v>89426</v>
      </c>
      <c r="B221" s="3">
        <v>89426</v>
      </c>
      <c r="C221" s="3" t="s">
        <v>296</v>
      </c>
      <c r="D221" s="3" t="s">
        <v>227</v>
      </c>
      <c r="E221" s="3" t="s">
        <v>172</v>
      </c>
      <c r="F221" s="4">
        <v>3128735.56</v>
      </c>
      <c r="G221" s="4">
        <v>3128735.56</v>
      </c>
    </row>
  </sheetData>
  <autoFilter ref="A1:G221" xr:uid="{00000000-0001-0000-0000-000000000000}"/>
  <conditionalFormatting sqref="A4:A221">
    <cfRule type="duplicateValues" dxfId="0" priority="1"/>
  </conditionalFormatting>
  <pageMargins left="0.7" right="0.7" top="0.75" bottom="0.75" header="0.3" footer="0.3"/>
  <pageSetup orientation="portrait" horizontalDpi="4294967295" verticalDpi="4294967295"/>
  <ignoredErrors>
    <ignoredError sqref="D3:D221" numberStoredAsText="1"/>
    <ignoredError sqref="A2:A221" evalErro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E90FE8C4-8A69-438B-8704-A7BB4CCCBF0A}"/>
</file>

<file path=customXml/itemProps2.xml><?xml version="1.0" encoding="utf-8"?>
<ds:datastoreItem xmlns:ds="http://schemas.openxmlformats.org/officeDocument/2006/customXml" ds:itemID="{10A09186-1AFB-4DE3-BEA9-77B3CD66E619}"/>
</file>

<file path=customXml/itemProps3.xml><?xml version="1.0" encoding="utf-8"?>
<ds:datastoreItem xmlns:ds="http://schemas.openxmlformats.org/officeDocument/2006/customXml" ds:itemID="{867DB186-B3E8-40A5-A253-DB73C78904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2026-05-19T17:35:23Z</dcterms:created>
  <dcterms:modified xsi:type="dcterms:W3CDTF">2026-05-19T19:34:08Z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0x01010071C6B91B56666A46B8E988F3A40CE3F7</vt:lpwstr>
  </property>
</Properties>
</file>