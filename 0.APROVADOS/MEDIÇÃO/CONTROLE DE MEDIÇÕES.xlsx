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rgerenciamento.sharepoint.com/sites/LYO004SIMOESFILHOG200/Documentos Compartilhados/03. CUSTOS/3.0 MEDIÇÕES APROVADAS E NF'S/1. ROMANEIOS/0.APROVADOS/MEDIÇÃO/"/>
    </mc:Choice>
  </mc:AlternateContent>
  <xr:revisionPtr revIDLastSave="8" documentId="8_{043FF500-0CD5-447B-A73F-30061076B237}" xr6:coauthVersionLast="47" xr6:coauthVersionMax="47" xr10:uidLastSave="{4498899B-F9A2-4C94-8AAA-48B910900913}"/>
  <bookViews>
    <workbookView xWindow="-120" yWindow="-120" windowWidth="20730" windowHeight="11040" xr2:uid="{2F81D28D-5A53-4CC8-AA4E-16BCBEA6C24A}"/>
  </bookViews>
  <sheets>
    <sheet name="MEDIÇÃO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" i="1" l="1"/>
  <c r="L2" i="1"/>
  <c r="E3" i="1"/>
  <c r="B3" i="1"/>
  <c r="C3" i="1" s="1"/>
  <c r="E2" i="1"/>
  <c r="B2" i="1"/>
  <c r="C2" i="1" s="1"/>
</calcChain>
</file>

<file path=xl/sharedStrings.xml><?xml version="1.0" encoding="utf-8"?>
<sst xmlns="http://schemas.openxmlformats.org/spreadsheetml/2006/main" count="14" uniqueCount="13">
  <si>
    <t>VALOR TOTAL</t>
  </si>
  <si>
    <t>RETENÇÃO</t>
  </si>
  <si>
    <t>DESCONTOS FD</t>
  </si>
  <si>
    <t>MEDIÇÃO</t>
  </si>
  <si>
    <t>CNPJ</t>
  </si>
  <si>
    <t>RAZÃO SOCIAL</t>
  </si>
  <si>
    <t>ID CONTRATO</t>
  </si>
  <si>
    <t>VALOR DO CONTRATO</t>
  </si>
  <si>
    <t>IMPOSTO</t>
  </si>
  <si>
    <t>DESCONTO DE SINAL</t>
  </si>
  <si>
    <t>OUTROS DESCONTOS</t>
  </si>
  <si>
    <t>VALOR LÍQUIDO</t>
  </si>
  <si>
    <t>CT-LSFG200-000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</si>
</sst>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(&quot;R$&quot;* #,##0.00_);_(&quot;R$&quot;* \(#,##0.00\);_(&quot;R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top"/>
    </xf>
    <xf numFmtId="44" fontId="0" fillId="0" borderId="2" xfId="0" applyNumberFormat="1" applyFill="1" applyBorder="1" applyAlignment="1">
      <alignment horizontal="left" vertical="top"/>
    </xf>
    <xf numFmtId="164" fontId="0" fillId="0" borderId="2" xfId="1" applyNumberFormat="1" applyFont="1" applyFill="1" applyBorder="1" applyAlignment="1">
      <alignment horizontal="left" vertical="top"/>
    </xf>
  </cellXfs>
  <cellStyles count="2">
    <cellStyle name="Moeda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8.%20AGOSTO/LYO004-SF-Romaneio%200054.xlsm" TargetMode="External"/><Relationship Id="rId2" Type="http://schemas.openxmlformats.org/officeDocument/2006/relationships/externalLinkPath" Target="https://abrgerenciamento.sharepoint.com/sites/LYO004SIMOESFILHOG200/Documentos%20Compartilhados/03.%20CUSTOS/3.0%20MEDI&#199;&#213;ES%20APROVADAS%20E%20NF'S/1.%20ROMANEIOS/8.%20AGOSTO/LYO004-SF-Romaneio%200054.xlsm" TargetMode="External"/><Relationship Id="rId1" Type="http://schemas.openxmlformats.org/officeDocument/2006/relationships/externalLinkPath" Target="/sites/LYO004SIMOESFILHOG200/Documentos%20Compartilhados/03.%20CUSTOS/3.0%20MEDI&#199;&#213;ES%20APROVADAS%20E%20NF'S/1.%20ROMANEIOS/8.%20AGOSTO/LYO004-SF-Romaneio%20005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RT´s"/>
      <sheetName val="OMs APROVADAS"/>
      <sheetName val="GRAFICO PMG SUBESTAÇÃO"/>
      <sheetName val="GRAFICO PMG GALPÃO"/>
      <sheetName val="RELATÓRIO GERENCIAL"/>
      <sheetName val="CENTRO DE CUSTO-SUBESTAÇÃO"/>
      <sheetName val="CENTRO DE CUSTO-GALPÃO"/>
      <sheetName val="RESUMO CONTRATOS"/>
      <sheetName val="PEDIDOS"/>
      <sheetName val="CONTRATOS EAP"/>
      <sheetName val="CONTRATOS"/>
      <sheetName val="BOLETIM DE MEDIÇÃO"/>
      <sheetName val="NOTAS FISCAIS"/>
      <sheetName val="VALIDAÇÕES"/>
      <sheetName val="APOIO"/>
      <sheetName val="%"/>
      <sheetName val="CADASTRO DE FORNECEDORES"/>
      <sheetName val="RELATÓRIO DE ENCERRAMEN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E5" t="str">
            <v>QPC ENGENHARIA LTDA</v>
          </cell>
          <cell r="F5" t="str">
            <v>37.292.522/0001-14</v>
          </cell>
        </row>
        <row r="6">
          <cell r="E6" t="str">
            <v>QPC ENGENHARIA LTDA</v>
          </cell>
          <cell r="F6" t="str">
            <v>37.292.522/0001-14</v>
          </cell>
        </row>
        <row r="7">
          <cell r="E7" t="str">
            <v>QPC ENGENHARIA LTDA</v>
          </cell>
          <cell r="F7" t="str">
            <v>37.292.522/0001-14</v>
          </cell>
        </row>
        <row r="8">
          <cell r="E8" t="str">
            <v>QPC ENGENHARIA LTDA</v>
          </cell>
          <cell r="F8" t="str">
            <v>37.292.522/0001-14</v>
          </cell>
        </row>
        <row r="9">
          <cell r="E9" t="str">
            <v>QPC ENGENHARIA LTDA</v>
          </cell>
          <cell r="F9" t="str">
            <v>37.292.522/0001-14</v>
          </cell>
        </row>
        <row r="10">
          <cell r="E10" t="str">
            <v>QPC ENGENHARIA LTDA</v>
          </cell>
          <cell r="F10" t="str">
            <v>37.292.522/0001-14</v>
          </cell>
        </row>
        <row r="11">
          <cell r="E11" t="str">
            <v>QPC ENGENHARIA LTDA</v>
          </cell>
          <cell r="F11" t="str">
            <v>37.292.522/0001-14</v>
          </cell>
        </row>
        <row r="12">
          <cell r="E12" t="str">
            <v>DPE ARQUITETURA E ENGENHARIA LTDA</v>
          </cell>
          <cell r="F12" t="str">
            <v>28.254.497/0001-93</v>
          </cell>
        </row>
        <row r="13">
          <cell r="E13" t="str">
            <v>ARQUITETURA JAPI PROJETOS E CONSULTORIA LTDA</v>
          </cell>
          <cell r="F13" t="str">
            <v>24.955.005/0001-36</v>
          </cell>
        </row>
        <row r="14">
          <cell r="E14" t="str">
            <v>ARQUITETURA JAPI PROJETOS E CONSULTORIA LTDA</v>
          </cell>
          <cell r="F14" t="str">
            <v>24.955.005/0001-36</v>
          </cell>
        </row>
        <row r="15">
          <cell r="E15" t="str">
            <v>LPE ENGENHARIA E CONSULTORIA LTDA</v>
          </cell>
          <cell r="F15" t="str">
            <v>71.729.438/0001-53</v>
          </cell>
        </row>
        <row r="16">
          <cell r="E16" t="str">
            <v>T.T.C ENGENHARIA DE TRAFEGO</v>
          </cell>
          <cell r="F16" t="str">
            <v>52.562.972/0003-35</v>
          </cell>
        </row>
        <row r="17">
          <cell r="E17" t="str">
            <v>REV1 PROJETOS INTEGRADOS LTDA</v>
          </cell>
          <cell r="F17" t="str">
            <v>28.649.696/0001-09</v>
          </cell>
        </row>
        <row r="18">
          <cell r="E18" t="str">
            <v>NUCLEORA PLANEJAMENTO, ASSESSORIA E DESENVOLVIMENTO COMERCIAL LTDA</v>
          </cell>
          <cell r="F18" t="str">
            <v>65.978.504/0001-26</v>
          </cell>
        </row>
        <row r="19">
          <cell r="E19" t="str">
            <v>KAIZ ENGENHARIA LTDA</v>
          </cell>
          <cell r="F19" t="str">
            <v>32.617.659/0001-88</v>
          </cell>
        </row>
        <row r="20">
          <cell r="E20" t="str">
            <v>KAIZ ENGENHARIA LTDA</v>
          </cell>
          <cell r="F20" t="str">
            <v>32.617.659/0001-88</v>
          </cell>
        </row>
        <row r="21">
          <cell r="E21" t="str">
            <v>VENDRAMINI ENGENHARIA LTDA</v>
          </cell>
          <cell r="F21" t="str">
            <v>61.597.415/0001-89</v>
          </cell>
        </row>
        <row r="22">
          <cell r="E22" t="str">
            <v>VENDRAMINI ENGENHARIA LTDA</v>
          </cell>
          <cell r="F22" t="str">
            <v>61.597.415/0001-89</v>
          </cell>
        </row>
        <row r="23">
          <cell r="E23" t="str">
            <v>VENDRAMINI ENGENHARIA LTDA</v>
          </cell>
          <cell r="F23" t="str">
            <v>61.597.415/0001-89</v>
          </cell>
        </row>
        <row r="24">
          <cell r="E24" t="str">
            <v>DO VAL ENGENHARIA CONSULTORIA SOCIEDADE SIMPLES</v>
          </cell>
          <cell r="F24" t="str">
            <v>04.692.016/0001-63</v>
          </cell>
        </row>
        <row r="25">
          <cell r="E25" t="str">
            <v>GEOTECHNIQUE CONSULTORIA E ENGENHARIA LTDA</v>
          </cell>
          <cell r="F25" t="str">
            <v>40.610.677/0001-66</v>
          </cell>
        </row>
        <row r="26">
          <cell r="E26" t="str">
            <v>VENDRAMINI ENGENHARIA LTDA</v>
          </cell>
          <cell r="F26" t="str">
            <v>61.597.415/0001-89</v>
          </cell>
        </row>
        <row r="27">
          <cell r="E27" t="str">
            <v>LCL GEOTECNIA E SONDAGEM LTDA</v>
          </cell>
          <cell r="F27" t="str">
            <v>52.150.027/0001-64</v>
          </cell>
        </row>
        <row r="28">
          <cell r="E28" t="str">
            <v>MAGALHAES JUNIOR LOCACAO E SERVICOS LTDA</v>
          </cell>
          <cell r="F28" t="str">
            <v>05.009.846/0001-06</v>
          </cell>
        </row>
        <row r="29">
          <cell r="E29" t="str">
            <v>MAGALHAES JUNIOR LOCACAO E SERVICOS LTDA</v>
          </cell>
          <cell r="F29" t="str">
            <v>05.009.846/0001-06</v>
          </cell>
        </row>
        <row r="30">
          <cell r="E30" t="str">
            <v>GEO2 ENGENHARIA LTDA</v>
          </cell>
          <cell r="F30" t="str">
            <v>26.011.548/0001-20</v>
          </cell>
        </row>
        <row r="31">
          <cell r="E31" t="str">
            <v>QUALYSAN LOCAÇÃO DE BENS MÓVEIS EIRELI</v>
          </cell>
          <cell r="F31" t="str">
            <v>96.726.534/0001-79</v>
          </cell>
        </row>
        <row r="32">
          <cell r="E32" t="str">
            <v>FF INFRA E ENGENHARIA LTDA</v>
          </cell>
          <cell r="F32" t="str">
            <v>50.364.288/0001-51</v>
          </cell>
        </row>
        <row r="33">
          <cell r="E33" t="str">
            <v>AQUAGEO PROJETOS E PERFURACOES LTDA.</v>
          </cell>
          <cell r="F33" t="str">
            <v>34.117.523/0001-34</v>
          </cell>
        </row>
        <row r="34">
          <cell r="E34" t="str">
            <v>SPM ENGENHARIA SOCIEDADE SIMPLES LTDA</v>
          </cell>
          <cell r="F34" t="str">
            <v>93.711.133/0001-57</v>
          </cell>
        </row>
        <row r="35">
          <cell r="E35" t="str">
            <v>LAEROMEC SOLUCOES EM ENGENHARIA LTDA</v>
          </cell>
          <cell r="F35" t="str">
            <v>23.010.251/0001-52</v>
          </cell>
        </row>
        <row r="36">
          <cell r="E36" t="str">
            <v>SOLOBAHIA ENGENHARIA E TECNOLOGIA LTDA</v>
          </cell>
          <cell r="F36" t="str">
            <v>10.235.085/0001-40</v>
          </cell>
        </row>
        <row r="37">
          <cell r="E37" t="str">
            <v>LESSA EVENTOS LTDA</v>
          </cell>
          <cell r="F37" t="str">
            <v>23.289.189/0001-80</v>
          </cell>
        </row>
        <row r="38">
          <cell r="E38" t="str">
            <v>LESSA EVENTOS LTDA</v>
          </cell>
          <cell r="F38" t="str">
            <v>23.289.189/0001-80</v>
          </cell>
        </row>
        <row r="39">
          <cell r="E39" t="str">
            <v>LESSA EVENTOS LTDA</v>
          </cell>
          <cell r="F39" t="str">
            <v>23.289.189/0001-80</v>
          </cell>
        </row>
        <row r="40">
          <cell r="E40" t="str">
            <v>LESSA EVENTOS LTDA</v>
          </cell>
          <cell r="F40" t="str">
            <v>23.289.189/0001-80</v>
          </cell>
        </row>
        <row r="41">
          <cell r="E41" t="str">
            <v>LESSA EVENTOS LTDA</v>
          </cell>
          <cell r="F41" t="str">
            <v>23.289.189/0001-80</v>
          </cell>
        </row>
        <row r="42">
          <cell r="E42" t="str">
            <v>LESSA EVENTOS LTDA</v>
          </cell>
          <cell r="F42" t="str">
            <v>23.289.189/0001-80</v>
          </cell>
        </row>
        <row r="43">
          <cell r="E43" t="str">
            <v>LESSA EVENTOS LTDA</v>
          </cell>
          <cell r="F43" t="str">
            <v>23.289.189/0001-80</v>
          </cell>
        </row>
        <row r="44">
          <cell r="E44" t="str">
            <v>LESSA EVENTOS LTDA</v>
          </cell>
          <cell r="F44" t="str">
            <v>23.289.189/0001-80</v>
          </cell>
        </row>
        <row r="45">
          <cell r="E45" t="str">
            <v>LESSA EVENTOS LTDA</v>
          </cell>
          <cell r="F45" t="str">
            <v>23.289.189/0001-80</v>
          </cell>
        </row>
        <row r="46">
          <cell r="E46" t="str">
            <v>LESSA EVENTOS LTDA</v>
          </cell>
          <cell r="F46" t="str">
            <v>23.289.189/0001-80</v>
          </cell>
        </row>
        <row r="47">
          <cell r="E47" t="str">
            <v>LESSA EVENTOS LTDA</v>
          </cell>
          <cell r="F47" t="str">
            <v>23.289.189/0001-80</v>
          </cell>
        </row>
        <row r="48">
          <cell r="E48" t="str">
            <v>LESSA EVENTOS LTDA</v>
          </cell>
          <cell r="F48" t="str">
            <v>23.289.189/0001-80</v>
          </cell>
        </row>
        <row r="49">
          <cell r="E49" t="str">
            <v>BOME EMPREENDIMENTOS E SERVIÇOS LTDA</v>
          </cell>
          <cell r="F49" t="str">
            <v>56.994.417/0001-71</v>
          </cell>
        </row>
        <row r="50">
          <cell r="E50" t="str">
            <v>LEONARDO SANTOS GONCALVES PRODUCAO E SOLUCOES EM VIDEOS</v>
          </cell>
          <cell r="F50" t="str">
            <v>34.846.377/0001-88</v>
          </cell>
        </row>
        <row r="51">
          <cell r="E51" t="str">
            <v>SOFTCOMP COMERCIO SERVICOS TELECOM. E INFO. EIRELI</v>
          </cell>
          <cell r="F51" t="str">
            <v>01.246.485/0001-60</v>
          </cell>
        </row>
        <row r="52">
          <cell r="E52" t="str">
            <v>AMARAL GERENCIAMENTO DE RESIDUOS LTDA</v>
          </cell>
          <cell r="F52" t="str">
            <v>02.091.250/0001-00</v>
          </cell>
        </row>
        <row r="53">
          <cell r="E53" t="str">
            <v>BIOFUTURO SOLUCOES AMBIENTAIS LTDA</v>
          </cell>
          <cell r="F53" t="str">
            <v>41.278.127/0001-54</v>
          </cell>
        </row>
        <row r="54">
          <cell r="E54" t="str">
            <v>TRANSDADOS INTERNET LTDA</v>
          </cell>
          <cell r="F54" t="str">
            <v>07.259.502/0001-80</v>
          </cell>
        </row>
        <row r="55">
          <cell r="E55" t="str">
            <v>LC ADIA LOCACAO DE VEICULOS LTDA</v>
          </cell>
          <cell r="F55" t="str">
            <v>02.326.628/0001-07</v>
          </cell>
        </row>
        <row r="56">
          <cell r="E56" t="str">
            <v>LC ADIA LOCACAO DE VEICULOS LTDA</v>
          </cell>
          <cell r="F56" t="str">
            <v>02.326.628/0001-07</v>
          </cell>
        </row>
        <row r="57">
          <cell r="E57" t="str">
            <v>LC ADIA LOCACAO DE VEICULOS LTDA</v>
          </cell>
          <cell r="F57" t="str">
            <v>02.326.628/0001-07</v>
          </cell>
        </row>
        <row r="58">
          <cell r="E58" t="str">
            <v>LC ADIA LOCACAO DE VEICULOS LTDA</v>
          </cell>
          <cell r="F58" t="str">
            <v>02.326.628/0001-07</v>
          </cell>
        </row>
        <row r="59">
          <cell r="E59" t="str">
            <v>LC ADIA LOCACAO DE VEICULOS LTDA</v>
          </cell>
          <cell r="F59" t="str">
            <v>02.326.628/0001-07</v>
          </cell>
        </row>
        <row r="60">
          <cell r="E60" t="str">
            <v>LC ADIA LOCACAO DE VEICULOS LTDA</v>
          </cell>
          <cell r="F60" t="str">
            <v>02.326.628/0001-07</v>
          </cell>
        </row>
        <row r="61">
          <cell r="E61" t="str">
            <v>LC ADIA LOCACAO DE VEICULOS LTDA</v>
          </cell>
          <cell r="F61" t="str">
            <v>02.326.628/0001-07</v>
          </cell>
        </row>
        <row r="62">
          <cell r="E62" t="str">
            <v>LC ADIA LOCACAO DE VEICULOS LTDA</v>
          </cell>
          <cell r="F62" t="str">
            <v>02.326.628/0001-07</v>
          </cell>
        </row>
        <row r="63">
          <cell r="E63" t="str">
            <v>LC ADIA LOCACAO DE VEICULOS LTDA</v>
          </cell>
          <cell r="F63" t="str">
            <v>02.326.628/0001-07</v>
          </cell>
        </row>
        <row r="64">
          <cell r="E64" t="str">
            <v>LC ADIA LOCACAO DE VEICULOS LTDA</v>
          </cell>
          <cell r="F64" t="str">
            <v>02.326.628/0001-07</v>
          </cell>
        </row>
        <row r="65">
          <cell r="E65" t="str">
            <v>LC ADIA LOCACAO DE VEICULOS LTDA</v>
          </cell>
          <cell r="F65" t="str">
            <v>02.326.628/0001-07</v>
          </cell>
        </row>
        <row r="66">
          <cell r="E66" t="str">
            <v>LC ADIA LOCACAO DE VEICULOS LTDA</v>
          </cell>
          <cell r="F66" t="str">
            <v>02.326.628/0001-07</v>
          </cell>
        </row>
        <row r="67">
          <cell r="E67" t="str">
            <v>KOPRON DO BRASIL COMERCIO E INDUSTRIA DE EQUIPAMENTOS</v>
          </cell>
          <cell r="F67" t="str">
            <v>10.251.329/0001-89</v>
          </cell>
        </row>
        <row r="68">
          <cell r="E68" t="str">
            <v>KOPRON DO BRASIL COMERCIO E INDUSTRIA DE EQUIPAMENTOS</v>
          </cell>
          <cell r="F68" t="str">
            <v>10.251.329/0001-89</v>
          </cell>
        </row>
        <row r="69">
          <cell r="E69" t="str">
            <v>RÓTULA METALURGICA LTDA</v>
          </cell>
          <cell r="F69" t="str">
            <v>33.871.336/0002-60</v>
          </cell>
        </row>
        <row r="70">
          <cell r="E70" t="str">
            <v>RÓTULA METALURGICA LTDA</v>
          </cell>
          <cell r="F70" t="str">
            <v>33.871.336/0002-60</v>
          </cell>
        </row>
        <row r="71">
          <cell r="E71" t="str">
            <v>RÓTULA METALURGICA LTDA</v>
          </cell>
          <cell r="F71" t="str">
            <v>33.871.336/0002-60</v>
          </cell>
        </row>
        <row r="72">
          <cell r="E72" t="str">
            <v>RÓTULA METALURGICA LTDA</v>
          </cell>
          <cell r="F72" t="str">
            <v>33.871.336/0002-60</v>
          </cell>
        </row>
        <row r="73">
          <cell r="E73" t="str">
            <v>RÓTULA METALURGICA LTDA</v>
          </cell>
          <cell r="F73" t="str">
            <v>33.871.336/0002-60</v>
          </cell>
        </row>
        <row r="74">
          <cell r="E74" t="str">
            <v>RÓTULA METALURGICA LTDA</v>
          </cell>
          <cell r="F74" t="str">
            <v>33.871.336/0002-60</v>
          </cell>
        </row>
        <row r="75">
          <cell r="E75" t="str">
            <v>RÓTULA METALURGICA LTDA</v>
          </cell>
          <cell r="F75" t="str">
            <v>33.871.336/0002-60</v>
          </cell>
        </row>
        <row r="76">
          <cell r="E76" t="str">
            <v>RÓTULA METALURGICA LTDA</v>
          </cell>
          <cell r="F76" t="str">
            <v>33.871.336/0002-60</v>
          </cell>
        </row>
        <row r="77">
          <cell r="E77" t="str">
            <v>RÓTULA METALURGICA LTDA</v>
          </cell>
          <cell r="F77" t="str">
            <v>33.871.336/0002-60</v>
          </cell>
        </row>
        <row r="78">
          <cell r="E78" t="str">
            <v>T&amp;A CONSTRUÇÃO PRE-FABRICADA S.A</v>
          </cell>
          <cell r="F78" t="str">
            <v>01.301.612/0005-00</v>
          </cell>
        </row>
        <row r="79">
          <cell r="E79" t="str">
            <v>T&amp;A CONSTRUÇÃO PRE-FABRICADA S.A</v>
          </cell>
          <cell r="F79" t="str">
            <v>01.301.612/0005-00</v>
          </cell>
        </row>
        <row r="80">
          <cell r="E80" t="str">
            <v>T&amp;A CONSTRUÇÃO PRE-FABRICADA S.A</v>
          </cell>
          <cell r="F80" t="str">
            <v>01.301.612/0005-00</v>
          </cell>
        </row>
        <row r="81">
          <cell r="E81" t="str">
            <v>ARTEMP ENGENHARIA DE INSTALAÇÕES LTDA</v>
          </cell>
          <cell r="F81" t="str">
            <v>15.638.181/0001-53</v>
          </cell>
        </row>
        <row r="82">
          <cell r="E82" t="str">
            <v>ARTEMP ENGENHARIA DE INSTALAÇÕES LTDA</v>
          </cell>
          <cell r="F82" t="str">
            <v>15.638.181/0001-53</v>
          </cell>
        </row>
        <row r="83">
          <cell r="E83" t="str">
            <v>ARTEMP ENGENHARIA DE INSTALAÇÕES LTDA</v>
          </cell>
          <cell r="F83" t="str">
            <v>15.638.181/0001-53</v>
          </cell>
        </row>
        <row r="84">
          <cell r="E84" t="str">
            <v>ARTEMP ENGENHARIA DE INSTALAÇÕES LTDA</v>
          </cell>
          <cell r="F84" t="str">
            <v>15.638.181/0001-53</v>
          </cell>
        </row>
        <row r="85">
          <cell r="E85" t="str">
            <v>ARTEMP ENGENHARIA DE INSTALAÇÕES LTDA</v>
          </cell>
          <cell r="F85" t="str">
            <v>15.638.181/0001-53</v>
          </cell>
        </row>
        <row r="86">
          <cell r="E86" t="str">
            <v>ARTEMP ENGENHARIA DE INSTALAÇÕES LTDA</v>
          </cell>
          <cell r="F86" t="str">
            <v>15.638.181/0001-53</v>
          </cell>
        </row>
        <row r="87">
          <cell r="E87" t="str">
            <v>ARTEMP ENGENHARIA DE INSTALAÇÕES LTDA</v>
          </cell>
          <cell r="F87" t="str">
            <v>15.638.181/0001-53</v>
          </cell>
        </row>
        <row r="88">
          <cell r="E88" t="str">
            <v>ARTEMP ENGENHARIA DE INSTALAÇÕES LTDA</v>
          </cell>
          <cell r="F88" t="str">
            <v>15.638.181/0001-53</v>
          </cell>
        </row>
        <row r="89">
          <cell r="E89" t="str">
            <v>ARTEMP ENGENHARIA DE INSTALAÇÕES LTDA</v>
          </cell>
          <cell r="F89" t="str">
            <v>15.638.181/0001-53</v>
          </cell>
        </row>
        <row r="90">
          <cell r="E90" t="str">
            <v>ENTEL COMERCIO E SERVIÇOS LTDA</v>
          </cell>
          <cell r="F90" t="str">
            <v>13.745.542/0001-35</v>
          </cell>
        </row>
        <row r="91">
          <cell r="E91" t="str">
            <v>THYSSENKRUPP ELEVADORES SA</v>
          </cell>
          <cell r="F91" t="str">
            <v>90.347.840/0010-09</v>
          </cell>
        </row>
        <row r="92">
          <cell r="E92" t="str">
            <v>KAIZ ENGENHARIA LTDA</v>
          </cell>
          <cell r="F92" t="str">
            <v>32.617.659/0001-88</v>
          </cell>
        </row>
        <row r="93">
          <cell r="E93" t="str">
            <v>SOTEC FABRICACAO DE ESTRUTURAS METALICAS E SERVICOS LTDA</v>
          </cell>
          <cell r="F93" t="str">
            <v>09.254.454/0001-63</v>
          </cell>
        </row>
        <row r="94">
          <cell r="E94" t="str">
            <v>SOTEC FABRICACAO DE ESTRUTURAS METALICAS E SERVICOS LTDA</v>
          </cell>
          <cell r="F94" t="str">
            <v>09.254.454/0001-63</v>
          </cell>
        </row>
        <row r="95">
          <cell r="E95" t="str">
            <v>SOTEC FABRICACAO DE ESTRUTURAS METALICAS E SERVICOS LTDA</v>
          </cell>
          <cell r="F95" t="str">
            <v>09.254.454/0001-63</v>
          </cell>
        </row>
        <row r="96">
          <cell r="E96" t="str">
            <v>VOC ENGENHARIA E CONSTRUCAO LTDA</v>
          </cell>
          <cell r="F96" t="str">
            <v>60.013.306/0001-04</v>
          </cell>
        </row>
        <row r="97">
          <cell r="E97" t="str">
            <v>GEOTECHNIQUE CONSULTORIA E ENGENHARIA LTDA</v>
          </cell>
          <cell r="F97" t="str">
            <v>40.610.677/0001-66</v>
          </cell>
        </row>
        <row r="98">
          <cell r="E98" t="str">
            <v>DIPAWA NORDESTE INDUSTRIA, COMERCIO E CONSTRUTORA LTDA</v>
          </cell>
          <cell r="F98" t="str">
            <v>05.276.528/0001-01</v>
          </cell>
        </row>
        <row r="99">
          <cell r="E99" t="str">
            <v>ARTEMP ENGENHARIA TÉRMICA LTDA</v>
          </cell>
          <cell r="F99" t="str">
            <v>14.100.265/0001-76</v>
          </cell>
        </row>
        <row r="100">
          <cell r="E100" t="str">
            <v>ARTEMP ENGENHARIA TÉRMICA LTDA</v>
          </cell>
          <cell r="F100" t="str">
            <v>14.100.265/0001-76</v>
          </cell>
        </row>
        <row r="101">
          <cell r="E101" t="str">
            <v>ARTEMP ENGENHARIA TÉRMICA LTDA</v>
          </cell>
          <cell r="F101" t="str">
            <v>14.100.265/0001-76</v>
          </cell>
        </row>
        <row r="102">
          <cell r="E102" t="str">
            <v>ARTEMP ENGENHARIA TÉRMICA LTDA</v>
          </cell>
          <cell r="F102" t="str">
            <v>14.100.265/0001-76</v>
          </cell>
        </row>
        <row r="103">
          <cell r="E103" t="str">
            <v>ARTEMP ENGENHARIA TÉRMICA LTDA</v>
          </cell>
          <cell r="F103" t="str">
            <v>14.100.265/0001-76</v>
          </cell>
        </row>
        <row r="104">
          <cell r="E104" t="str">
            <v>ARTEMP ENGENHARIA TÉRMICA LTDA</v>
          </cell>
          <cell r="F104" t="str">
            <v>14.100.265/0001-76</v>
          </cell>
        </row>
        <row r="105">
          <cell r="E105" t="str">
            <v>ARTEMP ENGENHARIA TÉRMICA LTDA</v>
          </cell>
          <cell r="F105" t="str">
            <v>14.100.265/0001-76</v>
          </cell>
        </row>
        <row r="106">
          <cell r="E106" t="str">
            <v>ARTEMP ENGENHARIA TÉRMICA LTDA</v>
          </cell>
          <cell r="F106" t="str">
            <v>14.100.265/0001-76</v>
          </cell>
        </row>
        <row r="107">
          <cell r="E107" t="str">
            <v>ARTEMP ENGENHARIA TÉRMICA LTDA</v>
          </cell>
          <cell r="F107" t="str">
            <v>14.100.265/0001-76</v>
          </cell>
        </row>
        <row r="108">
          <cell r="E108" t="str">
            <v>ARTEMP ENGENHARIA TÉRMICA LTDA</v>
          </cell>
          <cell r="F108" t="str">
            <v>14.100.265/0001-76</v>
          </cell>
        </row>
        <row r="109">
          <cell r="E109" t="str">
            <v>ARTEMP ENGENHARIA TÉRMICA LTDA</v>
          </cell>
          <cell r="F109" t="str">
            <v>14.100.265/0001-76</v>
          </cell>
        </row>
        <row r="110">
          <cell r="E110" t="str">
            <v>NEOSONDA ENGENHARIA LTDA</v>
          </cell>
          <cell r="F110" t="str">
            <v>57.887.381/0001-90</v>
          </cell>
        </row>
        <row r="111">
          <cell r="E111" t="str">
            <v>PRESOTTO SERVICOS DE ENGENHARIA LTDA</v>
          </cell>
          <cell r="F111" t="str">
            <v>53.056.945/0001-91</v>
          </cell>
        </row>
        <row r="112">
          <cell r="E112" t="str">
            <v>TGEO SERVICOS DE ENGENHARIA E GEOLOGIA LTDA</v>
          </cell>
          <cell r="F112" t="str">
            <v>41.324.885/0001-61</v>
          </cell>
        </row>
        <row r="113">
          <cell r="E113" t="str">
            <v>LCL GEOTECNIA E SONDAGEM LTDA</v>
          </cell>
          <cell r="F113" t="str">
            <v>52.150.027/0001-64</v>
          </cell>
        </row>
        <row r="114">
          <cell r="E114" t="str">
            <v>CAME DO BRASIL</v>
          </cell>
          <cell r="F114" t="str">
            <v>12.026.014/0001-63</v>
          </cell>
        </row>
        <row r="115">
          <cell r="E115" t="str">
            <v>TM HIDRO SERVICOS DE PREP. DE TER. E TERRAPLANAGEM LTDA</v>
          </cell>
          <cell r="F115" t="str">
            <v>20.231.003/0001-43</v>
          </cell>
        </row>
        <row r="116">
          <cell r="E116" t="str">
            <v>LACROSE ENGENHARIA E CONSULTORIA EIRELI</v>
          </cell>
          <cell r="F116" t="str">
            <v>26.915.726/0001-48</v>
          </cell>
        </row>
        <row r="117">
          <cell r="E117" t="str">
            <v>FF INFRA E ENGENHARIA LTDA</v>
          </cell>
          <cell r="F117" t="str">
            <v>50.364.288/0001-51</v>
          </cell>
        </row>
        <row r="118">
          <cell r="E118" t="str">
            <v>FF INFRA E ENGENHARIA LTDA</v>
          </cell>
          <cell r="F118" t="str">
            <v>50.364.288/0001-51</v>
          </cell>
        </row>
        <row r="119">
          <cell r="E119" t="str">
            <v>VOC ENGENHARIA E CONSTRUCAO LTDA</v>
          </cell>
          <cell r="F119" t="str">
            <v>60.013.306/0001-04</v>
          </cell>
        </row>
        <row r="120">
          <cell r="E120" t="str">
            <v>VOC ENGENHARIA E CONSTRUCAO LTDA</v>
          </cell>
          <cell r="F120" t="str">
            <v>60.013.306/0001-04</v>
          </cell>
        </row>
        <row r="121">
          <cell r="E121" t="str">
            <v>VOC ENGENHARIA E CONSTRUCAO LTDA</v>
          </cell>
          <cell r="F121" t="str">
            <v>60.013.306/0001-04</v>
          </cell>
        </row>
        <row r="122">
          <cell r="E122" t="str">
            <v>VOC ENGENHARIA E CONSTRUCAO LTDA</v>
          </cell>
          <cell r="F122" t="str">
            <v>60.013.306/0001-04</v>
          </cell>
        </row>
        <row r="123">
          <cell r="E123" t="str">
            <v>VOC ENGENHARIA E CONSTRUCAO LTDA</v>
          </cell>
          <cell r="F123" t="str">
            <v>60.013.306/0001-04</v>
          </cell>
        </row>
        <row r="124">
          <cell r="E124" t="str">
            <v>VOC ENGENHARIA E CONSTRUCAO LTDA</v>
          </cell>
          <cell r="F124" t="str">
            <v>60.013.306/0001-04</v>
          </cell>
        </row>
        <row r="125">
          <cell r="E125" t="str">
            <v>VOC ENGENHARIA E CONSTRUCAO LTDA</v>
          </cell>
          <cell r="F125" t="str">
            <v>60.013.306/0001-04</v>
          </cell>
        </row>
        <row r="126">
          <cell r="E126" t="str">
            <v>ARAMITA INDUSTRIAL ITABIRA LTDA</v>
          </cell>
          <cell r="F126" t="str">
            <v>14.309.983/0001-57</v>
          </cell>
        </row>
        <row r="127">
          <cell r="E127" t="str">
            <v>VOC ENGENHARIA E CONSTRUCAO LTDA</v>
          </cell>
          <cell r="F127" t="str">
            <v>60.013.306/0001-04</v>
          </cell>
        </row>
        <row r="128">
          <cell r="E128" t="str">
            <v>M ANDRADE MAQUINAS E EQUIPAMENTOS LTDA</v>
          </cell>
          <cell r="F128" t="str">
            <v>02.541.661/0001-50</v>
          </cell>
        </row>
        <row r="129">
          <cell r="E129" t="str">
            <v>AGTC GUINDAUTO E TRANSPORTES</v>
          </cell>
          <cell r="F129" t="str">
            <v>00.881.464/0001-54</v>
          </cell>
        </row>
        <row r="130">
          <cell r="E130" t="str">
            <v>AGTC GUINDAUTO E TRANSPORTES</v>
          </cell>
          <cell r="F130" t="str">
            <v>00.881.464/0001-54</v>
          </cell>
        </row>
        <row r="131">
          <cell r="E131" t="str">
            <v>AGTC GUINDAUTO E TRANSPORTES</v>
          </cell>
          <cell r="F131" t="str">
            <v>00.881.464/0001-54</v>
          </cell>
        </row>
        <row r="132">
          <cell r="E132" t="str">
            <v>AGTC GUINDAUTO E TRANSPORTES</v>
          </cell>
          <cell r="F132" t="str">
            <v>00.881.464/0001-54</v>
          </cell>
        </row>
        <row r="133">
          <cell r="E133" t="str">
            <v>AGTC GUINDAUTO E TRANSPORTES</v>
          </cell>
          <cell r="F133" t="str">
            <v>00.881.464/0001-54</v>
          </cell>
        </row>
        <row r="134">
          <cell r="E134" t="str">
            <v>RENATO LUCAS GONCALVES SILVA SERVICO DE INSPECAO</v>
          </cell>
          <cell r="F134" t="str">
            <v>54.059.906/0001-00</v>
          </cell>
        </row>
        <row r="135">
          <cell r="E135" t="str">
            <v>PAULO E MAGALHÃES ENGENHARIA LTDA</v>
          </cell>
          <cell r="F135" t="str">
            <v>32.313.284/0001-62</v>
          </cell>
        </row>
        <row r="136">
          <cell r="E136" t="str">
            <v>OLYMPIA HILL INDUSTRIA E COMERCIO LTD</v>
          </cell>
          <cell r="F136" t="str">
            <v>50.428.666/0001-13</v>
          </cell>
        </row>
        <row r="137">
          <cell r="E137" t="str">
            <v>OLYMPIA HILL INDUSTRIA E COMERCIO LTD</v>
          </cell>
          <cell r="F137" t="str">
            <v>50.428.666/0001-13</v>
          </cell>
        </row>
        <row r="138">
          <cell r="E138" t="str">
            <v>OLYMPIA HILL INDUSTRIA E COMERCIO LTD</v>
          </cell>
          <cell r="F138" t="str">
            <v>50.428.666/0001-13</v>
          </cell>
        </row>
        <row r="139">
          <cell r="E139" t="str">
            <v>OLYMPIA HILL INDUSTRIA E COMERCIO LTD</v>
          </cell>
          <cell r="F139" t="str">
            <v>50.428.666/0001-13</v>
          </cell>
        </row>
        <row r="140">
          <cell r="E140" t="str">
            <v>OLYMPIA HILL INDUSTRIA E COMERCIO LTD</v>
          </cell>
          <cell r="F140" t="str">
            <v>50.428.666/0001-13</v>
          </cell>
        </row>
        <row r="141">
          <cell r="E141" t="str">
            <v>VOC ENGENHARIA E CONSTRUCAO LTDA</v>
          </cell>
          <cell r="F141" t="str">
            <v>60.013.306/0001-04</v>
          </cell>
        </row>
        <row r="142">
          <cell r="E142" t="str">
            <v>VOC ENGENHARIA E CONSTRUCAO LTDA</v>
          </cell>
          <cell r="F142" t="str">
            <v>60.013.306/0001-04</v>
          </cell>
        </row>
        <row r="143">
          <cell r="E143" t="str">
            <v>VOC ENGENHARIA E CONSTRUCAO LTDA</v>
          </cell>
          <cell r="F143" t="str">
            <v>60.013.306/0001-04</v>
          </cell>
        </row>
        <row r="144">
          <cell r="E144" t="str">
            <v>QPC ENGENHARIA LTDA</v>
          </cell>
          <cell r="F144" t="str">
            <v>37.292.522/0001-14</v>
          </cell>
        </row>
        <row r="145">
          <cell r="E145" t="str">
            <v>QPC ENGENHARIA LTDA</v>
          </cell>
          <cell r="F145" t="str">
            <v>37.292.522/0001-14</v>
          </cell>
        </row>
        <row r="146">
          <cell r="E146" t="str">
            <v>LOXAM DO BRASIL SA</v>
          </cell>
          <cell r="F146" t="str">
            <v>57.764.763/0020-99</v>
          </cell>
        </row>
        <row r="147">
          <cell r="E147" t="str">
            <v>L S OLIVEIRA TRANSPORTES</v>
          </cell>
          <cell r="F147" t="str">
            <v>25.683.295/0001-79</v>
          </cell>
        </row>
        <row r="148">
          <cell r="E148" t="str">
            <v>L S OLIVEIRA TRANSPORTES</v>
          </cell>
          <cell r="F148" t="str">
            <v>25.683.295/0001-79</v>
          </cell>
        </row>
        <row r="149">
          <cell r="E149" t="str">
            <v>L S OLIVEIRA TRANSPORTES</v>
          </cell>
          <cell r="F149" t="str">
            <v>25.683.295/0001-79</v>
          </cell>
        </row>
        <row r="150">
          <cell r="E150" t="str">
            <v>JMP TRANSPORTE LTDA</v>
          </cell>
          <cell r="F150" t="str">
            <v>58.071.550/0001-81</v>
          </cell>
        </row>
        <row r="151">
          <cell r="E151" t="str">
            <v>JMP TRANSPORTE LTDA</v>
          </cell>
          <cell r="F151" t="str">
            <v>58.071.550/0001-81</v>
          </cell>
        </row>
        <row r="152">
          <cell r="E152" t="str">
            <v>JUCIMAR MACIEL NORONHA</v>
          </cell>
          <cell r="F152" t="str">
            <v>56.203.956/0001-45</v>
          </cell>
        </row>
        <row r="153">
          <cell r="E153" t="str">
            <v>ARMAC LOCAÇÃO, LOGISTICA E SERVIÇOS</v>
          </cell>
          <cell r="F153" t="str">
            <v>00.242.184/0001-04</v>
          </cell>
        </row>
        <row r="154">
          <cell r="E154" t="str">
            <v>M ANDRADE MAQUINAS E EQUIPAMENTOS LTDA</v>
          </cell>
          <cell r="F154" t="str">
            <v>02.541.661/0001-50</v>
          </cell>
        </row>
        <row r="155">
          <cell r="E155" t="str">
            <v>M ANDRADE MAQUINAS E EQUIPAMENTOS LTDA</v>
          </cell>
          <cell r="F155" t="str">
            <v>02.541.661/0001-50</v>
          </cell>
        </row>
        <row r="156">
          <cell r="E156" t="str">
            <v>M ANDRADE MAQUINAS E EQUIPAMENTOS LTDA</v>
          </cell>
          <cell r="F156" t="str">
            <v>02.541.661/0001-50</v>
          </cell>
        </row>
        <row r="157">
          <cell r="E157" t="str">
            <v>M ANDRADE MAQUINAS E EQUIPAMENTOS LTDA</v>
          </cell>
          <cell r="F157" t="str">
            <v>02.541.661/0001-50</v>
          </cell>
        </row>
        <row r="158">
          <cell r="E158" t="str">
            <v>M B TERRAPLENAGEM E CONSTRUCOES LTDA</v>
          </cell>
          <cell r="F158" t="str">
            <v>11.686.476/0001-44</v>
          </cell>
        </row>
        <row r="159">
          <cell r="E159" t="str">
            <v>VOC ENGENHARIA E CONSTRUCAO LTDA</v>
          </cell>
          <cell r="F159" t="str">
            <v>60.013.306/0001-04</v>
          </cell>
        </row>
        <row r="160">
          <cell r="E160" t="str">
            <v>M ANDRADE MAQUINAS E EQUIPAMENTOS LTDA</v>
          </cell>
          <cell r="F160" t="str">
            <v>02.541.661/0001-50</v>
          </cell>
        </row>
        <row r="161">
          <cell r="E161" t="str">
            <v>RAZÃO SOCIAL NÃO ENCONTRADA</v>
          </cell>
        </row>
        <row r="162">
          <cell r="E162" t="str">
            <v>RAZÃO SOCIAL NÃO ENCONTRADA</v>
          </cell>
        </row>
        <row r="163">
          <cell r="E163" t="str">
            <v>RAZÃO SOCIAL NÃO ENCONTRADA</v>
          </cell>
        </row>
        <row r="164">
          <cell r="E164" t="str">
            <v>RAZÃO SOCIAL NÃO ENCONTRADA</v>
          </cell>
        </row>
        <row r="165">
          <cell r="E165" t="str">
            <v>RAZÃO SOCIAL NÃO ENCONTRADA</v>
          </cell>
        </row>
        <row r="166">
          <cell r="E166" t="str">
            <v>RAZÃO SOCIAL NÃO ENCONTRADA</v>
          </cell>
        </row>
        <row r="167">
          <cell r="E167" t="str">
            <v>RAZÃO SOCIAL NÃO ENCONTRADA</v>
          </cell>
        </row>
        <row r="168">
          <cell r="E168" t="str">
            <v>RAZÃO SOCIAL NÃO ENCONTRADA</v>
          </cell>
        </row>
        <row r="169">
          <cell r="E169" t="str">
            <v>RAZÃO SOCIAL NÃO ENCONTRADA</v>
          </cell>
        </row>
        <row r="170">
          <cell r="E170" t="str">
            <v>RAZÃO SOCIAL NÃO ENCONTRADA</v>
          </cell>
        </row>
        <row r="171">
          <cell r="E171" t="str">
            <v>RAZÃO SOCIAL NÃO ENCONTRADA</v>
          </cell>
        </row>
        <row r="172">
          <cell r="E172" t="str">
            <v>RAZÃO SOCIAL NÃO ENCONTRADA</v>
          </cell>
        </row>
        <row r="173">
          <cell r="E173" t="str">
            <v>RAZÃO SOCIAL NÃO ENCONTRADA</v>
          </cell>
        </row>
        <row r="174">
          <cell r="E174" t="str">
            <v>RAZÃO SOCIAL NÃO ENCONTRADA</v>
          </cell>
        </row>
        <row r="175">
          <cell r="E175" t="str">
            <v>RAZÃO SOCIAL NÃO ENCONTRADA</v>
          </cell>
        </row>
        <row r="176">
          <cell r="E176" t="str">
            <v>RAZÃO SOCIAL NÃO ENCONTRADA</v>
          </cell>
        </row>
        <row r="177">
          <cell r="E177" t="str">
            <v>RAZÃO SOCIAL NÃO ENCONTRADA</v>
          </cell>
        </row>
        <row r="178">
          <cell r="E178" t="str">
            <v>RAZÃO SOCIAL NÃO ENCONTRADA</v>
          </cell>
        </row>
        <row r="179">
          <cell r="E179" t="str">
            <v>RAZÃO SOCIAL NÃO ENCONTRADA</v>
          </cell>
        </row>
        <row r="180">
          <cell r="E180" t="str">
            <v>RAZÃO SOCIAL NÃO ENCONTRADA</v>
          </cell>
        </row>
        <row r="181">
          <cell r="E181" t="str">
            <v>RAZÃO SOCIAL NÃO ENCONTRADA</v>
          </cell>
        </row>
        <row r="182">
          <cell r="E182" t="str">
            <v>RAZÃO SOCIAL NÃO ENCONTRADA</v>
          </cell>
        </row>
        <row r="183">
          <cell r="E183" t="str">
            <v>RAZÃO SOCIAL NÃO ENCONTRADA</v>
          </cell>
        </row>
        <row r="184">
          <cell r="E184" t="str">
            <v>RAZÃO SOCIAL NÃO ENCONTRADA</v>
          </cell>
        </row>
        <row r="185">
          <cell r="E185" t="str">
            <v>RAZÃO SOCIAL NÃO ENCONTRADA</v>
          </cell>
        </row>
        <row r="186">
          <cell r="E186" t="str">
            <v>RAZÃO SOCIAL NÃO ENCONTRADA</v>
          </cell>
        </row>
        <row r="187">
          <cell r="E187" t="str">
            <v>RAZÃO SOCIAL NÃO ENCONTRADA</v>
          </cell>
        </row>
        <row r="188">
          <cell r="E188" t="str">
            <v>RAZÃO SOCIAL NÃO ENCONTRADA</v>
          </cell>
        </row>
        <row r="189">
          <cell r="E189" t="str">
            <v>RAZÃO SOCIAL NÃO ENCONTRADA</v>
          </cell>
        </row>
        <row r="190">
          <cell r="E190" t="str">
            <v>RAZÃO SOCIAL NÃO ENCONTRADA</v>
          </cell>
        </row>
        <row r="191">
          <cell r="E191" t="str">
            <v>RAZÃO SOCIAL NÃO ENCONTRADA</v>
          </cell>
        </row>
        <row r="192">
          <cell r="E192" t="str">
            <v>RAZÃO SOCIAL NÃO ENCONTRADA</v>
          </cell>
        </row>
        <row r="193">
          <cell r="E193" t="str">
            <v>RAZÃO SOCIAL NÃO ENCONTRADA</v>
          </cell>
        </row>
        <row r="194">
          <cell r="E194" t="str">
            <v>RAZÃO SOCIAL NÃO ENCONTRADA</v>
          </cell>
        </row>
        <row r="195">
          <cell r="E195" t="str">
            <v>RAZÃO SOCIAL NÃO ENCONTRADA</v>
          </cell>
        </row>
        <row r="196">
          <cell r="E196" t="str">
            <v>RAZÃO SOCIAL NÃO ENCONTRADA</v>
          </cell>
        </row>
        <row r="197">
          <cell r="E197" t="str">
            <v>RAZÃO SOCIAL NÃO ENCONTRADA</v>
          </cell>
        </row>
        <row r="198">
          <cell r="E198" t="str">
            <v>RAZÃO SOCIAL NÃO ENCONTRADA</v>
          </cell>
        </row>
        <row r="199">
          <cell r="E199" t="str">
            <v>RAZÃO SOCIAL NÃO ENCONTRADA</v>
          </cell>
        </row>
        <row r="200">
          <cell r="E200" t="str">
            <v>RAZÃO SOCIAL NÃO ENCONTRADA</v>
          </cell>
        </row>
        <row r="201">
          <cell r="E201" t="str">
            <v>RAZÃO SOCIAL NÃO ENCONTRADA</v>
          </cell>
        </row>
        <row r="202">
          <cell r="E202" t="str">
            <v>RAZÃO SOCIAL NÃO ENCONTRADA</v>
          </cell>
        </row>
        <row r="203">
          <cell r="E203" t="str">
            <v>RAZÃO SOCIAL NÃO ENCONTRADA</v>
          </cell>
        </row>
      </sheetData>
      <sheetData sheetId="10">
        <row r="6">
          <cell r="B6" t="str">
            <v>CT-LSFG200-000</v>
          </cell>
          <cell r="D6" t="str">
            <v>37.292.522/0001-14</v>
          </cell>
          <cell r="P6">
            <v>59759065.399999999</v>
          </cell>
        </row>
        <row r="7">
          <cell r="B7" t="str">
            <v>CT-LSFG200-001</v>
          </cell>
          <cell r="D7" t="str">
            <v>28.254.497/0001-93</v>
          </cell>
          <cell r="P7">
            <v>450000</v>
          </cell>
        </row>
        <row r="8">
          <cell r="B8" t="str">
            <v>CT-LSFG200-002</v>
          </cell>
          <cell r="D8" t="str">
            <v>24.955.005/0001-36</v>
          </cell>
          <cell r="P8">
            <v>472594.69</v>
          </cell>
        </row>
        <row r="9">
          <cell r="B9" t="str">
            <v>CT-LSFG200-003</v>
          </cell>
          <cell r="D9" t="str">
            <v>24.955.005/0001-36</v>
          </cell>
          <cell r="P9">
            <v>100000</v>
          </cell>
        </row>
        <row r="10">
          <cell r="B10" t="str">
            <v>CT-LSFG200-004</v>
          </cell>
          <cell r="D10" t="str">
            <v>71.729.438/0001-53</v>
          </cell>
          <cell r="P10">
            <v>244000</v>
          </cell>
        </row>
        <row r="11">
          <cell r="B11" t="str">
            <v>CT-LSFG200-005</v>
          </cell>
          <cell r="D11" t="str">
            <v>52.562.972/0003-35</v>
          </cell>
          <cell r="P11">
            <v>9200</v>
          </cell>
        </row>
        <row r="12">
          <cell r="B12" t="str">
            <v>CT-LSFG200-006</v>
          </cell>
          <cell r="D12" t="str">
            <v>28.649.696/0001-09</v>
          </cell>
          <cell r="P12">
            <v>16917</v>
          </cell>
        </row>
        <row r="13">
          <cell r="B13" t="str">
            <v>CT-LSFG200-007</v>
          </cell>
          <cell r="D13" t="str">
            <v>65.978.504/0001-26</v>
          </cell>
          <cell r="P13">
            <v>45000</v>
          </cell>
        </row>
        <row r="14">
          <cell r="B14" t="str">
            <v>CT-LSFG200-008</v>
          </cell>
          <cell r="D14" t="str">
            <v>32.617.659/0001-88</v>
          </cell>
          <cell r="P14">
            <v>64300</v>
          </cell>
        </row>
        <row r="15">
          <cell r="B15" t="str">
            <v>CT-LSFG200-009</v>
          </cell>
          <cell r="D15" t="str">
            <v>32.617.659/0001-88</v>
          </cell>
          <cell r="P15">
            <v>68300</v>
          </cell>
        </row>
        <row r="16">
          <cell r="B16" t="str">
            <v>CT-LSFG200-010</v>
          </cell>
          <cell r="D16" t="str">
            <v>61.597.415/0001-89</v>
          </cell>
          <cell r="P16">
            <v>1378000</v>
          </cell>
        </row>
        <row r="17">
          <cell r="B17" t="str">
            <v>CT-LSFG200-011</v>
          </cell>
          <cell r="D17" t="str">
            <v>04.692.016/0001-63</v>
          </cell>
          <cell r="P17">
            <v>87000</v>
          </cell>
        </row>
        <row r="18">
          <cell r="B18" t="str">
            <v>CT-LSFG200-012</v>
          </cell>
          <cell r="D18" t="str">
            <v>40.610.677/0001-66</v>
          </cell>
          <cell r="P18">
            <v>250380</v>
          </cell>
        </row>
        <row r="19">
          <cell r="B19" t="str">
            <v>CT-LSFG200-013</v>
          </cell>
          <cell r="D19" t="str">
            <v>61.597.415/0001-89</v>
          </cell>
          <cell r="P19">
            <v>153000</v>
          </cell>
        </row>
        <row r="20">
          <cell r="B20" t="str">
            <v>CT-LSFG200-014</v>
          </cell>
          <cell r="D20" t="str">
            <v>52.150.027/0001-64</v>
          </cell>
          <cell r="P20">
            <v>919769.9</v>
          </cell>
        </row>
        <row r="21">
          <cell r="B21" t="str">
            <v>CT-LSFG200-015</v>
          </cell>
          <cell r="D21" t="str">
            <v>05.009.846/0001-06</v>
          </cell>
          <cell r="P21">
            <v>19115188</v>
          </cell>
        </row>
        <row r="22">
          <cell r="B22" t="str">
            <v>CT-LSFG200-016</v>
          </cell>
          <cell r="D22" t="str">
            <v>26.011.548/0001-20</v>
          </cell>
          <cell r="P22">
            <v>732314.04</v>
          </cell>
        </row>
        <row r="23">
          <cell r="B23" t="str">
            <v>CT-LSFG200-017</v>
          </cell>
          <cell r="D23" t="str">
            <v>96.726.534/0001-79</v>
          </cell>
          <cell r="P23">
            <v>89600</v>
          </cell>
        </row>
        <row r="24">
          <cell r="B24" t="str">
            <v>CT-LSFG200-018</v>
          </cell>
          <cell r="D24" t="str">
            <v>50.364.288/0001-51</v>
          </cell>
          <cell r="P24">
            <v>316000</v>
          </cell>
        </row>
        <row r="25">
          <cell r="B25" t="str">
            <v>CT-LSFG200-019</v>
          </cell>
          <cell r="D25" t="str">
            <v>34.117.523/0001-34</v>
          </cell>
          <cell r="P25">
            <v>286456.27</v>
          </cell>
        </row>
        <row r="26">
          <cell r="B26" t="str">
            <v>CT-LSFG200-020</v>
          </cell>
          <cell r="D26" t="str">
            <v>93.711.133/0001-57</v>
          </cell>
          <cell r="P26">
            <v>568700</v>
          </cell>
        </row>
        <row r="27">
          <cell r="B27" t="str">
            <v>CT-LSFG200-021</v>
          </cell>
          <cell r="D27" t="str">
            <v>23.010.251/0001-52</v>
          </cell>
          <cell r="P27">
            <v>31300</v>
          </cell>
        </row>
        <row r="28">
          <cell r="B28" t="str">
            <v>CT-LSFG200-022</v>
          </cell>
          <cell r="D28" t="str">
            <v>10.235.085/0001-40</v>
          </cell>
          <cell r="P28">
            <v>141411.45000000001</v>
          </cell>
        </row>
        <row r="29">
          <cell r="B29" t="str">
            <v>CT-LSFG200-023</v>
          </cell>
          <cell r="D29" t="str">
            <v>23.289.189/0001-80</v>
          </cell>
          <cell r="P29">
            <v>1808700.4</v>
          </cell>
        </row>
        <row r="30">
          <cell r="B30" t="str">
            <v>CT-LSFG200-024</v>
          </cell>
          <cell r="D30" t="str">
            <v>56.994.417/0001-71</v>
          </cell>
          <cell r="P30">
            <v>1304518.18</v>
          </cell>
        </row>
        <row r="31">
          <cell r="B31" t="str">
            <v>CT-LSFG200-025</v>
          </cell>
          <cell r="D31" t="str">
            <v>34.846.377/0001-88</v>
          </cell>
          <cell r="P31">
            <v>32200</v>
          </cell>
        </row>
        <row r="32">
          <cell r="B32" t="str">
            <v>CT-LSFG200-026</v>
          </cell>
          <cell r="D32" t="str">
            <v>01.246.485/0001-60</v>
          </cell>
          <cell r="P32">
            <v>43750</v>
          </cell>
        </row>
        <row r="33">
          <cell r="B33" t="str">
            <v>CT-LSFG200-027</v>
          </cell>
          <cell r="D33" t="str">
            <v>02.091.250/0001-00</v>
          </cell>
          <cell r="P33">
            <v>163230</v>
          </cell>
        </row>
        <row r="34">
          <cell r="B34" t="str">
            <v>CT-LSFG200-028</v>
          </cell>
          <cell r="D34" t="str">
            <v>41.278.127/0001-54</v>
          </cell>
          <cell r="P34">
            <v>1278000</v>
          </cell>
        </row>
        <row r="35">
          <cell r="B35" t="str">
            <v>CT-LSFG200-029</v>
          </cell>
          <cell r="D35" t="str">
            <v>07.259.502/0001-80</v>
          </cell>
          <cell r="P35">
            <v>11200</v>
          </cell>
        </row>
        <row r="36">
          <cell r="B36" t="str">
            <v>CT-LSFG200-030</v>
          </cell>
          <cell r="D36" t="str">
            <v>02.326.628/0001-07</v>
          </cell>
          <cell r="P36">
            <v>1895760</v>
          </cell>
        </row>
        <row r="37">
          <cell r="B37" t="str">
            <v>CT-LSFG200-031</v>
          </cell>
          <cell r="D37" t="str">
            <v>10.251.329/0001-89</v>
          </cell>
          <cell r="P37">
            <v>3600000</v>
          </cell>
        </row>
        <row r="38">
          <cell r="B38" t="str">
            <v>CT-LSFG200-032</v>
          </cell>
          <cell r="D38" t="str">
            <v>33.871.336/0002-60</v>
          </cell>
          <cell r="P38">
            <v>45068801.909999996</v>
          </cell>
        </row>
        <row r="39">
          <cell r="B39" t="str">
            <v>CT-LSFG200-033</v>
          </cell>
          <cell r="D39" t="str">
            <v>01.301.612/0005-00</v>
          </cell>
          <cell r="P39">
            <v>80703105.680000007</v>
          </cell>
        </row>
        <row r="40">
          <cell r="B40" t="str">
            <v>CT-LSFG200-034</v>
          </cell>
          <cell r="D40" t="str">
            <v>15.638.181/0001-53</v>
          </cell>
          <cell r="P40">
            <v>49416466.690000005</v>
          </cell>
        </row>
        <row r="41">
          <cell r="B41" t="str">
            <v>CT-LSFG200-035</v>
          </cell>
          <cell r="D41" t="str">
            <v>13.745.542/0001-35</v>
          </cell>
          <cell r="P41">
            <v>28020</v>
          </cell>
        </row>
        <row r="42">
          <cell r="B42" t="str">
            <v>CT-LSFG200-036</v>
          </cell>
          <cell r="D42" t="str">
            <v>90.347.840/0010-09</v>
          </cell>
          <cell r="P42">
            <v>171000</v>
          </cell>
        </row>
        <row r="43">
          <cell r="B43" t="str">
            <v>CT-LSFG200-037</v>
          </cell>
          <cell r="D43" t="str">
            <v>32.617.659/0001-88</v>
          </cell>
          <cell r="P43">
            <v>38000</v>
          </cell>
        </row>
        <row r="44">
          <cell r="B44" t="str">
            <v>CT-LSFG200-038</v>
          </cell>
          <cell r="D44" t="str">
            <v>09.254.454/0001-63</v>
          </cell>
          <cell r="P44">
            <v>2500000.46</v>
          </cell>
        </row>
        <row r="45">
          <cell r="B45" t="str">
            <v>CT-LSFG200-039</v>
          </cell>
          <cell r="D45" t="str">
            <v>60.013.306/0001-04</v>
          </cell>
          <cell r="P45">
            <v>5433011.1600000001</v>
          </cell>
        </row>
        <row r="46">
          <cell r="B46" t="str">
            <v>CT-LSFG200-039.1</v>
          </cell>
          <cell r="D46" t="str">
            <v>02.541.661/0001-50</v>
          </cell>
          <cell r="P46">
            <v>143600</v>
          </cell>
        </row>
        <row r="47">
          <cell r="B47" t="str">
            <v>CT-LSFG200-040</v>
          </cell>
          <cell r="D47" t="str">
            <v>40.610.677/0001-66</v>
          </cell>
          <cell r="P47">
            <v>175000</v>
          </cell>
        </row>
        <row r="48">
          <cell r="B48" t="str">
            <v>CT-LSFG200-041</v>
          </cell>
          <cell r="D48" t="str">
            <v>05.276.528/0001-01</v>
          </cell>
          <cell r="P48">
            <v>799000</v>
          </cell>
        </row>
        <row r="49">
          <cell r="B49" t="str">
            <v>CT-LSFG200-042</v>
          </cell>
          <cell r="D49" t="str">
            <v>14.100.265/0001-76</v>
          </cell>
          <cell r="P49">
            <v>43136407</v>
          </cell>
        </row>
        <row r="50">
          <cell r="B50" t="str">
            <v>CT-LSFG200-043</v>
          </cell>
          <cell r="D50" t="str">
            <v>57.887.381/0001-90</v>
          </cell>
          <cell r="P50">
            <v>240500.01</v>
          </cell>
        </row>
        <row r="51">
          <cell r="B51" t="str">
            <v>CT-LSFG200-044</v>
          </cell>
          <cell r="D51" t="str">
            <v>53.056.945/0001-91</v>
          </cell>
          <cell r="P51">
            <v>225000</v>
          </cell>
        </row>
        <row r="52">
          <cell r="B52" t="str">
            <v>CT-LSFG200-045</v>
          </cell>
          <cell r="D52" t="str">
            <v>41.324.885/0001-61</v>
          </cell>
          <cell r="P52">
            <v>120150</v>
          </cell>
        </row>
        <row r="53">
          <cell r="B53" t="str">
            <v>CT-LSFG200-046</v>
          </cell>
          <cell r="D53" t="str">
            <v>52.150.027/0001-64</v>
          </cell>
          <cell r="P53">
            <v>34188.050000000003</v>
          </cell>
        </row>
        <row r="54">
          <cell r="B54" t="str">
            <v>CT-LSFG200-047</v>
          </cell>
          <cell r="D54" t="str">
            <v>12.026.014/0001-63</v>
          </cell>
          <cell r="P54">
            <v>1528000.44</v>
          </cell>
        </row>
        <row r="55">
          <cell r="B55" t="str">
            <v>CT-LSFG200-048</v>
          </cell>
          <cell r="D55" t="str">
            <v>20.231.003/0001-43</v>
          </cell>
          <cell r="P55">
            <v>575368.71</v>
          </cell>
        </row>
        <row r="56">
          <cell r="B56" t="str">
            <v>CT-LSFG200-049</v>
          </cell>
          <cell r="D56" t="str">
            <v>26.915.726/0001-48</v>
          </cell>
          <cell r="P56">
            <v>501883.8</v>
          </cell>
        </row>
        <row r="57">
          <cell r="B57" t="str">
            <v>CT-LSFG200-050</v>
          </cell>
          <cell r="D57" t="str">
            <v>CNPJ NÃO ENCONTRADO</v>
          </cell>
          <cell r="P57">
            <v>0</v>
          </cell>
        </row>
        <row r="58">
          <cell r="B58" t="str">
            <v>CT-LSFG200-051</v>
          </cell>
          <cell r="D58" t="str">
            <v>50.364.288/0001-51</v>
          </cell>
          <cell r="P58">
            <v>19800000</v>
          </cell>
        </row>
        <row r="59">
          <cell r="B59" t="str">
            <v>CT-LSFG200-052</v>
          </cell>
          <cell r="D59" t="str">
            <v>60.013.306/0001-04</v>
          </cell>
          <cell r="P59">
            <v>786497.6</v>
          </cell>
        </row>
        <row r="60">
          <cell r="B60" t="str">
            <v>CT-LSFG200-053</v>
          </cell>
          <cell r="D60" t="str">
            <v>60.013.306/0001-04</v>
          </cell>
          <cell r="P60">
            <v>389409.82</v>
          </cell>
        </row>
        <row r="61">
          <cell r="B61" t="str">
            <v>CT-LSFG200-054</v>
          </cell>
          <cell r="D61" t="str">
            <v>60.013.306/0001-04</v>
          </cell>
          <cell r="P61">
            <v>448858.88</v>
          </cell>
        </row>
        <row r="62">
          <cell r="B62" t="str">
            <v>CT-LSFG200-055</v>
          </cell>
          <cell r="D62" t="str">
            <v>60.013.306/0001-04</v>
          </cell>
          <cell r="P62">
            <v>329960.96000000002</v>
          </cell>
        </row>
        <row r="63">
          <cell r="B63" t="str">
            <v>CT-LSFG200-056</v>
          </cell>
          <cell r="D63" t="str">
            <v>14.309.983/0001-57</v>
          </cell>
          <cell r="P63">
            <v>1690404.92</v>
          </cell>
        </row>
        <row r="64">
          <cell r="B64" t="str">
            <v>CT-LSFG200-057</v>
          </cell>
          <cell r="D64" t="str">
            <v>60.013.306/0001-04</v>
          </cell>
          <cell r="P64">
            <v>460006.6</v>
          </cell>
        </row>
        <row r="65">
          <cell r="B65" t="str">
            <v>CT-LSFG200-058</v>
          </cell>
          <cell r="D65" t="str">
            <v>02.541.661/0001-50</v>
          </cell>
          <cell r="P65">
            <v>61800</v>
          </cell>
        </row>
        <row r="66">
          <cell r="B66" t="str">
            <v>CT-LSFG200-059</v>
          </cell>
          <cell r="D66" t="str">
            <v>00.881.464/0001-54</v>
          </cell>
          <cell r="P66">
            <v>420000</v>
          </cell>
        </row>
        <row r="67">
          <cell r="B67" t="str">
            <v>CT-LSFG200-060</v>
          </cell>
          <cell r="D67" t="str">
            <v>02.541.661/0001-50</v>
          </cell>
          <cell r="P67">
            <v>350200</v>
          </cell>
        </row>
        <row r="68">
          <cell r="B68" t="str">
            <v>CT-LSFG200-061</v>
          </cell>
          <cell r="D68" t="str">
            <v>CNPJ NÃO ENCONTRADO</v>
          </cell>
          <cell r="P68">
            <v>0</v>
          </cell>
        </row>
        <row r="69">
          <cell r="B69" t="str">
            <v>CT-LSFG200-062</v>
          </cell>
          <cell r="D69" t="str">
            <v>54.059.906/0001-00</v>
          </cell>
          <cell r="P69">
            <v>15000</v>
          </cell>
        </row>
        <row r="70">
          <cell r="B70" t="str">
            <v>CT-LSFG200-063</v>
          </cell>
          <cell r="D70" t="str">
            <v>CNPJ NÃO ENCONTRADO</v>
          </cell>
          <cell r="P70">
            <v>0</v>
          </cell>
        </row>
        <row r="71">
          <cell r="B71" t="str">
            <v>CT-LSFG200-064</v>
          </cell>
          <cell r="D71" t="str">
            <v>32.313.284/0001-62</v>
          </cell>
          <cell r="P71">
            <v>15000</v>
          </cell>
        </row>
        <row r="72">
          <cell r="B72" t="str">
            <v>CT-LSFG200-065</v>
          </cell>
          <cell r="D72" t="str">
            <v>11.686.476/0001-44</v>
          </cell>
          <cell r="P72">
            <v>240000</v>
          </cell>
        </row>
        <row r="73">
          <cell r="B73" t="str">
            <v>CT-LSFG200-066</v>
          </cell>
          <cell r="D73" t="str">
            <v>50.428.666/0001-13</v>
          </cell>
          <cell r="P73">
            <v>1000000</v>
          </cell>
        </row>
        <row r="74">
          <cell r="B74" t="str">
            <v>CT-LSFG200-067</v>
          </cell>
          <cell r="D74" t="str">
            <v>CNPJ NÃO ENCONTRADO</v>
          </cell>
          <cell r="P74">
            <v>0</v>
          </cell>
        </row>
        <row r="75">
          <cell r="B75" t="str">
            <v>CT-LSFG200-068</v>
          </cell>
          <cell r="D75" t="str">
            <v>60.013.306/0001-04</v>
          </cell>
          <cell r="P75">
            <v>257408.06</v>
          </cell>
        </row>
        <row r="76">
          <cell r="B76" t="str">
            <v>CT-LSFG200-069</v>
          </cell>
          <cell r="D76" t="str">
            <v>60.013.306/0001-04</v>
          </cell>
          <cell r="P76">
            <v>144213.44</v>
          </cell>
        </row>
        <row r="77">
          <cell r="B77" t="str">
            <v>CT-LSFG200-070</v>
          </cell>
          <cell r="D77" t="str">
            <v>60.013.306/0001-04</v>
          </cell>
          <cell r="P77">
            <v>1041326.2</v>
          </cell>
        </row>
        <row r="78">
          <cell r="B78" t="str">
            <v>CT-LSFG200-071</v>
          </cell>
          <cell r="D78" t="str">
            <v>CNPJ NÃO ENCONTRADO</v>
          </cell>
          <cell r="P78">
            <v>0</v>
          </cell>
        </row>
        <row r="79">
          <cell r="B79" t="str">
            <v>CT-LSFG200-072</v>
          </cell>
          <cell r="D79" t="str">
            <v>CNPJ NÃO ENCONTRADO</v>
          </cell>
          <cell r="P79">
            <v>0</v>
          </cell>
        </row>
        <row r="80">
          <cell r="B80" t="str">
            <v>CT-LSFG200-073</v>
          </cell>
          <cell r="D80" t="str">
            <v>60.013.306/0001-04</v>
          </cell>
          <cell r="P80">
            <v>97352.49</v>
          </cell>
        </row>
        <row r="81">
          <cell r="B81" t="str">
            <v>CT-LSFG200-074</v>
          </cell>
          <cell r="D81" t="str">
            <v>CNPJ NÃO ENCONTRADO</v>
          </cell>
          <cell r="P81">
            <v>0</v>
          </cell>
        </row>
        <row r="82">
          <cell r="B82" t="str">
            <v>CT-LSFG200-075</v>
          </cell>
          <cell r="D82" t="str">
            <v>CNPJ NÃO ENCONTRADO</v>
          </cell>
          <cell r="P82">
            <v>0</v>
          </cell>
        </row>
        <row r="83">
          <cell r="B83" t="str">
            <v>CT-LSFG200-076</v>
          </cell>
          <cell r="D83" t="str">
            <v>CNPJ NÃO ENCONTRADO</v>
          </cell>
          <cell r="P83">
            <v>0</v>
          </cell>
        </row>
        <row r="84">
          <cell r="B84" t="str">
            <v>CT-LSFG200-077</v>
          </cell>
          <cell r="D84" t="str">
            <v>CNPJ NÃO ENCONTRADO</v>
          </cell>
          <cell r="P84">
            <v>0</v>
          </cell>
        </row>
        <row r="85">
          <cell r="B85" t="str">
            <v>CT-LSFG200-078</v>
          </cell>
          <cell r="D85" t="str">
            <v>CNPJ NÃO ENCONTRADO</v>
          </cell>
          <cell r="P85">
            <v>0</v>
          </cell>
        </row>
        <row r="86">
          <cell r="B86" t="str">
            <v>CT-LSFG200-079</v>
          </cell>
          <cell r="D86" t="str">
            <v>CNPJ NÃO ENCONTRADO</v>
          </cell>
          <cell r="P86">
            <v>0</v>
          </cell>
        </row>
        <row r="87">
          <cell r="B87" t="str">
            <v>CT-LSFG200-080</v>
          </cell>
          <cell r="D87" t="str">
            <v>CNPJ NÃO ENCONTRADO</v>
          </cell>
          <cell r="P87">
            <v>0</v>
          </cell>
        </row>
        <row r="88">
          <cell r="B88" t="str">
            <v>CT-LSFG200-081</v>
          </cell>
          <cell r="D88" t="str">
            <v>CNPJ NÃO ENCONTRADO</v>
          </cell>
          <cell r="P88">
            <v>0</v>
          </cell>
        </row>
        <row r="89">
          <cell r="B89" t="str">
            <v>CT-LSFG200-082</v>
          </cell>
          <cell r="D89" t="str">
            <v>CNPJ NÃO ENCONTRADO</v>
          </cell>
          <cell r="P89">
            <v>0</v>
          </cell>
        </row>
        <row r="90">
          <cell r="B90" t="str">
            <v>CT-LSFG200-083</v>
          </cell>
          <cell r="D90" t="str">
            <v>CNPJ NÃO ENCONTRADO</v>
          </cell>
          <cell r="P90">
            <v>0</v>
          </cell>
        </row>
        <row r="91">
          <cell r="B91" t="str">
            <v>CT-LSFG200-084</v>
          </cell>
          <cell r="D91" t="str">
            <v>CNPJ NÃO ENCONTRADO</v>
          </cell>
          <cell r="P91">
            <v>0</v>
          </cell>
        </row>
        <row r="92">
          <cell r="B92" t="str">
            <v>CT-LSFG200-085</v>
          </cell>
          <cell r="D92" t="str">
            <v>CNPJ NÃO ENCONTRADO</v>
          </cell>
          <cell r="P92">
            <v>0</v>
          </cell>
        </row>
        <row r="93">
          <cell r="B93" t="str">
            <v>CT-LSFG200-086</v>
          </cell>
          <cell r="D93" t="str">
            <v>CNPJ NÃO ENCONTRADO</v>
          </cell>
          <cell r="P93">
            <v>0</v>
          </cell>
        </row>
        <row r="94">
          <cell r="B94" t="str">
            <v>CT-LSFG200-087</v>
          </cell>
          <cell r="D94" t="str">
            <v>CNPJ NÃO ENCONTRADO</v>
          </cell>
          <cell r="P94">
            <v>0</v>
          </cell>
        </row>
        <row r="95">
          <cell r="B95" t="str">
            <v>CT-LSFG200-088</v>
          </cell>
          <cell r="D95" t="str">
            <v>CNPJ NÃO ENCONTRADO</v>
          </cell>
          <cell r="P95">
            <v>0</v>
          </cell>
        </row>
        <row r="96">
          <cell r="B96" t="str">
            <v>CT-LSFG200-089</v>
          </cell>
          <cell r="D96" t="str">
            <v>CNPJ NÃO ENCONTRADO</v>
          </cell>
          <cell r="P96">
            <v>0</v>
          </cell>
        </row>
        <row r="97">
          <cell r="B97" t="str">
            <v>CT-LSFG200-090</v>
          </cell>
          <cell r="D97" t="str">
            <v>CNPJ NÃO ENCONTRADO</v>
          </cell>
          <cell r="P97">
            <v>0</v>
          </cell>
        </row>
        <row r="98">
          <cell r="B98" t="str">
            <v>CT-LSFG200-091</v>
          </cell>
          <cell r="D98" t="str">
            <v>CNPJ NÃO ENCONTRADO</v>
          </cell>
          <cell r="P98">
            <v>0</v>
          </cell>
        </row>
        <row r="99">
          <cell r="B99" t="str">
            <v>CT-LSFG200-092</v>
          </cell>
          <cell r="D99" t="str">
            <v>CNPJ NÃO ENCONTRADO</v>
          </cell>
          <cell r="P99">
            <v>0</v>
          </cell>
        </row>
        <row r="100">
          <cell r="B100" t="str">
            <v>CT-LSFG200-093</v>
          </cell>
          <cell r="D100" t="str">
            <v>CNPJ NÃO ENCONTRADO</v>
          </cell>
          <cell r="P100">
            <v>0</v>
          </cell>
        </row>
        <row r="101">
          <cell r="B101" t="str">
            <v>CT-LSFG200-094</v>
          </cell>
          <cell r="D101" t="str">
            <v>CNPJ NÃO ENCONTRADO</v>
          </cell>
          <cell r="P101">
            <v>0</v>
          </cell>
        </row>
        <row r="102">
          <cell r="B102" t="str">
            <v>CT-LSFG200-095</v>
          </cell>
          <cell r="D102" t="str">
            <v>CNPJ NÃO ENCONTRADO</v>
          </cell>
          <cell r="P102">
            <v>0</v>
          </cell>
        </row>
        <row r="103">
          <cell r="B103" t="str">
            <v>CT-LSFG200-096</v>
          </cell>
          <cell r="D103" t="str">
            <v>CNPJ NÃO ENCONTRADO</v>
          </cell>
          <cell r="P103">
            <v>0</v>
          </cell>
        </row>
        <row r="104">
          <cell r="B104" t="str">
            <v>CT-LSFG200-097</v>
          </cell>
          <cell r="D104" t="str">
            <v>CNPJ NÃO ENCONTRADO</v>
          </cell>
          <cell r="P104">
            <v>0</v>
          </cell>
        </row>
        <row r="105">
          <cell r="B105" t="str">
            <v>CT-LSFG200-098</v>
          </cell>
          <cell r="D105" t="str">
            <v>CNPJ NÃO ENCONTRADO</v>
          </cell>
          <cell r="P105">
            <v>0</v>
          </cell>
        </row>
        <row r="106">
          <cell r="B106" t="str">
            <v>CT-LSFG200-099</v>
          </cell>
          <cell r="D106" t="str">
            <v>CNPJ NÃO ENCONTRADO</v>
          </cell>
          <cell r="P106">
            <v>0</v>
          </cell>
        </row>
        <row r="107">
          <cell r="B107" t="str">
            <v>CT-LSFG200-100</v>
          </cell>
          <cell r="D107" t="str">
            <v>37.292.522/0001-14</v>
          </cell>
          <cell r="P107">
            <v>4384464.67</v>
          </cell>
        </row>
        <row r="108">
          <cell r="B108" t="str">
            <v>CT-LSFG200-101</v>
          </cell>
          <cell r="D108" t="str">
            <v>57.764.763/0020-99</v>
          </cell>
          <cell r="P108">
            <v>34200.839999999997</v>
          </cell>
        </row>
        <row r="109">
          <cell r="B109" t="str">
            <v>CT-LSFG200-102</v>
          </cell>
          <cell r="D109" t="str">
            <v>25.683.295/0001-79</v>
          </cell>
          <cell r="P109">
            <v>78789.880000000019</v>
          </cell>
        </row>
        <row r="110">
          <cell r="B110" t="str">
            <v>CT-LSFG200-103</v>
          </cell>
          <cell r="D110" t="str">
            <v>58.071.550/0001-81</v>
          </cell>
          <cell r="P110">
            <v>12644.68</v>
          </cell>
        </row>
        <row r="111">
          <cell r="B111" t="str">
            <v>CT-LSFG200-104</v>
          </cell>
          <cell r="D111" t="str">
            <v>56.203.956/0001-45</v>
          </cell>
          <cell r="P111">
            <v>39186.239999999998</v>
          </cell>
        </row>
        <row r="112">
          <cell r="B112" t="str">
            <v>CT-LSFG200-105</v>
          </cell>
          <cell r="D112" t="str">
            <v>00.242.184/0001-04</v>
          </cell>
          <cell r="P112">
            <v>84570</v>
          </cell>
        </row>
        <row r="113">
          <cell r="B113" t="str">
            <v>CT-LSFG200-106</v>
          </cell>
          <cell r="D113" t="str">
            <v>02.541.661/0001-50</v>
          </cell>
          <cell r="P113">
            <v>357000</v>
          </cell>
        </row>
        <row r="114">
          <cell r="B114" t="str">
            <v>CT-LSFG200-107</v>
          </cell>
          <cell r="D114" t="str">
            <v>CNPJ NÃO ENCONTRADO</v>
          </cell>
          <cell r="P114">
            <v>0</v>
          </cell>
        </row>
        <row r="115">
          <cell r="B115" t="str">
            <v>CT-LSFG200-108</v>
          </cell>
          <cell r="D115" t="str">
            <v>CNPJ NÃO ENCONTRADO</v>
          </cell>
          <cell r="P115">
            <v>0</v>
          </cell>
        </row>
        <row r="116">
          <cell r="B116" t="str">
            <v>CT-LSFG200-109</v>
          </cell>
          <cell r="D116" t="str">
            <v>CNPJ NÃO ENCONTRADO</v>
          </cell>
          <cell r="P116">
            <v>0</v>
          </cell>
        </row>
        <row r="117">
          <cell r="B117" t="str">
            <v>CT-LSFG200-110</v>
          </cell>
          <cell r="D117" t="str">
            <v>CNPJ NÃO ENCONTRADO</v>
          </cell>
          <cell r="P117">
            <v>0</v>
          </cell>
        </row>
        <row r="118">
          <cell r="B118" t="str">
            <v>CT-LSFG200-111</v>
          </cell>
          <cell r="D118" t="str">
            <v>CNPJ NÃO ENCONTRADO</v>
          </cell>
          <cell r="P118">
            <v>0</v>
          </cell>
        </row>
        <row r="119">
          <cell r="B119" t="str">
            <v>CT-LSFG200-112</v>
          </cell>
          <cell r="D119" t="str">
            <v>CNPJ NÃO ENCONTRADO</v>
          </cell>
          <cell r="P119">
            <v>0</v>
          </cell>
        </row>
        <row r="120">
          <cell r="B120" t="str">
            <v>CT-LSFG200-113</v>
          </cell>
          <cell r="D120" t="str">
            <v>CNPJ NÃO ENCONTRADO</v>
          </cell>
          <cell r="P120">
            <v>0</v>
          </cell>
        </row>
        <row r="121">
          <cell r="B121" t="str">
            <v>CT-LSFG200-114</v>
          </cell>
          <cell r="D121" t="str">
            <v>CNPJ NÃO ENCONTRADO</v>
          </cell>
          <cell r="P121">
            <v>0</v>
          </cell>
        </row>
        <row r="122">
          <cell r="B122" t="str">
            <v>CT-LSFG200-115</v>
          </cell>
          <cell r="D122" t="str">
            <v>CNPJ NÃO ENCONTRADO</v>
          </cell>
          <cell r="P122">
            <v>0</v>
          </cell>
        </row>
        <row r="123">
          <cell r="B123" t="str">
            <v>CT-LSFG200-116</v>
          </cell>
          <cell r="D123" t="str">
            <v>CNPJ NÃO ENCONTRADO</v>
          </cell>
          <cell r="P123">
            <v>0</v>
          </cell>
        </row>
        <row r="124">
          <cell r="B124" t="str">
            <v>CT-LSFG200-117</v>
          </cell>
          <cell r="D124" t="str">
            <v>CNPJ NÃO ENCONTRADO</v>
          </cell>
          <cell r="P124">
            <v>0</v>
          </cell>
        </row>
        <row r="125">
          <cell r="B125" t="str">
            <v>CT-LSFG200-118</v>
          </cell>
          <cell r="D125" t="str">
            <v>CNPJ NÃO ENCONTRADO</v>
          </cell>
          <cell r="P125">
            <v>0</v>
          </cell>
        </row>
        <row r="126">
          <cell r="B126" t="str">
            <v>CT-LSFG200-119</v>
          </cell>
          <cell r="D126" t="str">
            <v>CNPJ NÃO ENCONTRADO</v>
          </cell>
          <cell r="P126">
            <v>0</v>
          </cell>
        </row>
        <row r="127">
          <cell r="B127" t="str">
            <v>CT-LSFG200-120</v>
          </cell>
          <cell r="D127" t="str">
            <v>CNPJ NÃO ENCONTRADO</v>
          </cell>
          <cell r="P127">
            <v>0</v>
          </cell>
        </row>
        <row r="128">
          <cell r="B128" t="str">
            <v>CT-LSFG200-121</v>
          </cell>
          <cell r="D128" t="str">
            <v>CNPJ NÃO ENCONTRADO</v>
          </cell>
          <cell r="P128">
            <v>0</v>
          </cell>
        </row>
        <row r="129">
          <cell r="B129" t="str">
            <v>CT-LSFG200-122</v>
          </cell>
          <cell r="D129" t="str">
            <v>CNPJ NÃO ENCONTRADO</v>
          </cell>
          <cell r="P129">
            <v>0</v>
          </cell>
        </row>
        <row r="130">
          <cell r="B130" t="str">
            <v>CT-LSFG200-123</v>
          </cell>
          <cell r="D130" t="str">
            <v>CNPJ NÃO ENCONTRADO</v>
          </cell>
          <cell r="P130">
            <v>0</v>
          </cell>
        </row>
        <row r="131">
          <cell r="P131">
            <v>59759065.399999999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C394-1E84-4227-93E4-949B2CE76813}">
  <dimension ref="A1:L3"/>
  <sheetViews>
    <sheetView tabSelected="1" topLeftCell="C1" workbookViewId="0">
      <selection activeCell="I8" sqref="I8"/>
    </sheetView>
  </sheetViews>
  <sheetFormatPr defaultRowHeight="15" x14ac:dyDescent="0.25"/>
  <cols>
    <col min="1" max="1" width="9.5703125" bestFit="1" customWidth="1"/>
    <col min="2" max="2" width="18" bestFit="1" customWidth="1"/>
    <col min="3" max="3" width="32" bestFit="1" customWidth="1"/>
    <col min="4" max="4" width="14.85546875" bestFit="1" customWidth="1"/>
    <col min="5" max="5" width="20.7109375" bestFit="1" customWidth="1"/>
    <col min="6" max="6" width="15.42578125" bestFit="1" customWidth="1"/>
    <col min="7" max="7" width="13.85546875" bestFit="1" customWidth="1"/>
    <col min="8" max="8" width="11.85546875" bestFit="1" customWidth="1"/>
    <col min="9" max="9" width="20.7109375" bestFit="1" customWidth="1"/>
    <col min="10" max="10" width="16" bestFit="1" customWidth="1"/>
    <col min="11" max="11" width="21.42578125" bestFit="1" customWidth="1"/>
    <col min="12" max="12" width="16.5703125" bestFit="1" customWidth="1"/>
  </cols>
  <sheetData>
    <row r="1" spans="1:12" ht="15.75" thickBot="1" x14ac:dyDescent="0.3">
      <c r="A1" s="1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3" t="s">
        <v>0</v>
      </c>
      <c r="G1" s="3" t="s">
        <v>8</v>
      </c>
      <c r="H1" s="3" t="s">
        <v>1</v>
      </c>
      <c r="I1" s="3" t="s">
        <v>9</v>
      </c>
      <c r="J1" s="3" t="s">
        <v>2</v>
      </c>
      <c r="K1" s="3" t="s">
        <v>10</v>
      </c>
      <c r="L1" s="3" t="s">
        <v>11</v>
      </c>
    </row>
    <row r="2" spans="1:12" x14ac:dyDescent="0.25">
      <c r="A2" s="4">
        <v>1</v>
      </c>
      <c r="B2" s="4" t="str">
        <f>IFERROR(_xlfn.XLOOKUP(D2, [1]CONTRATOS!$B$6:$B$196, [1]CONTRATOS!$D$6:$D$196), 0)</f>
        <v>37.292.522/0001-14</v>
      </c>
      <c r="C2" s="4" t="str">
        <f>IFERROR(INDEX('[1]CONTRATOS EAP'!$E$5:$E$299, MATCH(B2, '[1]CONTRATOS EAP'!$F$5:$F$299, 0)), "RAZÃO SOCIAL NÃO ENCONTRADA")</f>
        <v>QPC ENGENHARIA LTDA</v>
      </c>
      <c r="D2" s="4" t="s">
        <v>12</v>
      </c>
      <c r="E2" s="5">
        <f>IFERROR(INDEX([1]CONTRATOS!$P$6:$P$196, MATCH(D2, [1]CONTRATOS!$B$6:$B$196, 0)), "Sem Contrato")</f>
        <v>59759065.399999999</v>
      </c>
      <c r="F2" s="6">
        <v>1155672.06</v>
      </c>
      <c r="G2" s="6">
        <v>102276.97</v>
      </c>
      <c r="H2" s="6">
        <v>0</v>
      </c>
      <c r="I2" s="6">
        <v>191119.94</v>
      </c>
      <c r="J2" s="6">
        <v>0</v>
      </c>
      <c r="K2" s="6">
        <v>0</v>
      </c>
      <c r="L2" s="6">
        <f>F2-G2-H2-I2-J2-K2</f>
        <v>862275.15000000014</v>
      </c>
    </row>
    <row r="3" spans="1:12" x14ac:dyDescent="0.25">
      <c r="A3" s="4">
        <v>2</v>
      </c>
      <c r="B3" s="4" t="str">
        <f>IFERROR(_xlfn.XLOOKUP(D3, [1]CONTRATOS!$B$6:$B$196, [1]CONTRATOS!$D$6:$D$196), 0)</f>
        <v>37.292.522/0001-14</v>
      </c>
      <c r="C3" s="4" t="str">
        <f>IFERROR(INDEX('[1]CONTRATOS EAP'!$E$5:$E$299, MATCH(B3, '[1]CONTRATOS EAP'!$F$5:$F$299, 0)), "RAZÃO SOCIAL NÃO ENCONTRADA")</f>
        <v>QPC ENGENHARIA LTDA</v>
      </c>
      <c r="D3" s="4" t="s">
        <v>12</v>
      </c>
      <c r="E3" s="5">
        <f>IFERROR(INDEX([1]CONTRATOS!$P$6:$P$196, MATCH(D3, [1]CONTRATOS!$B$6:$B$196, 0)), "Sem Contrato")</f>
        <v>59759065.399999999</v>
      </c>
      <c r="F3" s="6">
        <v>77368.62</v>
      </c>
      <c r="G3" s="6">
        <v>3868.43</v>
      </c>
      <c r="H3" s="6">
        <v>3868.43</v>
      </c>
      <c r="I3" s="6">
        <v>17672.16</v>
      </c>
      <c r="J3" s="6">
        <v>0</v>
      </c>
      <c r="K3" s="6">
        <v>0</v>
      </c>
      <c r="L3" s="6">
        <f>F3-G3-H3-I3-J3-K3</f>
        <v>51959.600000000006</v>
      </c>
    </row>
  </sheetData>
  <conditionalFormatting sqref="C1:C3">
    <cfRule type="cellIs" dxfId="0" priority="1" operator="equal">
      <formula>"RAZÃO SOCIAL NÃO ENCONTRADA"</formula>
    </cfRule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7c5de3-9a7e-4746-8864-4639822a3b04">
      <Terms xmlns="http://schemas.microsoft.com/office/infopath/2007/PartnerControls"/>
    </lcf76f155ced4ddcb4097134ff3c332f>
    <TaxCatchAll xmlns="fa6617d2-e089-4eba-9d23-c7e770ea425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C6B91B56666A46B8E988F3A40CE3F7" ma:contentTypeVersion="13" ma:contentTypeDescription="Crie um novo documento." ma:contentTypeScope="" ma:versionID="56435838c8fc581d35a10aa6b375df76">
  <xsd:schema xmlns:xsd="http://www.w3.org/2001/XMLSchema" xmlns:xs="http://www.w3.org/2001/XMLSchema" xmlns:p="http://schemas.microsoft.com/office/2006/metadata/properties" xmlns:ns2="f07c5de3-9a7e-4746-8864-4639822a3b04" xmlns:ns3="fa6617d2-e089-4eba-9d23-c7e770ea425c" targetNamespace="http://schemas.microsoft.com/office/2006/metadata/properties" ma:root="true" ma:fieldsID="3d13a92b1a25b4977fb18fad00540075" ns2:_="" ns3:_="">
    <xsd:import namespace="f07c5de3-9a7e-4746-8864-4639822a3b04"/>
    <xsd:import namespace="fa6617d2-e089-4eba-9d23-c7e770ea4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c5de3-9a7e-4746-8864-4639822a3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de020e-c5a3-4c57-b93d-65b1013625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617d2-e089-4eba-9d23-c7e770ea42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622585-283e-4626-a7a3-3c6362f6353d}" ma:internalName="TaxCatchAll" ma:showField="CatchAllData" ma:web="fa6617d2-e089-4eba-9d23-c7e770ea4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539FB3-F142-42F1-A37E-21BA5363EED8}">
  <ds:schemaRefs>
    <ds:schemaRef ds:uri="http://schemas.microsoft.com/office/2006/metadata/properties"/>
    <ds:schemaRef ds:uri="http://schemas.microsoft.com/office/infopath/2007/PartnerControls"/>
    <ds:schemaRef ds:uri="f07c5de3-9a7e-4746-8864-4639822a3b04"/>
    <ds:schemaRef ds:uri="fa6617d2-e089-4eba-9d23-c7e770ea425c"/>
  </ds:schemaRefs>
</ds:datastoreItem>
</file>

<file path=customXml/itemProps2.xml><?xml version="1.0" encoding="utf-8"?>
<ds:datastoreItem xmlns:ds="http://schemas.openxmlformats.org/officeDocument/2006/customXml" ds:itemID="{7E3DC8D1-A818-4C3A-89E8-994B48201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BE8039-2B26-4CBB-BD6C-2C1259DD94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7c5de3-9a7e-4746-8864-4639822a3b04"/>
    <ds:schemaRef ds:uri="fa6617d2-e089-4eba-9d23-c7e770ea42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MEDIÇÃO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Alexsandro Morais</dc:creator>
  <cp:lastModifiedBy>Alexsandro Morais</cp:lastModifiedBy>
  <dcterms:created xsi:type="dcterms:W3CDTF">2026-05-23T19:55:17Z</dcterms:created>
  <dcterms:modified xsi:type="dcterms:W3CDTF">2026-08-01T23:38:07Z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0x01010071C6B91B56666A46B8E988F3A40CE3F7</vt:lpwstr>
  </property>
  <property fmtid="{D5CDD505-2E9C-101B-9397-08002B2CF9AE}" pid="3" name="MediaServiceImageTags">
    <vt:lpwstr/>
  </property>
</Properties>
</file>